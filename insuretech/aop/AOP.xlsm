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9.xml" ContentType="application/vnd.ms-excel.controlproperties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trlProps/ctrlProp11.xml" ContentType="application/vnd.ms-excel.controlproperties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trlProps/ctrlProp12.xml" ContentType="application/vnd.ms-excel.controlproperties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ctrlProps/ctrlProp13.xml" ContentType="application/vnd.ms-excel.controlproperties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trlProps/ctrlProp14.xml" ContentType="application/vnd.ms-excel.controlproperties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ctrlProps/ctrlProp15.xml" ContentType="application/vnd.ms-excel.controlproperties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ctrlProps/ctrlProp16.xml" ContentType="application/vnd.ms-excel.controlpropertie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\\Mac\Home\Dropbox (Ventus)\Ventus Team Folder\UW System Development\Pricing Model\"/>
    </mc:Choice>
  </mc:AlternateContent>
  <bookViews>
    <workbookView xWindow="3960" yWindow="1380" windowWidth="10365" windowHeight="1920" tabRatio="634" firstSheet="5" activeTab="10"/>
  </bookViews>
  <sheets>
    <sheet name="ControlSheet" sheetId="39" state="hidden" r:id="rId1"/>
    <sheet name="Import" sheetId="67" r:id="rId2"/>
    <sheet name="CleaningSheet" sheetId="68" r:id="rId3"/>
    <sheet name="CleanParam" sheetId="69" r:id="rId4"/>
    <sheet name="RatingFactorTables" sheetId="4" r:id="rId5"/>
    <sheet name="output_viki" sheetId="364" r:id="rId6"/>
    <sheet name="output_ss" sheetId="544" r:id="rId7"/>
    <sheet name="Check" sheetId="545" r:id="rId8"/>
    <sheet name="BuildingSummary" sheetId="363" r:id="rId9"/>
    <sheet name="Exhibits" sheetId="416" r:id="rId10"/>
    <sheet name="AccountLevelSummary" sheetId="20" r:id="rId11"/>
    <sheet name="Catastrophe" sheetId="21" r:id="rId12"/>
    <sheet name="AOPStart" sheetId="23" state="hidden" r:id="rId13"/>
    <sheet name="AOPBuilding1" sheetId="667" r:id="rId14"/>
    <sheet name="AOPBuilding2" sheetId="668" r:id="rId15"/>
    <sheet name="AOPBuilding3" sheetId="669" r:id="rId16"/>
    <sheet name="AOPBuilding4" sheetId="670" r:id="rId17"/>
    <sheet name="AOPBuilding5" sheetId="671" r:id="rId18"/>
    <sheet name="AOPBuilding6" sheetId="672" r:id="rId19"/>
    <sheet name="AOPBuilding7" sheetId="673" r:id="rId20"/>
    <sheet name="AOPBuilding8" sheetId="674" r:id="rId21"/>
    <sheet name="AOPBuilding9" sheetId="675" r:id="rId22"/>
    <sheet name="AOPBuilding10" sheetId="676" r:id="rId23"/>
    <sheet name="AOPBuilding11" sheetId="677" r:id="rId24"/>
    <sheet name="AOPEnd" sheetId="24" state="hidden" r:id="rId25"/>
    <sheet name="AOPBuildingTemplate" sheetId="66" state="hidden" r:id="rId26"/>
    <sheet name="XLCExposureCurves" sheetId="63" state="hidden" r:id="rId27"/>
    <sheet name="PSOLDParams" sheetId="47" state="hidden" r:id="rId28"/>
  </sheets>
  <functionGroups builtInGroupCount="18"/>
  <definedNames>
    <definedName name="_xlnm._FilterDatabase" localSheetId="8" hidden="1">BuildingSummary!$K$2:$V$70</definedName>
    <definedName name="_xlnm._FilterDatabase" localSheetId="1" hidden="1">Import!$B$3:$AV$48</definedName>
    <definedName name="_xlnm._FilterDatabase" localSheetId="5" hidden="1">output_viki!$AC$3:$AC$50</definedName>
    <definedName name="_xlnm._FilterDatabase" localSheetId="4" hidden="1">RatingFactorTables!$K$32:$N$122</definedName>
    <definedName name="AccountBuildingCount">AccountLevelSummary!$B$34</definedName>
    <definedName name="AddPropLossCosts" localSheetId="13">AOPBuilding1!$S$50</definedName>
    <definedName name="AddPropLossCosts" localSheetId="22">AOPBuilding10!$S$50</definedName>
    <definedName name="AddPropLossCosts" localSheetId="23">AOPBuilding11!$S$50</definedName>
    <definedName name="AddPropLossCosts" localSheetId="14">AOPBuilding2!$S$50</definedName>
    <definedName name="AddPropLossCosts" localSheetId="15">AOPBuilding3!$S$50</definedName>
    <definedName name="AddPropLossCosts" localSheetId="16">AOPBuilding4!$S$50</definedName>
    <definedName name="AddPropLossCosts" localSheetId="17">AOPBuilding5!$S$50</definedName>
    <definedName name="AddPropLossCosts" localSheetId="18">AOPBuilding6!$S$50</definedName>
    <definedName name="AddPropLossCosts" localSheetId="19">AOPBuilding7!$S$50</definedName>
    <definedName name="AddPropLossCosts" localSheetId="20">AOPBuilding8!$S$50</definedName>
    <definedName name="AddPropLossCosts" localSheetId="21">AOPBuilding9!$S$50</definedName>
    <definedName name="AddPropLossCosts" localSheetId="25">AOPBuildingTemplate!$S$50</definedName>
    <definedName name="AddPropLossCosts">#REF!</definedName>
    <definedName name="AddPropTIV" localSheetId="13">AOPBuilding1!$P$50</definedName>
    <definedName name="AddPropTIV" localSheetId="22">AOPBuilding10!$P$50</definedName>
    <definedName name="AddPropTIV" localSheetId="23">AOPBuilding11!$P$50</definedName>
    <definedName name="AddPropTIV" localSheetId="14">AOPBuilding2!$P$50</definedName>
    <definedName name="AddPropTIV" localSheetId="15">AOPBuilding3!$P$50</definedName>
    <definedName name="AddPropTIV" localSheetId="16">AOPBuilding4!$P$50</definedName>
    <definedName name="AddPropTIV" localSheetId="17">AOPBuilding5!$P$50</definedName>
    <definedName name="AddPropTIV" localSheetId="18">AOPBuilding6!$P$50</definedName>
    <definedName name="AddPropTIV" localSheetId="19">AOPBuilding7!$P$50</definedName>
    <definedName name="AddPropTIV" localSheetId="20">AOPBuilding8!$P$50</definedName>
    <definedName name="AddPropTIV" localSheetId="21">AOPBuilding9!$P$50</definedName>
    <definedName name="AddPropTIV" localSheetId="25">AOPBuildingTemplate!$P$50</definedName>
    <definedName name="AddPropTIV">#REF!</definedName>
    <definedName name="AOPSheetDefaultValues">ControlSheet!$H$3:$I$41</definedName>
    <definedName name="BuildingLossCost" localSheetId="13">AOPBuilding1!$H$30</definedName>
    <definedName name="BuildingLossCost" localSheetId="22">AOPBuilding10!$H$30</definedName>
    <definedName name="BuildingLossCost" localSheetId="23">AOPBuilding11!$H$30</definedName>
    <definedName name="BuildingLossCost" localSheetId="14">AOPBuilding2!$H$30</definedName>
    <definedName name="BuildingLossCost" localSheetId="15">AOPBuilding3!$H$30</definedName>
    <definedName name="BuildingLossCost" localSheetId="16">AOPBuilding4!$H$30</definedName>
    <definedName name="BuildingLossCost" localSheetId="17">AOPBuilding5!$H$30</definedName>
    <definedName name="BuildingLossCost" localSheetId="18">AOPBuilding6!$H$30</definedName>
    <definedName name="BuildingLossCost" localSheetId="19">AOPBuilding7!$H$30</definedName>
    <definedName name="BuildingLossCost" localSheetId="20">AOPBuilding8!$H$30</definedName>
    <definedName name="BuildingLossCost" localSheetId="21">AOPBuilding9!$H$30</definedName>
    <definedName name="BuildingLossCost" localSheetId="25">AOPBuildingTemplate!$H$30</definedName>
    <definedName name="BuildingLossCost">#REF!</definedName>
    <definedName name="BuildingNumber" localSheetId="13">AOPBuilding1!$B$3</definedName>
    <definedName name="BuildingNumber" localSheetId="22">AOPBuilding10!$B$3</definedName>
    <definedName name="BuildingNumber" localSheetId="23">AOPBuilding11!$B$3</definedName>
    <definedName name="BuildingNumber" localSheetId="14">AOPBuilding2!$B$3</definedName>
    <definedName name="BuildingNumber" localSheetId="15">AOPBuilding3!$B$3</definedName>
    <definedName name="BuildingNumber" localSheetId="16">AOPBuilding4!$B$3</definedName>
    <definedName name="BuildingNumber" localSheetId="17">AOPBuilding5!$B$3</definedName>
    <definedName name="BuildingNumber" localSheetId="18">AOPBuilding6!$B$3</definedName>
    <definedName name="BuildingNumber" localSheetId="19">AOPBuilding7!$B$3</definedName>
    <definedName name="BuildingNumber" localSheetId="20">AOPBuilding8!$B$3</definedName>
    <definedName name="BuildingNumber" localSheetId="21">AOPBuilding9!$B$3</definedName>
    <definedName name="BuildingNumber" localSheetId="25">AOPBuildingTemplate!$B$3</definedName>
    <definedName name="BuildingRate" localSheetId="13">AOPBuilding1!$L$3</definedName>
    <definedName name="BuildingRate" localSheetId="22">AOPBuilding10!$L$3</definedName>
    <definedName name="BuildingRate" localSheetId="23">AOPBuilding11!$L$3</definedName>
    <definedName name="BuildingRate" localSheetId="14">AOPBuilding2!$L$3</definedName>
    <definedName name="BuildingRate" localSheetId="15">AOPBuilding3!$L$3</definedName>
    <definedName name="BuildingRate" localSheetId="16">AOPBuilding4!$L$3</definedName>
    <definedName name="BuildingRate" localSheetId="17">AOPBuilding5!$L$3</definedName>
    <definedName name="BuildingRate" localSheetId="18">AOPBuilding6!$L$3</definedName>
    <definedName name="BuildingRate" localSheetId="19">AOPBuilding7!$L$3</definedName>
    <definedName name="BuildingRate" localSheetId="20">AOPBuilding8!$L$3</definedName>
    <definedName name="BuildingRate" localSheetId="21">AOPBuilding9!$L$3</definedName>
    <definedName name="BuildingRate" localSheetId="25">AOPBuildingTemplate!$L$3</definedName>
    <definedName name="BuildingRate">#REF!</definedName>
    <definedName name="ContentsBILossCost" localSheetId="13">AOPBuilding1!$H$33</definedName>
    <definedName name="ContentsBILossCost" localSheetId="22">AOPBuilding10!$H$33</definedName>
    <definedName name="ContentsBILossCost" localSheetId="23">AOPBuilding11!$H$33</definedName>
    <definedName name="ContentsBILossCost" localSheetId="14">AOPBuilding2!$H$33</definedName>
    <definedName name="ContentsBILossCost" localSheetId="15">AOPBuilding3!$H$33</definedName>
    <definedName name="ContentsBILossCost" localSheetId="16">AOPBuilding4!$H$33</definedName>
    <definedName name="ContentsBILossCost" localSheetId="17">AOPBuilding5!$H$33</definedName>
    <definedName name="ContentsBILossCost" localSheetId="18">AOPBuilding6!$H$33</definedName>
    <definedName name="ContentsBILossCost" localSheetId="19">AOPBuilding7!$H$33</definedName>
    <definedName name="ContentsBILossCost" localSheetId="20">AOPBuilding8!$H$33</definedName>
    <definedName name="ContentsBILossCost" localSheetId="21">AOPBuilding9!$H$33</definedName>
    <definedName name="ContentsBILossCost" localSheetId="25">AOPBuildingTemplate!$H$33</definedName>
    <definedName name="ContentsBILossCost">#REF!</definedName>
    <definedName name="Import_data">Import!$A$4</definedName>
    <definedName name="Input.AOPDeductible" localSheetId="13">AOPBuilding1!$B$31</definedName>
    <definedName name="Input.AOPDeductible" localSheetId="22">AOPBuilding10!$B$31</definedName>
    <definedName name="Input.AOPDeductible" localSheetId="23">AOPBuilding11!$B$31</definedName>
    <definedName name="Input.AOPDeductible" localSheetId="14">AOPBuilding2!$B$31</definedName>
    <definedName name="Input.AOPDeductible" localSheetId="15">AOPBuilding3!$B$31</definedName>
    <definedName name="Input.AOPDeductible" localSheetId="16">AOPBuilding4!$B$31</definedName>
    <definedName name="Input.AOPDeductible" localSheetId="17">AOPBuilding5!$B$31</definedName>
    <definedName name="Input.AOPDeductible" localSheetId="18">AOPBuilding6!$B$31</definedName>
    <definedName name="Input.AOPDeductible" localSheetId="19">AOPBuilding7!$B$31</definedName>
    <definedName name="Input.AOPDeductible" localSheetId="20">AOPBuilding8!$B$31</definedName>
    <definedName name="Input.AOPDeductible" localSheetId="21">AOPBuilding9!$B$31</definedName>
    <definedName name="Input.AOPDeductible" localSheetId="25">AOPBuildingTemplate!$B$31</definedName>
    <definedName name="Input.AOPDeductible">#REF!</definedName>
    <definedName name="Input.AppraisalValue" localSheetId="13">AOPBuilding1!$E$4</definedName>
    <definedName name="Input.AppraisalValue" localSheetId="22">AOPBuilding10!$E$4</definedName>
    <definedName name="Input.AppraisalValue" localSheetId="23">AOPBuilding11!$E$4</definedName>
    <definedName name="Input.AppraisalValue" localSheetId="14">AOPBuilding2!$E$4</definedName>
    <definedName name="Input.AppraisalValue" localSheetId="15">AOPBuilding3!$E$4</definedName>
    <definedName name="Input.AppraisalValue" localSheetId="16">AOPBuilding4!$E$4</definedName>
    <definedName name="Input.AppraisalValue" localSheetId="17">AOPBuilding5!$E$4</definedName>
    <definedName name="Input.AppraisalValue" localSheetId="18">AOPBuilding6!$E$4</definedName>
    <definedName name="Input.AppraisalValue" localSheetId="19">AOPBuilding7!$E$4</definedName>
    <definedName name="Input.AppraisalValue" localSheetId="20">AOPBuilding8!$E$4</definedName>
    <definedName name="Input.AppraisalValue" localSheetId="21">AOPBuilding9!$E$4</definedName>
    <definedName name="Input.AppraisalValue" localSheetId="25">AOPBuildingTemplate!$E$4</definedName>
    <definedName name="Input.AppraisalValue">#REF!</definedName>
    <definedName name="Input.BILimit" localSheetId="13">AOPBuilding1!$B$26</definedName>
    <definedName name="Input.BILimit" localSheetId="22">AOPBuilding10!$B$26</definedName>
    <definedName name="Input.BILimit" localSheetId="23">AOPBuilding11!$B$26</definedName>
    <definedName name="Input.BILimit" localSheetId="14">AOPBuilding2!$B$26</definedName>
    <definedName name="Input.BILimit" localSheetId="15">AOPBuilding3!$B$26</definedName>
    <definedName name="Input.BILimit" localSheetId="16">AOPBuilding4!$B$26</definedName>
    <definedName name="Input.BILimit" localSheetId="17">AOPBuilding5!$B$26</definedName>
    <definedName name="Input.BILimit" localSheetId="18">AOPBuilding6!$B$26</definedName>
    <definedName name="Input.BILimit" localSheetId="19">AOPBuilding7!$B$26</definedName>
    <definedName name="Input.BILimit" localSheetId="20">AOPBuilding8!$B$26</definedName>
    <definedName name="Input.BILimit" localSheetId="21">AOPBuilding9!$B$26</definedName>
    <definedName name="Input.BILimit" localSheetId="25">AOPBuildingTemplate!$B$26</definedName>
    <definedName name="Input.BILimit">#REF!</definedName>
    <definedName name="Input.BldgAddress" localSheetId="13">AOPBuilding1!$B$5</definedName>
    <definedName name="Input.BldgAddress" localSheetId="22">AOPBuilding10!$B$5</definedName>
    <definedName name="Input.BldgAddress" localSheetId="23">AOPBuilding11!$B$5</definedName>
    <definedName name="Input.BldgAddress" localSheetId="14">AOPBuilding2!$B$5</definedName>
    <definedName name="Input.BldgAddress" localSheetId="15">AOPBuilding3!$B$5</definedName>
    <definedName name="Input.BldgAddress" localSheetId="16">AOPBuilding4!$B$5</definedName>
    <definedName name="Input.BldgAddress" localSheetId="17">AOPBuilding5!$B$5</definedName>
    <definedName name="Input.BldgAddress" localSheetId="18">AOPBuilding6!$B$5</definedName>
    <definedName name="Input.BldgAddress" localSheetId="19">AOPBuilding7!$B$5</definedName>
    <definedName name="Input.BldgAddress" localSheetId="20">AOPBuilding8!$B$5</definedName>
    <definedName name="Input.BldgAddress" localSheetId="21">AOPBuilding9!$B$5</definedName>
    <definedName name="Input.BldgAddress" localSheetId="25">AOPBuildingTemplate!$B$5</definedName>
    <definedName name="Input.BldgAddress">#REF!</definedName>
    <definedName name="Input.BldgCity" localSheetId="13">AOPBuilding1!$B$6</definedName>
    <definedName name="Input.BldgCity" localSheetId="22">AOPBuilding10!$B$6</definedName>
    <definedName name="Input.BldgCity" localSheetId="23">AOPBuilding11!$B$6</definedName>
    <definedName name="Input.BldgCity" localSheetId="14">AOPBuilding2!$B$6</definedName>
    <definedName name="Input.BldgCity" localSheetId="15">AOPBuilding3!$B$6</definedName>
    <definedName name="Input.BldgCity" localSheetId="16">AOPBuilding4!$B$6</definedName>
    <definedName name="Input.BldgCity" localSheetId="17">AOPBuilding5!$B$6</definedName>
    <definedName name="Input.BldgCity" localSheetId="18">AOPBuilding6!$B$6</definedName>
    <definedName name="Input.BldgCity" localSheetId="19">AOPBuilding7!$B$6</definedName>
    <definedName name="Input.BldgCity" localSheetId="20">AOPBuilding8!$B$6</definedName>
    <definedName name="Input.BldgCity" localSheetId="21">AOPBuilding9!$B$6</definedName>
    <definedName name="Input.BldgCity" localSheetId="25">AOPBuildingTemplate!$B$6</definedName>
    <definedName name="Input.BldgCity">#REF!</definedName>
    <definedName name="Input.BldgDescription" localSheetId="13">AOPBuilding1!$B$4</definedName>
    <definedName name="Input.BldgDescription" localSheetId="22">AOPBuilding10!$B$4</definedName>
    <definedName name="Input.BldgDescription" localSheetId="23">AOPBuilding11!$B$4</definedName>
    <definedName name="Input.BldgDescription" localSheetId="14">AOPBuilding2!$B$4</definedName>
    <definedName name="Input.BldgDescription" localSheetId="15">AOPBuilding3!$B$4</definedName>
    <definedName name="Input.BldgDescription" localSheetId="16">AOPBuilding4!$B$4</definedName>
    <definedName name="Input.BldgDescription" localSheetId="17">AOPBuilding5!$B$4</definedName>
    <definedName name="Input.BldgDescription" localSheetId="18">AOPBuilding6!$B$4</definedName>
    <definedName name="Input.BldgDescription" localSheetId="19">AOPBuilding7!$B$4</definedName>
    <definedName name="Input.BldgDescription" localSheetId="20">AOPBuilding8!$B$4</definedName>
    <definedName name="Input.BldgDescription" localSheetId="21">AOPBuilding9!$B$4</definedName>
    <definedName name="Input.BldgDescription" localSheetId="25">AOPBuildingTemplate!$B$4</definedName>
    <definedName name="Input.BldgDescription">#REF!</definedName>
    <definedName name="Input.BldgRegion" localSheetId="13">AOPBuilding1!$B$9</definedName>
    <definedName name="Input.BldgRegion" localSheetId="22">AOPBuilding10!$B$9</definedName>
    <definedName name="Input.BldgRegion" localSheetId="23">AOPBuilding11!$B$9</definedName>
    <definedName name="Input.BldgRegion" localSheetId="14">AOPBuilding2!$B$9</definedName>
    <definedName name="Input.BldgRegion" localSheetId="15">AOPBuilding3!$B$9</definedName>
    <definedName name="Input.BldgRegion" localSheetId="16">AOPBuilding4!$B$9</definedName>
    <definedName name="Input.BldgRegion" localSheetId="17">AOPBuilding5!$B$9</definedName>
    <definedName name="Input.BldgRegion" localSheetId="18">AOPBuilding6!$B$9</definedName>
    <definedName name="Input.BldgRegion" localSheetId="19">AOPBuilding7!$B$9</definedName>
    <definedName name="Input.BldgRegion" localSheetId="20">AOPBuilding8!$B$9</definedName>
    <definedName name="Input.BldgRegion" localSheetId="21">AOPBuilding9!$B$9</definedName>
    <definedName name="Input.BldgRegion" localSheetId="25">AOPBuildingTemplate!$B$9</definedName>
    <definedName name="Input.BldgRegion">#REF!</definedName>
    <definedName name="Input.BldgState" localSheetId="13">AOPBuilding1!$B$7</definedName>
    <definedName name="Input.BldgState" localSheetId="22">AOPBuilding10!$B$7</definedName>
    <definedName name="Input.BldgState" localSheetId="23">AOPBuilding11!$B$7</definedName>
    <definedName name="Input.BldgState" localSheetId="14">AOPBuilding2!$B$7</definedName>
    <definedName name="Input.BldgState" localSheetId="15">AOPBuilding3!$B$7</definedName>
    <definedName name="Input.BldgState" localSheetId="16">AOPBuilding4!$B$7</definedName>
    <definedName name="Input.BldgState" localSheetId="17">AOPBuilding5!$B$7</definedName>
    <definedName name="Input.BldgState" localSheetId="18">AOPBuilding6!$B$7</definedName>
    <definedName name="Input.BldgState" localSheetId="19">AOPBuilding7!$B$7</definedName>
    <definedName name="Input.BldgState" localSheetId="20">AOPBuilding8!$B$7</definedName>
    <definedName name="Input.BldgState" localSheetId="21">AOPBuilding9!$B$7</definedName>
    <definedName name="Input.BldgState" localSheetId="25">AOPBuildingTemplate!$B$7</definedName>
    <definedName name="Input.BldgState">#REF!</definedName>
    <definedName name="Input.BldgZipCode" localSheetId="13">AOPBuilding1!$B$8</definedName>
    <definedName name="Input.BldgZipCode" localSheetId="22">AOPBuilding10!$B$8</definedName>
    <definedName name="Input.BldgZipCode" localSheetId="23">AOPBuilding11!$B$8</definedName>
    <definedName name="Input.BldgZipCode" localSheetId="14">AOPBuilding2!$B$8</definedName>
    <definedName name="Input.BldgZipCode" localSheetId="15">AOPBuilding3!$B$8</definedName>
    <definedName name="Input.BldgZipCode" localSheetId="16">AOPBuilding4!$B$8</definedName>
    <definedName name="Input.BldgZipCode" localSheetId="17">AOPBuilding5!$B$8</definedName>
    <definedName name="Input.BldgZipCode" localSheetId="18">AOPBuilding6!$B$8</definedName>
    <definedName name="Input.BldgZipCode" localSheetId="19">AOPBuilding7!$B$8</definedName>
    <definedName name="Input.BldgZipCode" localSheetId="20">AOPBuilding8!$B$8</definedName>
    <definedName name="Input.BldgZipCode" localSheetId="21">AOPBuilding9!$B$8</definedName>
    <definedName name="Input.BldgZipCode" localSheetId="25">AOPBuildingTemplate!$B$8</definedName>
    <definedName name="Input.BldgZipCode">#REF!</definedName>
    <definedName name="Input.BuildingTIV" localSheetId="13">AOPBuilding1!$B$24</definedName>
    <definedName name="Input.BuildingTIV" localSheetId="22">AOPBuilding10!$B$24</definedName>
    <definedName name="Input.BuildingTIV" localSheetId="23">AOPBuilding11!$B$24</definedName>
    <definedName name="Input.BuildingTIV" localSheetId="14">AOPBuilding2!$B$24</definedName>
    <definedName name="Input.BuildingTIV" localSheetId="15">AOPBuilding3!$B$24</definedName>
    <definedName name="Input.BuildingTIV" localSheetId="16">AOPBuilding4!$B$24</definedName>
    <definedName name="Input.BuildingTIV" localSheetId="17">AOPBuilding5!$B$24</definedName>
    <definedName name="Input.BuildingTIV" localSheetId="18">AOPBuilding6!$B$24</definedName>
    <definedName name="Input.BuildingTIV" localSheetId="19">AOPBuilding7!$B$24</definedName>
    <definedName name="Input.BuildingTIV" localSheetId="20">AOPBuilding8!$B$24</definedName>
    <definedName name="Input.BuildingTIV" localSheetId="21">AOPBuilding9!$B$24</definedName>
    <definedName name="Input.BuildingTIV" localSheetId="25">AOPBuildingTemplate!$B$24</definedName>
    <definedName name="Input.BuildingTIV">#REF!</definedName>
    <definedName name="Input.ConstructionType" localSheetId="13">AOPBuilding1!$B$17</definedName>
    <definedName name="Input.ConstructionType" localSheetId="22">AOPBuilding10!$B$17</definedName>
    <definedName name="Input.ConstructionType" localSheetId="23">AOPBuilding11!$B$17</definedName>
    <definedName name="Input.ConstructionType" localSheetId="14">AOPBuilding2!$B$17</definedName>
    <definedName name="Input.ConstructionType" localSheetId="15">AOPBuilding3!$B$17</definedName>
    <definedName name="Input.ConstructionType" localSheetId="16">AOPBuilding4!$B$17</definedName>
    <definedName name="Input.ConstructionType" localSheetId="17">AOPBuilding5!$B$17</definedName>
    <definedName name="Input.ConstructionType" localSheetId="18">AOPBuilding6!$B$17</definedName>
    <definedName name="Input.ConstructionType" localSheetId="19">AOPBuilding7!$B$17</definedName>
    <definedName name="Input.ConstructionType" localSheetId="20">AOPBuilding8!$B$17</definedName>
    <definedName name="Input.ConstructionType" localSheetId="21">AOPBuilding9!$B$17</definedName>
    <definedName name="Input.ConstructionType" localSheetId="25">AOPBuildingTemplate!$B$17</definedName>
    <definedName name="Input.ConstructionType">#REF!</definedName>
    <definedName name="Input.ContentsValue" localSheetId="13">AOPBuilding1!$B$25</definedName>
    <definedName name="Input.ContentsValue" localSheetId="22">AOPBuilding10!$B$25</definedName>
    <definedName name="Input.ContentsValue" localSheetId="23">AOPBuilding11!$B$25</definedName>
    <definedName name="Input.ContentsValue" localSheetId="14">AOPBuilding2!$B$25</definedName>
    <definedName name="Input.ContentsValue" localSheetId="15">AOPBuilding3!$B$25</definedName>
    <definedName name="Input.ContentsValue" localSheetId="16">AOPBuilding4!$B$25</definedName>
    <definedName name="Input.ContentsValue" localSheetId="17">AOPBuilding5!$B$25</definedName>
    <definedName name="Input.ContentsValue" localSheetId="18">AOPBuilding6!$B$25</definedName>
    <definedName name="Input.ContentsValue" localSheetId="19">AOPBuilding7!$B$25</definedName>
    <definedName name="Input.ContentsValue" localSheetId="20">AOPBuilding8!$B$25</definedName>
    <definedName name="Input.ContentsValue" localSheetId="21">AOPBuilding9!$B$25</definedName>
    <definedName name="Input.ContentsValue" localSheetId="25">AOPBuildingTemplate!$B$25</definedName>
    <definedName name="Input.ContentsValue">#REF!</definedName>
    <definedName name="Input.ExtendedIndemnity" localSheetId="13">AOPBuilding1!$B$35</definedName>
    <definedName name="Input.ExtendedIndemnity" localSheetId="22">AOPBuilding10!$B$35</definedName>
    <definedName name="Input.ExtendedIndemnity" localSheetId="23">AOPBuilding11!$B$35</definedName>
    <definedName name="Input.ExtendedIndemnity" localSheetId="14">AOPBuilding2!$B$35</definedName>
    <definedName name="Input.ExtendedIndemnity" localSheetId="15">AOPBuilding3!$B$35</definedName>
    <definedName name="Input.ExtendedIndemnity" localSheetId="16">AOPBuilding4!$B$35</definedName>
    <definedName name="Input.ExtendedIndemnity" localSheetId="17">AOPBuilding5!$B$35</definedName>
    <definedName name="Input.ExtendedIndemnity" localSheetId="18">AOPBuilding6!$B$35</definedName>
    <definedName name="Input.ExtendedIndemnity" localSheetId="19">AOPBuilding7!$B$35</definedName>
    <definedName name="Input.ExtendedIndemnity" localSheetId="20">AOPBuilding8!$B$35</definedName>
    <definedName name="Input.ExtendedIndemnity" localSheetId="21">AOPBuilding9!$B$35</definedName>
    <definedName name="Input.ExtendedIndemnity" localSheetId="25">AOPBuildingTemplate!$B$35</definedName>
    <definedName name="Input.ExtendedIndemnity">#REF!</definedName>
    <definedName name="Input.IncreasedRestoration" localSheetId="13">AOPBuilding1!$E$41</definedName>
    <definedName name="Input.IncreasedRestoration" localSheetId="22">AOPBuilding10!$E$41</definedName>
    <definedName name="Input.IncreasedRestoration" localSheetId="23">AOPBuilding11!$E$41</definedName>
    <definedName name="Input.IncreasedRestoration" localSheetId="14">AOPBuilding2!$E$41</definedName>
    <definedName name="Input.IncreasedRestoration" localSheetId="15">AOPBuilding3!$E$41</definedName>
    <definedName name="Input.IncreasedRestoration" localSheetId="16">AOPBuilding4!$E$41</definedName>
    <definedName name="Input.IncreasedRestoration" localSheetId="17">AOPBuilding5!$E$41</definedName>
    <definedName name="Input.IncreasedRestoration" localSheetId="18">AOPBuilding6!$E$41</definedName>
    <definedName name="Input.IncreasedRestoration" localSheetId="19">AOPBuilding7!$E$41</definedName>
    <definedName name="Input.IncreasedRestoration" localSheetId="20">AOPBuilding8!$E$41</definedName>
    <definedName name="Input.IncreasedRestoration" localSheetId="21">AOPBuilding9!$E$41</definedName>
    <definedName name="Input.IncreasedRestoration" localSheetId="25">AOPBuildingTemplate!$E$41</definedName>
    <definedName name="Input.IncreasedRestoration">#REF!</definedName>
    <definedName name="Input.LocationNumber" localSheetId="13">AOPBuilding1!$B$2</definedName>
    <definedName name="Input.LocationNumber" localSheetId="22">AOPBuilding10!$B$2</definedName>
    <definedName name="Input.LocationNumber" localSheetId="23">AOPBuilding11!$B$2</definedName>
    <definedName name="Input.LocationNumber" localSheetId="14">AOPBuilding2!$B$2</definedName>
    <definedName name="Input.LocationNumber" localSheetId="15">AOPBuilding3!$B$2</definedName>
    <definedName name="Input.LocationNumber" localSheetId="16">AOPBuilding4!$B$2</definedName>
    <definedName name="Input.LocationNumber" localSheetId="17">AOPBuilding5!$B$2</definedName>
    <definedName name="Input.LocationNumber" localSheetId="18">AOPBuilding6!$B$2</definedName>
    <definedName name="Input.LocationNumber" localSheetId="19">AOPBuilding7!$B$2</definedName>
    <definedName name="Input.LocationNumber" localSheetId="20">AOPBuilding8!$B$2</definedName>
    <definedName name="Input.LocationNumber" localSheetId="21">AOPBuilding9!$B$2</definedName>
    <definedName name="Input.LocationNumber" localSheetId="25">AOPBuildingTemplate!$B$2</definedName>
    <definedName name="Input.LocationNumber">#REF!</definedName>
    <definedName name="Input.Metropolitan" localSheetId="13">AOPBuilding1!$B$11</definedName>
    <definedName name="Input.Metropolitan" localSheetId="22">AOPBuilding10!$B$11</definedName>
    <definedName name="Input.Metropolitan" localSheetId="23">AOPBuilding11!$B$11</definedName>
    <definedName name="Input.Metropolitan" localSheetId="14">AOPBuilding2!$B$11</definedName>
    <definedName name="Input.Metropolitan" localSheetId="15">AOPBuilding3!$B$11</definedName>
    <definedName name="Input.Metropolitan" localSheetId="16">AOPBuilding4!$B$11</definedName>
    <definedName name="Input.Metropolitan" localSheetId="17">AOPBuilding5!$B$11</definedName>
    <definedName name="Input.Metropolitan" localSheetId="18">AOPBuilding6!$B$11</definedName>
    <definedName name="Input.Metropolitan" localSheetId="19">AOPBuilding7!$B$11</definedName>
    <definedName name="Input.Metropolitan" localSheetId="20">AOPBuilding8!$B$11</definedName>
    <definedName name="Input.Metropolitan" localSheetId="21">AOPBuilding9!$B$11</definedName>
    <definedName name="Input.Metropolitan" localSheetId="25">AOPBuildingTemplate!$B$11</definedName>
    <definedName name="Input.Metropolitan">#REF!</definedName>
    <definedName name="Input.NumberOfBldgs" localSheetId="13">AOPBuilding1!$B$14</definedName>
    <definedName name="Input.NumberOfBldgs" localSheetId="22">AOPBuilding10!$B$14</definedName>
    <definedName name="Input.NumberOfBldgs" localSheetId="23">AOPBuilding11!$B$14</definedName>
    <definedName name="Input.NumberOfBldgs" localSheetId="14">AOPBuilding2!$B$14</definedName>
    <definedName name="Input.NumberOfBldgs" localSheetId="15">AOPBuilding3!$B$14</definedName>
    <definedName name="Input.NumberOfBldgs" localSheetId="16">AOPBuilding4!$B$14</definedName>
    <definedName name="Input.NumberOfBldgs" localSheetId="17">AOPBuilding5!$B$14</definedName>
    <definedName name="Input.NumberOfBldgs" localSheetId="18">AOPBuilding6!$B$14</definedName>
    <definedName name="Input.NumberOfBldgs" localSheetId="19">AOPBuilding7!$B$14</definedName>
    <definedName name="Input.NumberOfBldgs" localSheetId="20">AOPBuilding8!$B$14</definedName>
    <definedName name="Input.NumberOfBldgs" localSheetId="21">AOPBuilding9!$B$14</definedName>
    <definedName name="Input.NumberOfBldgs" localSheetId="25">AOPBuildingTemplate!$B$14</definedName>
    <definedName name="Input.NumberOfBldgs">#REF!</definedName>
    <definedName name="Input.NumberOfStories" localSheetId="13">AOPBuilding1!$B$18</definedName>
    <definedName name="Input.NumberOfStories" localSheetId="22">AOPBuilding10!$B$18</definedName>
    <definedName name="Input.NumberOfStories" localSheetId="23">AOPBuilding11!$B$18</definedName>
    <definedName name="Input.NumberOfStories" localSheetId="14">AOPBuilding2!$B$18</definedName>
    <definedName name="Input.NumberOfStories" localSheetId="15">AOPBuilding3!$B$18</definedName>
    <definedName name="Input.NumberOfStories" localSheetId="16">AOPBuilding4!$B$18</definedName>
    <definedName name="Input.NumberOfStories" localSheetId="17">AOPBuilding5!$B$18</definedName>
    <definedName name="Input.NumberOfStories" localSheetId="18">AOPBuilding6!$B$18</definedName>
    <definedName name="Input.NumberOfStories" localSheetId="19">AOPBuilding7!$B$18</definedName>
    <definedName name="Input.NumberOfStories" localSheetId="20">AOPBuilding8!$B$18</definedName>
    <definedName name="Input.NumberOfStories" localSheetId="21">AOPBuilding9!$B$18</definedName>
    <definedName name="Input.NumberOfStories" localSheetId="25">AOPBuildingTemplate!$B$18</definedName>
    <definedName name="Input.NumberOfStories">#REF!</definedName>
    <definedName name="Input.Occupancy" localSheetId="13">AOPBuilding1!$B$12</definedName>
    <definedName name="Input.Occupancy" localSheetId="22">AOPBuilding10!$B$12</definedName>
    <definedName name="Input.Occupancy" localSheetId="23">AOPBuilding11!$B$12</definedName>
    <definedName name="Input.Occupancy" localSheetId="14">AOPBuilding2!$B$12</definedName>
    <definedName name="Input.Occupancy" localSheetId="15">AOPBuilding3!$B$12</definedName>
    <definedName name="Input.Occupancy" localSheetId="16">AOPBuilding4!$B$12</definedName>
    <definedName name="Input.Occupancy" localSheetId="17">AOPBuilding5!$B$12</definedName>
    <definedName name="Input.Occupancy" localSheetId="18">AOPBuilding6!$B$12</definedName>
    <definedName name="Input.Occupancy" localSheetId="19">AOPBuilding7!$B$12</definedName>
    <definedName name="Input.Occupancy" localSheetId="20">AOPBuilding8!$B$12</definedName>
    <definedName name="Input.Occupancy" localSheetId="21">AOPBuilding9!$B$12</definedName>
    <definedName name="Input.Occupancy" localSheetId="25">AOPBuildingTemplate!$B$12</definedName>
    <definedName name="Input.Occupancy">#REF!</definedName>
    <definedName name="Input.OrdLawALimit" localSheetId="13">AOPBuilding1!$E$36</definedName>
    <definedName name="Input.OrdLawALimit" localSheetId="22">AOPBuilding10!$E$36</definedName>
    <definedName name="Input.OrdLawALimit" localSheetId="23">AOPBuilding11!$E$36</definedName>
    <definedName name="Input.OrdLawALimit" localSheetId="14">AOPBuilding2!$E$36</definedName>
    <definedName name="Input.OrdLawALimit" localSheetId="15">AOPBuilding3!$E$36</definedName>
    <definedName name="Input.OrdLawALimit" localSheetId="16">AOPBuilding4!$E$36</definedName>
    <definedName name="Input.OrdLawALimit" localSheetId="17">AOPBuilding5!$E$36</definedName>
    <definedName name="Input.OrdLawALimit" localSheetId="18">AOPBuilding6!$E$36</definedName>
    <definedName name="Input.OrdLawALimit" localSheetId="19">AOPBuilding7!$E$36</definedName>
    <definedName name="Input.OrdLawALimit" localSheetId="20">AOPBuilding8!$E$36</definedName>
    <definedName name="Input.OrdLawALimit" localSheetId="21">AOPBuilding9!$E$36</definedName>
    <definedName name="Input.OrdLawALimit" localSheetId="25">AOPBuildingTemplate!$E$36</definedName>
    <definedName name="Input.OrdLawALimit">#REF!</definedName>
    <definedName name="Input.OrdLawASelected" localSheetId="13">AOPBuilding1!$E$25</definedName>
    <definedName name="Input.OrdLawASelected" localSheetId="22">AOPBuilding10!$E$25</definedName>
    <definedName name="Input.OrdLawASelected" localSheetId="23">AOPBuilding11!$E$25</definedName>
    <definedName name="Input.OrdLawASelected" localSheetId="14">AOPBuilding2!$E$25</definedName>
    <definedName name="Input.OrdLawASelected" localSheetId="15">AOPBuilding3!$E$25</definedName>
    <definedName name="Input.OrdLawASelected" localSheetId="16">AOPBuilding4!$E$25</definedName>
    <definedName name="Input.OrdLawASelected" localSheetId="17">AOPBuilding5!$E$25</definedName>
    <definedName name="Input.OrdLawASelected" localSheetId="18">AOPBuilding6!$E$25</definedName>
    <definedName name="Input.OrdLawASelected" localSheetId="19">AOPBuilding7!$E$25</definedName>
    <definedName name="Input.OrdLawASelected" localSheetId="20">AOPBuilding8!$E$25</definedName>
    <definedName name="Input.OrdLawASelected" localSheetId="21">AOPBuilding9!$E$25</definedName>
    <definedName name="Input.OrdLawASelected" localSheetId="25">AOPBuildingTemplate!$E$25</definedName>
    <definedName name="Input.OrdLawASelected">#REF!</definedName>
    <definedName name="Input.OrdLawBlanketABCLimit" localSheetId="13">AOPBuilding1!$E$40</definedName>
    <definedName name="Input.OrdLawBlanketABCLimit" localSheetId="22">AOPBuilding10!$E$40</definedName>
    <definedName name="Input.OrdLawBlanketABCLimit" localSheetId="23">AOPBuilding11!$E$40</definedName>
    <definedName name="Input.OrdLawBlanketABCLimit" localSheetId="14">AOPBuilding2!$E$40</definedName>
    <definedName name="Input.OrdLawBlanketABCLimit" localSheetId="15">AOPBuilding3!$E$40</definedName>
    <definedName name="Input.OrdLawBlanketABCLimit" localSheetId="16">AOPBuilding4!$E$40</definedName>
    <definedName name="Input.OrdLawBlanketABCLimit" localSheetId="17">AOPBuilding5!$E$40</definedName>
    <definedName name="Input.OrdLawBlanketABCLimit" localSheetId="18">AOPBuilding6!$E$40</definedName>
    <definedName name="Input.OrdLawBlanketABCLimit" localSheetId="19">AOPBuilding7!$E$40</definedName>
    <definedName name="Input.OrdLawBlanketABCLimit" localSheetId="20">AOPBuilding8!$E$40</definedName>
    <definedName name="Input.OrdLawBlanketABCLimit" localSheetId="21">AOPBuilding9!$E$40</definedName>
    <definedName name="Input.OrdLawBlanketABCLimit" localSheetId="25">AOPBuildingTemplate!$E$40</definedName>
    <definedName name="Input.OrdLawBlanketABCLimit">#REF!</definedName>
    <definedName name="Input.OrdLawBlanketABCSelected" localSheetId="13">AOPBuilding1!$E$29</definedName>
    <definedName name="Input.OrdLawBlanketABCSelected" localSheetId="22">AOPBuilding10!$E$29</definedName>
    <definedName name="Input.OrdLawBlanketABCSelected" localSheetId="23">AOPBuilding11!$E$29</definedName>
    <definedName name="Input.OrdLawBlanketABCSelected" localSheetId="14">AOPBuilding2!$E$29</definedName>
    <definedName name="Input.OrdLawBlanketABCSelected" localSheetId="15">AOPBuilding3!$E$29</definedName>
    <definedName name="Input.OrdLawBlanketABCSelected" localSheetId="16">AOPBuilding4!$E$29</definedName>
    <definedName name="Input.OrdLawBlanketABCSelected" localSheetId="17">AOPBuilding5!$E$29</definedName>
    <definedName name="Input.OrdLawBlanketABCSelected" localSheetId="18">AOPBuilding6!$E$29</definedName>
    <definedName name="Input.OrdLawBlanketABCSelected" localSheetId="19">AOPBuilding7!$E$29</definedName>
    <definedName name="Input.OrdLawBlanketABCSelected" localSheetId="20">AOPBuilding8!$E$29</definedName>
    <definedName name="Input.OrdLawBlanketABCSelected" localSheetId="21">AOPBuilding9!$E$29</definedName>
    <definedName name="Input.OrdLawBlanketABCSelected" localSheetId="25">AOPBuildingTemplate!$E$29</definedName>
    <definedName name="Input.OrdLawBlanketABCSelected">#REF!</definedName>
    <definedName name="Input.OrdLawBlanketBCLimit" localSheetId="13">AOPBuilding1!$E$39</definedName>
    <definedName name="Input.OrdLawBlanketBCLimit" localSheetId="22">AOPBuilding10!$E$39</definedName>
    <definedName name="Input.OrdLawBlanketBCLimit" localSheetId="23">AOPBuilding11!$E$39</definedName>
    <definedName name="Input.OrdLawBlanketBCLimit" localSheetId="14">AOPBuilding2!$E$39</definedName>
    <definedName name="Input.OrdLawBlanketBCLimit" localSheetId="15">AOPBuilding3!$E$39</definedName>
    <definedName name="Input.OrdLawBlanketBCLimit" localSheetId="16">AOPBuilding4!$E$39</definedName>
    <definedName name="Input.OrdLawBlanketBCLimit" localSheetId="17">AOPBuilding5!$E$39</definedName>
    <definedName name="Input.OrdLawBlanketBCLimit" localSheetId="18">AOPBuilding6!$E$39</definedName>
    <definedName name="Input.OrdLawBlanketBCLimit" localSheetId="19">AOPBuilding7!$E$39</definedName>
    <definedName name="Input.OrdLawBlanketBCLimit" localSheetId="20">AOPBuilding8!$E$39</definedName>
    <definedName name="Input.OrdLawBlanketBCLimit" localSheetId="21">AOPBuilding9!$E$39</definedName>
    <definedName name="Input.OrdLawBlanketBCLimit" localSheetId="25">AOPBuildingTemplate!$E$39</definedName>
    <definedName name="Input.OrdLawBlanketBCLimit">#REF!</definedName>
    <definedName name="Input.OrdLawBlanketBCSelected" localSheetId="13">AOPBuilding1!$E$28</definedName>
    <definedName name="Input.OrdLawBlanketBCSelected" localSheetId="22">AOPBuilding10!$E$28</definedName>
    <definedName name="Input.OrdLawBlanketBCSelected" localSheetId="23">AOPBuilding11!$E$28</definedName>
    <definedName name="Input.OrdLawBlanketBCSelected" localSheetId="14">AOPBuilding2!$E$28</definedName>
    <definedName name="Input.OrdLawBlanketBCSelected" localSheetId="15">AOPBuilding3!$E$28</definedName>
    <definedName name="Input.OrdLawBlanketBCSelected" localSheetId="16">AOPBuilding4!$E$28</definedName>
    <definedName name="Input.OrdLawBlanketBCSelected" localSheetId="17">AOPBuilding5!$E$28</definedName>
    <definedName name="Input.OrdLawBlanketBCSelected" localSheetId="18">AOPBuilding6!$E$28</definedName>
    <definedName name="Input.OrdLawBlanketBCSelected" localSheetId="19">AOPBuilding7!$E$28</definedName>
    <definedName name="Input.OrdLawBlanketBCSelected" localSheetId="20">AOPBuilding8!$E$28</definedName>
    <definedName name="Input.OrdLawBlanketBCSelected" localSheetId="21">AOPBuilding9!$E$28</definedName>
    <definedName name="Input.OrdLawBlanketBCSelected" localSheetId="25">AOPBuildingTemplate!$E$28</definedName>
    <definedName name="Input.OrdLawBlanketBCSelected">#REF!</definedName>
    <definedName name="Input.OrdLawBLimit" localSheetId="13">AOPBuilding1!$E$37</definedName>
    <definedName name="Input.OrdLawBLimit" localSheetId="22">AOPBuilding10!$E$37</definedName>
    <definedName name="Input.OrdLawBLimit" localSheetId="23">AOPBuilding11!$E$37</definedName>
    <definedName name="Input.OrdLawBLimit" localSheetId="14">AOPBuilding2!$E$37</definedName>
    <definedName name="Input.OrdLawBLimit" localSheetId="15">AOPBuilding3!$E$37</definedName>
    <definedName name="Input.OrdLawBLimit" localSheetId="16">AOPBuilding4!$E$37</definedName>
    <definedName name="Input.OrdLawBLimit" localSheetId="17">AOPBuilding5!$E$37</definedName>
    <definedName name="Input.OrdLawBLimit" localSheetId="18">AOPBuilding6!$E$37</definedName>
    <definedName name="Input.OrdLawBLimit" localSheetId="19">AOPBuilding7!$E$37</definedName>
    <definedName name="Input.OrdLawBLimit" localSheetId="20">AOPBuilding8!$E$37</definedName>
    <definedName name="Input.OrdLawBLimit" localSheetId="21">AOPBuilding9!$E$37</definedName>
    <definedName name="Input.OrdLawBLimit" localSheetId="25">AOPBuildingTemplate!$E$37</definedName>
    <definedName name="Input.OrdLawBLimit">#REF!</definedName>
    <definedName name="Input.OrdLawbSelected" localSheetId="13">AOPBuilding1!$E$26</definedName>
    <definedName name="Input.OrdLawbSelected" localSheetId="22">AOPBuilding10!$E$26</definedName>
    <definedName name="Input.OrdLawbSelected" localSheetId="23">AOPBuilding11!$E$26</definedName>
    <definedName name="Input.OrdLawbSelected" localSheetId="14">AOPBuilding2!$E$26</definedName>
    <definedName name="Input.OrdLawbSelected" localSheetId="15">AOPBuilding3!$E$26</definedName>
    <definedName name="Input.OrdLawbSelected" localSheetId="16">AOPBuilding4!$E$26</definedName>
    <definedName name="Input.OrdLawbSelected" localSheetId="17">AOPBuilding5!$E$26</definedName>
    <definedName name="Input.OrdLawbSelected" localSheetId="18">AOPBuilding6!$E$26</definedName>
    <definedName name="Input.OrdLawbSelected" localSheetId="19">AOPBuilding7!$E$26</definedName>
    <definedName name="Input.OrdLawbSelected" localSheetId="20">AOPBuilding8!$E$26</definedName>
    <definedName name="Input.OrdLawbSelected" localSheetId="21">AOPBuilding9!$E$26</definedName>
    <definedName name="Input.OrdLawbSelected" localSheetId="25">AOPBuildingTemplate!$E$26</definedName>
    <definedName name="Input.OrdLawbSelected">#REF!</definedName>
    <definedName name="Input.OrdLawCLimit" localSheetId="13">AOPBuilding1!$E$38</definedName>
    <definedName name="Input.OrdLawCLimit" localSheetId="22">AOPBuilding10!$E$38</definedName>
    <definedName name="Input.OrdLawCLimit" localSheetId="23">AOPBuilding11!$E$38</definedName>
    <definedName name="Input.OrdLawCLimit" localSheetId="14">AOPBuilding2!$E$38</definedName>
    <definedName name="Input.OrdLawCLimit" localSheetId="15">AOPBuilding3!$E$38</definedName>
    <definedName name="Input.OrdLawCLimit" localSheetId="16">AOPBuilding4!$E$38</definedName>
    <definedName name="Input.OrdLawCLimit" localSheetId="17">AOPBuilding5!$E$38</definedName>
    <definedName name="Input.OrdLawCLimit" localSheetId="18">AOPBuilding6!$E$38</definedName>
    <definedName name="Input.OrdLawCLimit" localSheetId="19">AOPBuilding7!$E$38</definedName>
    <definedName name="Input.OrdLawCLimit" localSheetId="20">AOPBuilding8!$E$38</definedName>
    <definedName name="Input.OrdLawCLimit" localSheetId="21">AOPBuilding9!$E$38</definedName>
    <definedName name="Input.OrdLawCLimit" localSheetId="25">AOPBuildingTemplate!$E$38</definedName>
    <definedName name="Input.OrdLawCLimit">#REF!</definedName>
    <definedName name="Input.OrdLawCSelected" localSheetId="13">AOPBuilding1!$E$27</definedName>
    <definedName name="Input.OrdLawCSelected" localSheetId="22">AOPBuilding10!$E$27</definedName>
    <definedName name="Input.OrdLawCSelected" localSheetId="23">AOPBuilding11!$E$27</definedName>
    <definedName name="Input.OrdLawCSelected" localSheetId="14">AOPBuilding2!$E$27</definedName>
    <definedName name="Input.OrdLawCSelected" localSheetId="15">AOPBuilding3!$E$27</definedName>
    <definedName name="Input.OrdLawCSelected" localSheetId="16">AOPBuilding4!$E$27</definedName>
    <definedName name="Input.OrdLawCSelected" localSheetId="17">AOPBuilding5!$E$27</definedName>
    <definedName name="Input.OrdLawCSelected" localSheetId="18">AOPBuilding6!$E$27</definedName>
    <definedName name="Input.OrdLawCSelected" localSheetId="19">AOPBuilding7!$E$27</definedName>
    <definedName name="Input.OrdLawCSelected" localSheetId="20">AOPBuilding8!$E$27</definedName>
    <definedName name="Input.OrdLawCSelected" localSheetId="21">AOPBuilding9!$E$27</definedName>
    <definedName name="Input.OrdLawCSelected" localSheetId="25">AOPBuildingTemplate!$E$27</definedName>
    <definedName name="Input.OrdLawCSelected">#REF!</definedName>
    <definedName name="Input.PctOccupied" localSheetId="13">AOPBuilding1!$B$13</definedName>
    <definedName name="Input.PctOccupied" localSheetId="22">AOPBuilding10!$B$13</definedName>
    <definedName name="Input.PctOccupied" localSheetId="23">AOPBuilding11!$B$13</definedName>
    <definedName name="Input.PctOccupied" localSheetId="14">AOPBuilding2!$B$13</definedName>
    <definedName name="Input.PctOccupied" localSheetId="15">AOPBuilding3!$B$13</definedName>
    <definedName name="Input.PctOccupied" localSheetId="16">AOPBuilding4!$B$13</definedName>
    <definedName name="Input.PctOccupied" localSheetId="17">AOPBuilding5!$B$13</definedName>
    <definedName name="Input.PctOccupied" localSheetId="18">AOPBuilding6!$B$13</definedName>
    <definedName name="Input.PctOccupied" localSheetId="19">AOPBuilding7!$B$13</definedName>
    <definedName name="Input.PctOccupied" localSheetId="20">AOPBuilding8!$B$13</definedName>
    <definedName name="Input.PctOccupied" localSheetId="21">AOPBuilding9!$B$13</definedName>
    <definedName name="Input.PctOccupied" localSheetId="25">AOPBuildingTemplate!$B$13</definedName>
    <definedName name="Input.PctOccupied">#REF!</definedName>
    <definedName name="Input.PPC" localSheetId="13">AOPBuilding1!$B$19</definedName>
    <definedName name="Input.PPC" localSheetId="22">AOPBuilding10!$B$19</definedName>
    <definedName name="Input.PPC" localSheetId="23">AOPBuilding11!$B$19</definedName>
    <definedName name="Input.PPC" localSheetId="14">AOPBuilding2!$B$19</definedName>
    <definedName name="Input.PPC" localSheetId="15">AOPBuilding3!$B$19</definedName>
    <definedName name="Input.PPC" localSheetId="16">AOPBuilding4!$B$19</definedName>
    <definedName name="Input.PPC" localSheetId="17">AOPBuilding5!$B$19</definedName>
    <definedName name="Input.PPC" localSheetId="18">AOPBuilding6!$B$19</definedName>
    <definedName name="Input.PPC" localSheetId="19">AOPBuilding7!$B$19</definedName>
    <definedName name="Input.PPC" localSheetId="20">AOPBuilding8!$B$19</definedName>
    <definedName name="Input.PPC" localSheetId="21">AOPBuilding9!$B$19</definedName>
    <definedName name="Input.PPC" localSheetId="25">AOPBuildingTemplate!$B$19</definedName>
    <definedName name="Input.PPC">#REF!</definedName>
    <definedName name="Input.SinkholeCoverage" localSheetId="13">AOPBuilding1!$B$34</definedName>
    <definedName name="Input.SinkholeCoverage" localSheetId="22">AOPBuilding10!$B$34</definedName>
    <definedName name="Input.SinkholeCoverage" localSheetId="23">AOPBuilding11!$B$34</definedName>
    <definedName name="Input.SinkholeCoverage" localSheetId="14">AOPBuilding2!$B$34</definedName>
    <definedName name="Input.SinkholeCoverage" localSheetId="15">AOPBuilding3!$B$34</definedName>
    <definedName name="Input.SinkholeCoverage" localSheetId="16">AOPBuilding4!$B$34</definedName>
    <definedName name="Input.SinkholeCoverage" localSheetId="17">AOPBuilding5!$B$34</definedName>
    <definedName name="Input.SinkholeCoverage" localSheetId="18">AOPBuilding6!$B$34</definedName>
    <definedName name="Input.SinkholeCoverage" localSheetId="19">AOPBuilding7!$B$34</definedName>
    <definedName name="Input.SinkholeCoverage" localSheetId="20">AOPBuilding8!$B$34</definedName>
    <definedName name="Input.SinkholeCoverage" localSheetId="21">AOPBuilding9!$B$34</definedName>
    <definedName name="Input.SinkholeCoverage" localSheetId="25">AOPBuildingTemplate!$B$34</definedName>
    <definedName name="Input.SinkholeCoverage">#REF!</definedName>
    <definedName name="Input.SinkholeRating" localSheetId="13">AOPBuilding1!$B$21</definedName>
    <definedName name="Input.SinkholeRating" localSheetId="22">AOPBuilding10!$B$21</definedName>
    <definedName name="Input.SinkholeRating" localSheetId="23">AOPBuilding11!$B$21</definedName>
    <definedName name="Input.SinkholeRating" localSheetId="14">AOPBuilding2!$B$21</definedName>
    <definedName name="Input.SinkholeRating" localSheetId="15">AOPBuilding3!$B$21</definedName>
    <definedName name="Input.SinkholeRating" localSheetId="16">AOPBuilding4!$B$21</definedName>
    <definedName name="Input.SinkholeRating" localSheetId="17">AOPBuilding5!$B$21</definedName>
    <definedName name="Input.SinkholeRating" localSheetId="18">AOPBuilding6!$B$21</definedName>
    <definedName name="Input.SinkholeRating" localSheetId="19">AOPBuilding7!$B$21</definedName>
    <definedName name="Input.SinkholeRating" localSheetId="20">AOPBuilding8!$B$21</definedName>
    <definedName name="Input.SinkholeRating" localSheetId="21">AOPBuilding9!$B$21</definedName>
    <definedName name="Input.SinkholeRating" localSheetId="25">AOPBuildingTemplate!$B$21</definedName>
    <definedName name="Input.SinkholeRating">#REF!</definedName>
    <definedName name="Input.Sprinkler" localSheetId="13">AOPBuilding1!$B$20</definedName>
    <definedName name="Input.Sprinkler" localSheetId="22">AOPBuilding10!$B$20</definedName>
    <definedName name="Input.Sprinkler" localSheetId="23">AOPBuilding11!$B$20</definedName>
    <definedName name="Input.Sprinkler" localSheetId="14">AOPBuilding2!$B$20</definedName>
    <definedName name="Input.Sprinkler" localSheetId="15">AOPBuilding3!$B$20</definedName>
    <definedName name="Input.Sprinkler" localSheetId="16">AOPBuilding4!$B$20</definedName>
    <definedName name="Input.Sprinkler" localSheetId="17">AOPBuilding5!$B$20</definedName>
    <definedName name="Input.Sprinkler" localSheetId="18">AOPBuilding6!$B$20</definedName>
    <definedName name="Input.Sprinkler" localSheetId="19">AOPBuilding7!$B$20</definedName>
    <definedName name="Input.Sprinkler" localSheetId="20">AOPBuilding8!$B$20</definedName>
    <definedName name="Input.Sprinkler" localSheetId="21">AOPBuilding9!$B$20</definedName>
    <definedName name="Input.Sprinkler" localSheetId="25">AOPBuildingTemplate!$B$20</definedName>
    <definedName name="Input.Sprinkler">#REF!</definedName>
    <definedName name="Input.SqFeet" localSheetId="13">AOPBuilding1!$E$7</definedName>
    <definedName name="Input.SqFeet" localSheetId="22">AOPBuilding10!$E$7</definedName>
    <definedName name="Input.SqFeet" localSheetId="23">AOPBuilding11!$E$7</definedName>
    <definedName name="Input.SqFeet" localSheetId="14">AOPBuilding2!$E$7</definedName>
    <definedName name="Input.SqFeet" localSheetId="15">AOPBuilding3!$E$7</definedName>
    <definedName name="Input.SqFeet" localSheetId="16">AOPBuilding4!$E$7</definedName>
    <definedName name="Input.SqFeet" localSheetId="17">AOPBuilding5!$E$7</definedName>
    <definedName name="Input.SqFeet" localSheetId="18">AOPBuilding6!$E$7</definedName>
    <definedName name="Input.SqFeet" localSheetId="19">AOPBuilding7!$E$7</definedName>
    <definedName name="Input.SqFeet" localSheetId="20">AOPBuilding8!$E$7</definedName>
    <definedName name="Input.SqFeet" localSheetId="21">AOPBuilding9!$E$7</definedName>
    <definedName name="Input.SqFeet" localSheetId="25">AOPBuildingTemplate!$E$7</definedName>
    <definedName name="Input.SqFeet">#REF!</definedName>
    <definedName name="Input.TheftExclusion" localSheetId="13">AOPBuilding1!$B$38</definedName>
    <definedName name="Input.TheftExclusion" localSheetId="22">AOPBuilding10!$B$38</definedName>
    <definedName name="Input.TheftExclusion" localSheetId="23">AOPBuilding11!$B$38</definedName>
    <definedName name="Input.TheftExclusion" localSheetId="14">AOPBuilding2!$B$38</definedName>
    <definedName name="Input.TheftExclusion" localSheetId="15">AOPBuilding3!$B$38</definedName>
    <definedName name="Input.TheftExclusion" localSheetId="16">AOPBuilding4!$B$38</definedName>
    <definedName name="Input.TheftExclusion" localSheetId="17">AOPBuilding5!$B$38</definedName>
    <definedName name="Input.TheftExclusion" localSheetId="18">AOPBuilding6!$B$38</definedName>
    <definedName name="Input.TheftExclusion" localSheetId="19">AOPBuilding7!$B$38</definedName>
    <definedName name="Input.TheftExclusion" localSheetId="20">AOPBuilding8!$B$38</definedName>
    <definedName name="Input.TheftExclusion" localSheetId="21">AOPBuilding9!$B$38</definedName>
    <definedName name="Input.TheftExclusion" localSheetId="25">AOPBuildingTemplate!$B$38</definedName>
    <definedName name="Input.TheftExclusion">#REF!</definedName>
    <definedName name="Input.TheftOfMetalExclusion" localSheetId="13">AOPBuilding1!$B$39</definedName>
    <definedName name="Input.TheftOfMetalExclusion" localSheetId="22">AOPBuilding10!$B$39</definedName>
    <definedName name="Input.TheftOfMetalExclusion" localSheetId="23">AOPBuilding11!$B$39</definedName>
    <definedName name="Input.TheftOfMetalExclusion" localSheetId="14">AOPBuilding2!$B$39</definedName>
    <definedName name="Input.TheftOfMetalExclusion" localSheetId="15">AOPBuilding3!$B$39</definedName>
    <definedName name="Input.TheftOfMetalExclusion" localSheetId="16">AOPBuilding4!$B$39</definedName>
    <definedName name="Input.TheftOfMetalExclusion" localSheetId="17">AOPBuilding5!$B$39</definedName>
    <definedName name="Input.TheftOfMetalExclusion" localSheetId="18">AOPBuilding6!$B$39</definedName>
    <definedName name="Input.TheftOfMetalExclusion" localSheetId="19">AOPBuilding7!$B$39</definedName>
    <definedName name="Input.TheftOfMetalExclusion" localSheetId="20">AOPBuilding8!$B$39</definedName>
    <definedName name="Input.TheftOfMetalExclusion" localSheetId="21">AOPBuilding9!$B$39</definedName>
    <definedName name="Input.TheftOfMetalExclusion" localSheetId="25">AOPBuildingTemplate!$B$39</definedName>
    <definedName name="Input.TheftOfMetalExclusion">#REF!</definedName>
    <definedName name="Input.UseTIVAdjustment" localSheetId="13">AOPBuilding1!$E$15</definedName>
    <definedName name="Input.UseTIVAdjustment" localSheetId="22">AOPBuilding10!$E$15</definedName>
    <definedName name="Input.UseTIVAdjustment" localSheetId="23">AOPBuilding11!$E$15</definedName>
    <definedName name="Input.UseTIVAdjustment" localSheetId="14">AOPBuilding2!$E$15</definedName>
    <definedName name="Input.UseTIVAdjustment" localSheetId="15">AOPBuilding3!$E$15</definedName>
    <definedName name="Input.UseTIVAdjustment" localSheetId="16">AOPBuilding4!$E$15</definedName>
    <definedName name="Input.UseTIVAdjustment" localSheetId="17">AOPBuilding5!$E$15</definedName>
    <definedName name="Input.UseTIVAdjustment" localSheetId="18">AOPBuilding6!$E$15</definedName>
    <definedName name="Input.UseTIVAdjustment" localSheetId="19">AOPBuilding7!$E$15</definedName>
    <definedName name="Input.UseTIVAdjustment" localSheetId="20">AOPBuilding8!$E$15</definedName>
    <definedName name="Input.UseTIVAdjustment" localSheetId="21">AOPBuilding9!$E$15</definedName>
    <definedName name="Input.UseTIVAdjustment" localSheetId="25">AOPBuildingTemplate!$E$15</definedName>
    <definedName name="Input.UseTIVAdjustment">#REF!</definedName>
    <definedName name="Input.ValuationOverride" localSheetId="13">AOPBuilding1!$E$12</definedName>
    <definedName name="Input.ValuationOverride" localSheetId="22">AOPBuilding10!$E$12</definedName>
    <definedName name="Input.ValuationOverride" localSheetId="23">AOPBuilding11!$E$12</definedName>
    <definedName name="Input.ValuationOverride" localSheetId="14">AOPBuilding2!$E$12</definedName>
    <definedName name="Input.ValuationOverride" localSheetId="15">AOPBuilding3!$E$12</definedName>
    <definedName name="Input.ValuationOverride" localSheetId="16">AOPBuilding4!$E$12</definedName>
    <definedName name="Input.ValuationOverride" localSheetId="17">AOPBuilding5!$E$12</definedName>
    <definedName name="Input.ValuationOverride" localSheetId="18">AOPBuilding6!$E$12</definedName>
    <definedName name="Input.ValuationOverride" localSheetId="19">AOPBuilding7!$E$12</definedName>
    <definedName name="Input.ValuationOverride" localSheetId="20">AOPBuilding8!$E$12</definedName>
    <definedName name="Input.ValuationOverride" localSheetId="21">AOPBuilding9!$E$12</definedName>
    <definedName name="Input.ValuationOverride" localSheetId="25">AOPBuildingTemplate!$E$12</definedName>
    <definedName name="Input.ValuationOverride">#REF!</definedName>
    <definedName name="Input.YearBuilt" localSheetId="13">AOPBuilding1!$B$15</definedName>
    <definedName name="Input.YearBuilt" localSheetId="22">AOPBuilding10!$B$15</definedName>
    <definedName name="Input.YearBuilt" localSheetId="23">AOPBuilding11!$B$15</definedName>
    <definedName name="Input.YearBuilt" localSheetId="14">AOPBuilding2!$B$15</definedName>
    <definedName name="Input.YearBuilt" localSheetId="15">AOPBuilding3!$B$15</definedName>
    <definedName name="Input.YearBuilt" localSheetId="16">AOPBuilding4!$B$15</definedName>
    <definedName name="Input.YearBuilt" localSheetId="17">AOPBuilding5!$B$15</definedName>
    <definedName name="Input.YearBuilt" localSheetId="18">AOPBuilding6!$B$15</definedName>
    <definedName name="Input.YearBuilt" localSheetId="19">AOPBuilding7!$B$15</definedName>
    <definedName name="Input.YearBuilt" localSheetId="20">AOPBuilding8!$B$15</definedName>
    <definedName name="Input.YearBuilt" localSheetId="21">AOPBuilding9!$B$15</definedName>
    <definedName name="Input.YearBuilt" localSheetId="25">AOPBuildingTemplate!$B$15</definedName>
    <definedName name="Input.YearBuilt">#REF!</definedName>
    <definedName name="Input.YearRenovated" localSheetId="13">AOPBuilding1!$B$16</definedName>
    <definedName name="Input.YearRenovated" localSheetId="22">AOPBuilding10!$B$16</definedName>
    <definedName name="Input.YearRenovated" localSheetId="23">AOPBuilding11!$B$16</definedName>
    <definedName name="Input.YearRenovated" localSheetId="14">AOPBuilding2!$B$16</definedName>
    <definedName name="Input.YearRenovated" localSheetId="15">AOPBuilding3!$B$16</definedName>
    <definedName name="Input.YearRenovated" localSheetId="16">AOPBuilding4!$B$16</definedName>
    <definedName name="Input.YearRenovated" localSheetId="17">AOPBuilding5!$B$16</definedName>
    <definedName name="Input.YearRenovated" localSheetId="18">AOPBuilding6!$B$16</definedName>
    <definedName name="Input.YearRenovated" localSheetId="19">AOPBuilding7!$B$16</definedName>
    <definedName name="Input.YearRenovated" localSheetId="20">AOPBuilding8!$B$16</definedName>
    <definedName name="Input.YearRenovated" localSheetId="21">AOPBuilding9!$B$16</definedName>
    <definedName name="Input.YearRenovated" localSheetId="25">AOPBuildingTemplate!$B$16</definedName>
    <definedName name="Input.YearRenovated">#REF!</definedName>
    <definedName name="list_fill">output_ss!$A$6</definedName>
    <definedName name="listbox_export">Exhibits!$H$17</definedName>
    <definedName name="LloydsScale">RatingFactorTables!$BQ$2:$BR$102</definedName>
    <definedName name="MajorOccupancy">RatingFactorTables!$A$108:$A$121</definedName>
    <definedName name="number_of_buildings">CleaningSheet!$B$2</definedName>
    <definedName name="NumberofBuildings">CleaningSheet!$D$6</definedName>
    <definedName name="PSOLD_AOI">PSOLDParams!$C$23:$C$82</definedName>
    <definedName name="PSOLD08_ExCAT_BC_ParmA">PSOLDParams!$D$17:$N$17</definedName>
    <definedName name="PSOLD08_ExCAT_BC_ParmB">PSOLDParams!$B$23:$N$82</definedName>
    <definedName name="PSOLD08_ExCAT_BCTE_ParmA">PSOLDParams!$R$17:$AB$17</definedName>
    <definedName name="PSOLD08_ExCAT_BCTE_ParmB">PSOLDParams!$P$23:$AB$82</definedName>
    <definedName name="PSOLDMeans">PSOLDParams!$D$17:$N$17</definedName>
    <definedName name="PSOLDWts1">PSOLDParams!$B$23:$N$82</definedName>
    <definedName name="PSOLDWts2">PSOLDParams!$P$23:$AB$82</definedName>
    <definedName name="SinkholeRates">RatingFactorTables!$AT$4:$AV$10</definedName>
    <definedName name="Start_Import">CleaningSheet!$A$11</definedName>
    <definedName name="TotalBuildingCount">ControlSheet!$E$2</definedName>
    <definedName name="ValuationFirms">RatingFactorTables!$DJ$2:$DJ$4</definedName>
    <definedName name="ValuationTable">RatingFactorTables!$BE$3:$BO$102</definedName>
    <definedName name="VentusValuationTable">RatingFactorTables!$BE$3:$BO$102</definedName>
    <definedName name="XLCCurve1">XLCExposureCurves!$D$6:$N$406</definedName>
    <definedName name="XLCCurve2">XLCExposureCurves!$P$6:$Z$406</definedName>
    <definedName name="XLCCUrve4">XLCExposureCurves!$AB$6:$AL$406</definedName>
    <definedName name="XLCOccupancyGroups">RatingFactorTables!$DO$3:$DP$102</definedName>
    <definedName name="XLCRiskSizes">XLCExposureCurves!$E$5:$N$5</definedName>
    <definedName name="YesNo">RatingFactorTables!$AX$2:$AX$3</definedName>
  </definedNames>
  <calcPr calcId="152511"/>
  <pivotCaches>
    <pivotCache cacheId="48" r:id="rId29"/>
    <pivotCache cacheId="51" r:id="rId3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677" l="1"/>
  <c r="P50" i="677"/>
  <c r="Q49" i="677"/>
  <c r="R49" i="677" s="1"/>
  <c r="S49" i="677" s="1"/>
  <c r="R48" i="677"/>
  <c r="S48" i="677" s="1"/>
  <c r="Q48" i="677"/>
  <c r="R47" i="677"/>
  <c r="S47" i="677" s="1"/>
  <c r="Q47" i="677"/>
  <c r="Q46" i="677"/>
  <c r="R46" i="677" s="1"/>
  <c r="S46" i="677" s="1"/>
  <c r="H46" i="677"/>
  <c r="Q45" i="677"/>
  <c r="R45" i="677" s="1"/>
  <c r="S45" i="677" s="1"/>
  <c r="Q44" i="677"/>
  <c r="R44" i="677" s="1"/>
  <c r="S44" i="677" s="1"/>
  <c r="Q43" i="677"/>
  <c r="R43" i="677" s="1"/>
  <c r="S43" i="677" s="1"/>
  <c r="Q42" i="677"/>
  <c r="R42" i="677" s="1"/>
  <c r="S42" i="677" s="1"/>
  <c r="Q41" i="677"/>
  <c r="R41" i="677" s="1"/>
  <c r="S41" i="677" s="1"/>
  <c r="R40" i="677"/>
  <c r="S40" i="677" s="1"/>
  <c r="Q40" i="677"/>
  <c r="H40" i="677"/>
  <c r="R39" i="677"/>
  <c r="S39" i="677" s="1"/>
  <c r="Q39" i="677"/>
  <c r="H39" i="677"/>
  <c r="Q38" i="677"/>
  <c r="R38" i="677" s="1"/>
  <c r="S38" i="677" s="1"/>
  <c r="H38" i="677"/>
  <c r="R37" i="677"/>
  <c r="S37" i="677" s="1"/>
  <c r="Q37" i="677"/>
  <c r="R36" i="677"/>
  <c r="S36" i="677" s="1"/>
  <c r="Q36" i="677"/>
  <c r="E36" i="677"/>
  <c r="D36" i="677"/>
  <c r="R35" i="677"/>
  <c r="S35" i="677" s="1"/>
  <c r="Q35" i="677"/>
  <c r="Q34" i="677"/>
  <c r="R34" i="677" s="1"/>
  <c r="S34" i="677" s="1"/>
  <c r="Q33" i="677"/>
  <c r="R33" i="677" s="1"/>
  <c r="S33" i="677" s="1"/>
  <c r="R32" i="677"/>
  <c r="S32" i="677" s="1"/>
  <c r="Q32" i="677"/>
  <c r="H32" i="677"/>
  <c r="E32" i="677"/>
  <c r="E33" i="677" s="1"/>
  <c r="D39" i="677" s="1"/>
  <c r="Q31" i="677"/>
  <c r="R31" i="677" s="1"/>
  <c r="S31" i="677" s="1"/>
  <c r="H31" i="677"/>
  <c r="E31" i="677"/>
  <c r="R30" i="677"/>
  <c r="S30" i="677" s="1"/>
  <c r="Q30" i="677"/>
  <c r="B30" i="677"/>
  <c r="Q29" i="677"/>
  <c r="R29" i="677" s="1"/>
  <c r="S29" i="677" s="1"/>
  <c r="H29" i="677"/>
  <c r="Q28" i="677"/>
  <c r="R28" i="677" s="1"/>
  <c r="S28" i="677" s="1"/>
  <c r="H28" i="677"/>
  <c r="Q27" i="677"/>
  <c r="R27" i="677" s="1"/>
  <c r="S27" i="677" s="1"/>
  <c r="Q26" i="677"/>
  <c r="R26" i="677" s="1"/>
  <c r="S26" i="677" s="1"/>
  <c r="R25" i="677"/>
  <c r="S25" i="677" s="1"/>
  <c r="Q25" i="677"/>
  <c r="Q24" i="677"/>
  <c r="R24" i="677" s="1"/>
  <c r="S24" i="677" s="1"/>
  <c r="Q23" i="677"/>
  <c r="R23" i="677" s="1"/>
  <c r="S23" i="677" s="1"/>
  <c r="H23" i="677"/>
  <c r="E23" i="677"/>
  <c r="R22" i="677"/>
  <c r="S22" i="677" s="1"/>
  <c r="Q22" i="677"/>
  <c r="H22" i="677"/>
  <c r="R21" i="677"/>
  <c r="S21" i="677" s="1"/>
  <c r="Q21" i="677"/>
  <c r="H21" i="677"/>
  <c r="R20" i="677"/>
  <c r="S20" i="677" s="1"/>
  <c r="Q20" i="677"/>
  <c r="H20" i="677"/>
  <c r="Q19" i="677"/>
  <c r="R19" i="677" s="1"/>
  <c r="S19" i="677" s="1"/>
  <c r="H19" i="677"/>
  <c r="E19" i="677"/>
  <c r="E20" i="677" s="1"/>
  <c r="R18" i="677"/>
  <c r="S18" i="677" s="1"/>
  <c r="Q18" i="677"/>
  <c r="H18" i="677"/>
  <c r="Q17" i="677"/>
  <c r="R17" i="677" s="1"/>
  <c r="S17" i="677" s="1"/>
  <c r="H17" i="677"/>
  <c r="E17" i="677"/>
  <c r="R16" i="677"/>
  <c r="S16" i="677" s="1"/>
  <c r="Q16" i="677"/>
  <c r="H16" i="677"/>
  <c r="R15" i="677"/>
  <c r="S15" i="677" s="1"/>
  <c r="Q15" i="677"/>
  <c r="Q14" i="677"/>
  <c r="R14" i="677" s="1"/>
  <c r="S14" i="677" s="1"/>
  <c r="R13" i="677"/>
  <c r="S13" i="677" s="1"/>
  <c r="Q13" i="677"/>
  <c r="E13" i="677"/>
  <c r="Q12" i="677"/>
  <c r="R12" i="677" s="1"/>
  <c r="S12" i="677" s="1"/>
  <c r="R11" i="677"/>
  <c r="S11" i="677" s="1"/>
  <c r="Q11" i="677"/>
  <c r="Q10" i="677"/>
  <c r="R10" i="677" s="1"/>
  <c r="S10" i="677" s="1"/>
  <c r="H10" i="677"/>
  <c r="Q9" i="677"/>
  <c r="R9" i="677" s="1"/>
  <c r="S9" i="677" s="1"/>
  <c r="E9" i="677"/>
  <c r="E11" i="677" s="1"/>
  <c r="R8" i="677"/>
  <c r="S8" i="677" s="1"/>
  <c r="Q8" i="677"/>
  <c r="E8" i="677"/>
  <c r="Q7" i="677"/>
  <c r="R7" i="677" s="1"/>
  <c r="S7" i="677" s="1"/>
  <c r="H7" i="677"/>
  <c r="Q6" i="677"/>
  <c r="R6" i="677" s="1"/>
  <c r="S6" i="677" s="1"/>
  <c r="R5" i="677"/>
  <c r="S5" i="677" s="1"/>
  <c r="Q5" i="677"/>
  <c r="Q4" i="677"/>
  <c r="R4" i="677" s="1"/>
  <c r="S4" i="677" s="1"/>
  <c r="H4" i="677"/>
  <c r="Q3" i="677"/>
  <c r="R3" i="677" s="1"/>
  <c r="S3" i="677" s="1"/>
  <c r="K3" i="677"/>
  <c r="J3" i="677"/>
  <c r="H3" i="677"/>
  <c r="H8" i="677" s="1"/>
  <c r="H2" i="677"/>
  <c r="H51" i="676"/>
  <c r="P50" i="676"/>
  <c r="Q49" i="676"/>
  <c r="R49" i="676" s="1"/>
  <c r="S49" i="676" s="1"/>
  <c r="R48" i="676"/>
  <c r="S48" i="676" s="1"/>
  <c r="Q48" i="676"/>
  <c r="R47" i="676"/>
  <c r="S47" i="676" s="1"/>
  <c r="Q47" i="676"/>
  <c r="Q46" i="676"/>
  <c r="R46" i="676" s="1"/>
  <c r="S46" i="676" s="1"/>
  <c r="H46" i="676"/>
  <c r="Q45" i="676"/>
  <c r="R45" i="676" s="1"/>
  <c r="S45" i="676" s="1"/>
  <c r="Q44" i="676"/>
  <c r="R44" i="676" s="1"/>
  <c r="S44" i="676" s="1"/>
  <c r="R43" i="676"/>
  <c r="S43" i="676" s="1"/>
  <c r="Q43" i="676"/>
  <c r="Q42" i="676"/>
  <c r="R42" i="676" s="1"/>
  <c r="S42" i="676" s="1"/>
  <c r="Q41" i="676"/>
  <c r="R41" i="676" s="1"/>
  <c r="S41" i="676" s="1"/>
  <c r="R40" i="676"/>
  <c r="S40" i="676" s="1"/>
  <c r="Q40" i="676"/>
  <c r="H40" i="676"/>
  <c r="R39" i="676"/>
  <c r="S39" i="676" s="1"/>
  <c r="Q39" i="676"/>
  <c r="H39" i="676"/>
  <c r="Q38" i="676"/>
  <c r="R38" i="676" s="1"/>
  <c r="S38" i="676" s="1"/>
  <c r="H38" i="676"/>
  <c r="R37" i="676"/>
  <c r="S37" i="676" s="1"/>
  <c r="Q37" i="676"/>
  <c r="R36" i="676"/>
  <c r="S36" i="676" s="1"/>
  <c r="Q36" i="676"/>
  <c r="E36" i="676"/>
  <c r="D36" i="676"/>
  <c r="R35" i="676"/>
  <c r="S35" i="676" s="1"/>
  <c r="Q35" i="676"/>
  <c r="Q34" i="676"/>
  <c r="R34" i="676" s="1"/>
  <c r="S34" i="676" s="1"/>
  <c r="Q33" i="676"/>
  <c r="R33" i="676" s="1"/>
  <c r="S33" i="676" s="1"/>
  <c r="R32" i="676"/>
  <c r="S32" i="676" s="1"/>
  <c r="Q32" i="676"/>
  <c r="H32" i="676"/>
  <c r="E32" i="676"/>
  <c r="E33" i="676" s="1"/>
  <c r="D39" i="676" s="1"/>
  <c r="Q31" i="676"/>
  <c r="R31" i="676" s="1"/>
  <c r="S31" i="676" s="1"/>
  <c r="H31" i="676"/>
  <c r="E31" i="676"/>
  <c r="R30" i="676"/>
  <c r="S30" i="676" s="1"/>
  <c r="Q30" i="676"/>
  <c r="B30" i="676"/>
  <c r="Q29" i="676"/>
  <c r="R29" i="676" s="1"/>
  <c r="S29" i="676" s="1"/>
  <c r="H29" i="676"/>
  <c r="Q28" i="676"/>
  <c r="R28" i="676" s="1"/>
  <c r="S28" i="676" s="1"/>
  <c r="H28" i="676"/>
  <c r="Q27" i="676"/>
  <c r="R27" i="676" s="1"/>
  <c r="S27" i="676" s="1"/>
  <c r="Q26" i="676"/>
  <c r="R26" i="676" s="1"/>
  <c r="S26" i="676" s="1"/>
  <c r="R25" i="676"/>
  <c r="S25" i="676" s="1"/>
  <c r="Q25" i="676"/>
  <c r="Q24" i="676"/>
  <c r="R24" i="676" s="1"/>
  <c r="S24" i="676" s="1"/>
  <c r="Q23" i="676"/>
  <c r="R23" i="676" s="1"/>
  <c r="S23" i="676" s="1"/>
  <c r="H23" i="676"/>
  <c r="E23" i="676"/>
  <c r="R22" i="676"/>
  <c r="S22" i="676" s="1"/>
  <c r="Q22" i="676"/>
  <c r="H22" i="676"/>
  <c r="R21" i="676"/>
  <c r="S21" i="676" s="1"/>
  <c r="Q21" i="676"/>
  <c r="H21" i="676"/>
  <c r="R20" i="676"/>
  <c r="S20" i="676" s="1"/>
  <c r="Q20" i="676"/>
  <c r="H20" i="676"/>
  <c r="S19" i="676"/>
  <c r="Q19" i="676"/>
  <c r="R19" i="676" s="1"/>
  <c r="H19" i="676"/>
  <c r="E19" i="676"/>
  <c r="E20" i="676" s="1"/>
  <c r="R18" i="676"/>
  <c r="S18" i="676" s="1"/>
  <c r="Q18" i="676"/>
  <c r="H18" i="676"/>
  <c r="Q17" i="676"/>
  <c r="R17" i="676" s="1"/>
  <c r="S17" i="676" s="1"/>
  <c r="H17" i="676"/>
  <c r="E17" i="676"/>
  <c r="R16" i="676"/>
  <c r="S16" i="676" s="1"/>
  <c r="Q16" i="676"/>
  <c r="H16" i="676"/>
  <c r="R15" i="676"/>
  <c r="S15" i="676" s="1"/>
  <c r="Q15" i="676"/>
  <c r="Q14" i="676"/>
  <c r="R14" i="676" s="1"/>
  <c r="S14" i="676" s="1"/>
  <c r="R13" i="676"/>
  <c r="S13" i="676" s="1"/>
  <c r="Q13" i="676"/>
  <c r="E13" i="676"/>
  <c r="Q12" i="676"/>
  <c r="R12" i="676" s="1"/>
  <c r="S12" i="676" s="1"/>
  <c r="R11" i="676"/>
  <c r="S11" i="676" s="1"/>
  <c r="Q11" i="676"/>
  <c r="Q10" i="676"/>
  <c r="R10" i="676" s="1"/>
  <c r="S10" i="676" s="1"/>
  <c r="H10" i="676"/>
  <c r="Q9" i="676"/>
  <c r="R9" i="676" s="1"/>
  <c r="S9" i="676" s="1"/>
  <c r="E9" i="676"/>
  <c r="E11" i="676" s="1"/>
  <c r="R8" i="676"/>
  <c r="S8" i="676" s="1"/>
  <c r="Q8" i="676"/>
  <c r="E8" i="676"/>
  <c r="Q7" i="676"/>
  <c r="R7" i="676" s="1"/>
  <c r="S7" i="676" s="1"/>
  <c r="H7" i="676"/>
  <c r="Q6" i="676"/>
  <c r="R6" i="676" s="1"/>
  <c r="S6" i="676" s="1"/>
  <c r="R5" i="676"/>
  <c r="S5" i="676" s="1"/>
  <c r="Q5" i="676"/>
  <c r="Q4" i="676"/>
  <c r="R4" i="676" s="1"/>
  <c r="S4" i="676" s="1"/>
  <c r="H4" i="676"/>
  <c r="H9" i="676" s="1"/>
  <c r="S3" i="676"/>
  <c r="Q3" i="676"/>
  <c r="R3" i="676" s="1"/>
  <c r="K3" i="676"/>
  <c r="J3" i="676"/>
  <c r="H3" i="676"/>
  <c r="H8" i="676" s="1"/>
  <c r="H2" i="676"/>
  <c r="H51" i="675"/>
  <c r="P50" i="675"/>
  <c r="Q49" i="675"/>
  <c r="R49" i="675" s="1"/>
  <c r="S49" i="675" s="1"/>
  <c r="R48" i="675"/>
  <c r="S48" i="675" s="1"/>
  <c r="Q48" i="675"/>
  <c r="R47" i="675"/>
  <c r="S47" i="675" s="1"/>
  <c r="Q47" i="675"/>
  <c r="S46" i="675"/>
  <c r="Q46" i="675"/>
  <c r="R46" i="675" s="1"/>
  <c r="H46" i="675"/>
  <c r="Q45" i="675"/>
  <c r="R45" i="675" s="1"/>
  <c r="S45" i="675" s="1"/>
  <c r="S44" i="675"/>
  <c r="Q44" i="675"/>
  <c r="R44" i="675" s="1"/>
  <c r="R43" i="675"/>
  <c r="S43" i="675" s="1"/>
  <c r="Q43" i="675"/>
  <c r="S42" i="675"/>
  <c r="Q42" i="675"/>
  <c r="R42" i="675" s="1"/>
  <c r="Q41" i="675"/>
  <c r="R41" i="675" s="1"/>
  <c r="S41" i="675" s="1"/>
  <c r="R40" i="675"/>
  <c r="S40" i="675" s="1"/>
  <c r="Q40" i="675"/>
  <c r="H40" i="675"/>
  <c r="R39" i="675"/>
  <c r="S39" i="675" s="1"/>
  <c r="Q39" i="675"/>
  <c r="H39" i="675"/>
  <c r="Q38" i="675"/>
  <c r="R38" i="675" s="1"/>
  <c r="S38" i="675" s="1"/>
  <c r="H38" i="675"/>
  <c r="R37" i="675"/>
  <c r="S37" i="675" s="1"/>
  <c r="Q37" i="675"/>
  <c r="R36" i="675"/>
  <c r="S36" i="675" s="1"/>
  <c r="Q36" i="675"/>
  <c r="H36" i="675"/>
  <c r="E36" i="675"/>
  <c r="D36" i="675"/>
  <c r="R35" i="675"/>
  <c r="S35" i="675" s="1"/>
  <c r="Q35" i="675"/>
  <c r="Q34" i="675"/>
  <c r="R34" i="675" s="1"/>
  <c r="S34" i="675" s="1"/>
  <c r="Q33" i="675"/>
  <c r="R33" i="675" s="1"/>
  <c r="S33" i="675" s="1"/>
  <c r="R32" i="675"/>
  <c r="S32" i="675" s="1"/>
  <c r="Q32" i="675"/>
  <c r="H32" i="675"/>
  <c r="E32" i="675"/>
  <c r="S31" i="675"/>
  <c r="Q31" i="675"/>
  <c r="R31" i="675" s="1"/>
  <c r="H31" i="675"/>
  <c r="E31" i="675"/>
  <c r="E33" i="675" s="1"/>
  <c r="R30" i="675"/>
  <c r="S30" i="675" s="1"/>
  <c r="Q30" i="675"/>
  <c r="B30" i="675"/>
  <c r="S29" i="675"/>
  <c r="Q29" i="675"/>
  <c r="R29" i="675" s="1"/>
  <c r="H29" i="675"/>
  <c r="Q28" i="675"/>
  <c r="R28" i="675" s="1"/>
  <c r="S28" i="675" s="1"/>
  <c r="H28" i="675"/>
  <c r="S27" i="675"/>
  <c r="Q27" i="675"/>
  <c r="R27" i="675" s="1"/>
  <c r="S26" i="675"/>
  <c r="Q26" i="675"/>
  <c r="R26" i="675" s="1"/>
  <c r="R25" i="675"/>
  <c r="S25" i="675" s="1"/>
  <c r="Q25" i="675"/>
  <c r="S24" i="675"/>
  <c r="Q24" i="675"/>
  <c r="R24" i="675" s="1"/>
  <c r="S23" i="675"/>
  <c r="Q23" i="675"/>
  <c r="R23" i="675" s="1"/>
  <c r="H23" i="675"/>
  <c r="E23" i="675"/>
  <c r="R22" i="675"/>
  <c r="S22" i="675" s="1"/>
  <c r="Q22" i="675"/>
  <c r="H22" i="675"/>
  <c r="R21" i="675"/>
  <c r="S21" i="675" s="1"/>
  <c r="Q21" i="675"/>
  <c r="H21" i="675"/>
  <c r="R20" i="675"/>
  <c r="S20" i="675" s="1"/>
  <c r="Q20" i="675"/>
  <c r="H20" i="675"/>
  <c r="S19" i="675"/>
  <c r="Q19" i="675"/>
  <c r="R19" i="675" s="1"/>
  <c r="H19" i="675"/>
  <c r="E19" i="675"/>
  <c r="E20" i="675" s="1"/>
  <c r="R18" i="675"/>
  <c r="S18" i="675" s="1"/>
  <c r="Q18" i="675"/>
  <c r="H18" i="675"/>
  <c r="R17" i="675"/>
  <c r="S17" i="675" s="1"/>
  <c r="Q17" i="675"/>
  <c r="H17" i="675"/>
  <c r="E17" i="675"/>
  <c r="S16" i="675"/>
  <c r="R16" i="675"/>
  <c r="Q16" i="675"/>
  <c r="H16" i="675"/>
  <c r="S15" i="675"/>
  <c r="R15" i="675"/>
  <c r="Q15" i="675"/>
  <c r="R14" i="675"/>
  <c r="S14" i="675" s="1"/>
  <c r="Q14" i="675"/>
  <c r="R13" i="675"/>
  <c r="S13" i="675" s="1"/>
  <c r="Q13" i="675"/>
  <c r="E13" i="675"/>
  <c r="Q12" i="675"/>
  <c r="R12" i="675" s="1"/>
  <c r="S12" i="675" s="1"/>
  <c r="Q11" i="675"/>
  <c r="R11" i="675" s="1"/>
  <c r="S11" i="675" s="1"/>
  <c r="Q10" i="675"/>
  <c r="R10" i="675" s="1"/>
  <c r="S10" i="675" s="1"/>
  <c r="H10" i="675"/>
  <c r="S9" i="675"/>
  <c r="Q9" i="675"/>
  <c r="R9" i="675" s="1"/>
  <c r="E9" i="675"/>
  <c r="E11" i="675" s="1"/>
  <c r="R8" i="675"/>
  <c r="S8" i="675" s="1"/>
  <c r="Q8" i="675"/>
  <c r="H8" i="675"/>
  <c r="E8" i="675"/>
  <c r="Q7" i="675"/>
  <c r="R7" i="675" s="1"/>
  <c r="S7" i="675" s="1"/>
  <c r="H7" i="675"/>
  <c r="Q6" i="675"/>
  <c r="R6" i="675" s="1"/>
  <c r="S6" i="675" s="1"/>
  <c r="S5" i="675"/>
  <c r="R5" i="675"/>
  <c r="Q5" i="675"/>
  <c r="Q4" i="675"/>
  <c r="R4" i="675" s="1"/>
  <c r="S4" i="675" s="1"/>
  <c r="H4" i="675"/>
  <c r="Q3" i="675"/>
  <c r="R3" i="675" s="1"/>
  <c r="S3" i="675" s="1"/>
  <c r="S50" i="675" s="1"/>
  <c r="K3" i="675"/>
  <c r="J3" i="675"/>
  <c r="H3" i="675"/>
  <c r="H2" i="675"/>
  <c r="H51" i="674"/>
  <c r="P50" i="674"/>
  <c r="S49" i="674"/>
  <c r="R49" i="674"/>
  <c r="Q49" i="674"/>
  <c r="R48" i="674"/>
  <c r="S48" i="674" s="1"/>
  <c r="Q48" i="674"/>
  <c r="R47" i="674"/>
  <c r="S47" i="674" s="1"/>
  <c r="Q47" i="674"/>
  <c r="Q46" i="674"/>
  <c r="R46" i="674" s="1"/>
  <c r="S46" i="674" s="1"/>
  <c r="H46" i="674"/>
  <c r="Q45" i="674"/>
  <c r="R45" i="674" s="1"/>
  <c r="S45" i="674" s="1"/>
  <c r="Q44" i="674"/>
  <c r="R44" i="674" s="1"/>
  <c r="S44" i="674" s="1"/>
  <c r="S43" i="674"/>
  <c r="R43" i="674"/>
  <c r="Q43" i="674"/>
  <c r="S42" i="674"/>
  <c r="R42" i="674"/>
  <c r="Q42" i="674"/>
  <c r="S41" i="674"/>
  <c r="R41" i="674"/>
  <c r="Q41" i="674"/>
  <c r="R40" i="674"/>
  <c r="S40" i="674" s="1"/>
  <c r="Q40" i="674"/>
  <c r="H40" i="674"/>
  <c r="R39" i="674"/>
  <c r="S39" i="674" s="1"/>
  <c r="Q39" i="674"/>
  <c r="H39" i="674"/>
  <c r="S38" i="674"/>
  <c r="R38" i="674"/>
  <c r="Q38" i="674"/>
  <c r="H38" i="674"/>
  <c r="S37" i="674"/>
  <c r="R37" i="674"/>
  <c r="Q37" i="674"/>
  <c r="S36" i="674"/>
  <c r="R36" i="674"/>
  <c r="Q36" i="674"/>
  <c r="H36" i="674"/>
  <c r="E36" i="674"/>
  <c r="D36" i="674"/>
  <c r="R35" i="674"/>
  <c r="S35" i="674" s="1"/>
  <c r="Q35" i="674"/>
  <c r="Q34" i="674"/>
  <c r="R34" i="674" s="1"/>
  <c r="S34" i="674" s="1"/>
  <c r="Q33" i="674"/>
  <c r="R33" i="674" s="1"/>
  <c r="S33" i="674" s="1"/>
  <c r="R32" i="674"/>
  <c r="S32" i="674" s="1"/>
  <c r="Q32" i="674"/>
  <c r="H32" i="674"/>
  <c r="E32" i="674"/>
  <c r="S31" i="674"/>
  <c r="R31" i="674"/>
  <c r="Q31" i="674"/>
  <c r="H31" i="674"/>
  <c r="E31" i="674"/>
  <c r="E33" i="674" s="1"/>
  <c r="D39" i="674" s="1"/>
  <c r="S30" i="674"/>
  <c r="R30" i="674"/>
  <c r="Q30" i="674"/>
  <c r="B30" i="674"/>
  <c r="Q29" i="674"/>
  <c r="R29" i="674" s="1"/>
  <c r="S29" i="674" s="1"/>
  <c r="H29" i="674"/>
  <c r="Q28" i="674"/>
  <c r="R28" i="674" s="1"/>
  <c r="S28" i="674" s="1"/>
  <c r="H28" i="674"/>
  <c r="Q27" i="674"/>
  <c r="R27" i="674" s="1"/>
  <c r="S27" i="674" s="1"/>
  <c r="Q26" i="674"/>
  <c r="R26" i="674" s="1"/>
  <c r="S26" i="674" s="1"/>
  <c r="S25" i="674"/>
  <c r="R25" i="674"/>
  <c r="Q25" i="674"/>
  <c r="S24" i="674"/>
  <c r="R24" i="674"/>
  <c r="Q24" i="674"/>
  <c r="S23" i="674"/>
  <c r="R23" i="674"/>
  <c r="Q23" i="674"/>
  <c r="H23" i="674"/>
  <c r="E23" i="674"/>
  <c r="S22" i="674"/>
  <c r="R22" i="674"/>
  <c r="Q22" i="674"/>
  <c r="H22" i="674"/>
  <c r="S21" i="674"/>
  <c r="R21" i="674"/>
  <c r="Q21" i="674"/>
  <c r="H21" i="674"/>
  <c r="S20" i="674"/>
  <c r="R20" i="674"/>
  <c r="Q20" i="674"/>
  <c r="H20" i="674"/>
  <c r="Q19" i="674"/>
  <c r="R19" i="674" s="1"/>
  <c r="S19" i="674" s="1"/>
  <c r="H19" i="674"/>
  <c r="E19" i="674"/>
  <c r="E20" i="674" s="1"/>
  <c r="R18" i="674"/>
  <c r="S18" i="674" s="1"/>
  <c r="Q18" i="674"/>
  <c r="H18" i="674"/>
  <c r="S17" i="674"/>
  <c r="Q17" i="674"/>
  <c r="R17" i="674" s="1"/>
  <c r="H17" i="674"/>
  <c r="E17" i="674"/>
  <c r="R16" i="674"/>
  <c r="S16" i="674" s="1"/>
  <c r="Q16" i="674"/>
  <c r="H16" i="674"/>
  <c r="R15" i="674"/>
  <c r="S15" i="674" s="1"/>
  <c r="Q15" i="674"/>
  <c r="Q14" i="674"/>
  <c r="R14" i="674" s="1"/>
  <c r="S14" i="674" s="1"/>
  <c r="R13" i="674"/>
  <c r="S13" i="674" s="1"/>
  <c r="Q13" i="674"/>
  <c r="E13" i="674"/>
  <c r="S12" i="674"/>
  <c r="Q12" i="674"/>
  <c r="R12" i="674" s="1"/>
  <c r="R11" i="674"/>
  <c r="S11" i="674" s="1"/>
  <c r="Q11" i="674"/>
  <c r="S10" i="674"/>
  <c r="Q10" i="674"/>
  <c r="R10" i="674" s="1"/>
  <c r="H10" i="674"/>
  <c r="Q9" i="674"/>
  <c r="R9" i="674" s="1"/>
  <c r="S9" i="674" s="1"/>
  <c r="E9" i="674"/>
  <c r="E11" i="674" s="1"/>
  <c r="R8" i="674"/>
  <c r="S8" i="674" s="1"/>
  <c r="Q8" i="674"/>
  <c r="H8" i="674"/>
  <c r="E8" i="674"/>
  <c r="Q7" i="674"/>
  <c r="R7" i="674" s="1"/>
  <c r="S7" i="674" s="1"/>
  <c r="H7" i="674"/>
  <c r="Q6" i="674"/>
  <c r="R6" i="674" s="1"/>
  <c r="S6" i="674" s="1"/>
  <c r="R5" i="674"/>
  <c r="S5" i="674" s="1"/>
  <c r="Q5" i="674"/>
  <c r="Q4" i="674"/>
  <c r="R4" i="674" s="1"/>
  <c r="S4" i="674" s="1"/>
  <c r="H4" i="674"/>
  <c r="H9" i="674" s="1"/>
  <c r="Q3" i="674"/>
  <c r="R3" i="674" s="1"/>
  <c r="S3" i="674" s="1"/>
  <c r="K3" i="674"/>
  <c r="J3" i="674"/>
  <c r="H3" i="674"/>
  <c r="H2" i="674"/>
  <c r="H51" i="673"/>
  <c r="P50" i="673"/>
  <c r="S49" i="673"/>
  <c r="R49" i="673"/>
  <c r="Q49" i="673"/>
  <c r="R48" i="673"/>
  <c r="S48" i="673" s="1"/>
  <c r="Q48" i="673"/>
  <c r="R47" i="673"/>
  <c r="S47" i="673" s="1"/>
  <c r="Q47" i="673"/>
  <c r="Q46" i="673"/>
  <c r="R46" i="673" s="1"/>
  <c r="S46" i="673" s="1"/>
  <c r="H46" i="673"/>
  <c r="Q45" i="673"/>
  <c r="R45" i="673" s="1"/>
  <c r="S45" i="673" s="1"/>
  <c r="Q44" i="673"/>
  <c r="R44" i="673" s="1"/>
  <c r="S44" i="673" s="1"/>
  <c r="S43" i="673"/>
  <c r="R43" i="673"/>
  <c r="Q43" i="673"/>
  <c r="S42" i="673"/>
  <c r="R42" i="673"/>
  <c r="Q42" i="673"/>
  <c r="S41" i="673"/>
  <c r="R41" i="673"/>
  <c r="Q41" i="673"/>
  <c r="R40" i="673"/>
  <c r="S40" i="673" s="1"/>
  <c r="Q40" i="673"/>
  <c r="H40" i="673"/>
  <c r="R39" i="673"/>
  <c r="S39" i="673" s="1"/>
  <c r="Q39" i="673"/>
  <c r="H39" i="673"/>
  <c r="S38" i="673"/>
  <c r="Q38" i="673"/>
  <c r="R38" i="673" s="1"/>
  <c r="H38" i="673"/>
  <c r="R37" i="673"/>
  <c r="S37" i="673" s="1"/>
  <c r="Q37" i="673"/>
  <c r="R36" i="673"/>
  <c r="S36" i="673" s="1"/>
  <c r="Q36" i="673"/>
  <c r="H36" i="673"/>
  <c r="E36" i="673"/>
  <c r="D36" i="673"/>
  <c r="R35" i="673"/>
  <c r="S35" i="673" s="1"/>
  <c r="Q35" i="673"/>
  <c r="Q34" i="673"/>
  <c r="R34" i="673" s="1"/>
  <c r="S34" i="673" s="1"/>
  <c r="Q33" i="673"/>
  <c r="R33" i="673" s="1"/>
  <c r="S33" i="673" s="1"/>
  <c r="R32" i="673"/>
  <c r="S32" i="673" s="1"/>
  <c r="Q32" i="673"/>
  <c r="H32" i="673"/>
  <c r="E32" i="673"/>
  <c r="S31" i="673"/>
  <c r="Q31" i="673"/>
  <c r="R31" i="673" s="1"/>
  <c r="H31" i="673"/>
  <c r="E31" i="673"/>
  <c r="E33" i="673" s="1"/>
  <c r="D39" i="673" s="1"/>
  <c r="R30" i="673"/>
  <c r="S30" i="673" s="1"/>
  <c r="Q30" i="673"/>
  <c r="B30" i="673"/>
  <c r="Q29" i="673"/>
  <c r="R29" i="673" s="1"/>
  <c r="S29" i="673" s="1"/>
  <c r="H29" i="673"/>
  <c r="Q28" i="673"/>
  <c r="R28" i="673" s="1"/>
  <c r="S28" i="673" s="1"/>
  <c r="H28" i="673"/>
  <c r="Q27" i="673"/>
  <c r="R27" i="673" s="1"/>
  <c r="S27" i="673" s="1"/>
  <c r="Q26" i="673"/>
  <c r="R26" i="673" s="1"/>
  <c r="S26" i="673" s="1"/>
  <c r="R25" i="673"/>
  <c r="S25" i="673" s="1"/>
  <c r="Q25" i="673"/>
  <c r="S24" i="673"/>
  <c r="Q24" i="673"/>
  <c r="R24" i="673" s="1"/>
  <c r="S23" i="673"/>
  <c r="Q23" i="673"/>
  <c r="R23" i="673" s="1"/>
  <c r="H23" i="673"/>
  <c r="E23" i="673"/>
  <c r="R22" i="673"/>
  <c r="S22" i="673" s="1"/>
  <c r="Q22" i="673"/>
  <c r="H22" i="673"/>
  <c r="R21" i="673"/>
  <c r="S21" i="673" s="1"/>
  <c r="Q21" i="673"/>
  <c r="H21" i="673"/>
  <c r="R20" i="673"/>
  <c r="S20" i="673" s="1"/>
  <c r="Q20" i="673"/>
  <c r="H20" i="673"/>
  <c r="Q19" i="673"/>
  <c r="R19" i="673" s="1"/>
  <c r="S19" i="673" s="1"/>
  <c r="H19" i="673"/>
  <c r="E19" i="673"/>
  <c r="E20" i="673" s="1"/>
  <c r="R18" i="673"/>
  <c r="S18" i="673" s="1"/>
  <c r="Q18" i="673"/>
  <c r="H18" i="673"/>
  <c r="Q17" i="673"/>
  <c r="R17" i="673" s="1"/>
  <c r="S17" i="673" s="1"/>
  <c r="H17" i="673"/>
  <c r="E17" i="673"/>
  <c r="R16" i="673"/>
  <c r="S16" i="673" s="1"/>
  <c r="Q16" i="673"/>
  <c r="H16" i="673"/>
  <c r="R15" i="673"/>
  <c r="S15" i="673" s="1"/>
  <c r="Q15" i="673"/>
  <c r="S14" i="673"/>
  <c r="Q14" i="673"/>
  <c r="R14" i="673" s="1"/>
  <c r="R13" i="673"/>
  <c r="S13" i="673" s="1"/>
  <c r="Q13" i="673"/>
  <c r="E13" i="673"/>
  <c r="Q12" i="673"/>
  <c r="R12" i="673" s="1"/>
  <c r="S12" i="673" s="1"/>
  <c r="R11" i="673"/>
  <c r="S11" i="673" s="1"/>
  <c r="Q11" i="673"/>
  <c r="Q10" i="673"/>
  <c r="R10" i="673" s="1"/>
  <c r="S10" i="673" s="1"/>
  <c r="H10" i="673"/>
  <c r="S9" i="673"/>
  <c r="Q9" i="673"/>
  <c r="R9" i="673" s="1"/>
  <c r="E9" i="673"/>
  <c r="E11" i="673" s="1"/>
  <c r="R8" i="673"/>
  <c r="S8" i="673" s="1"/>
  <c r="Q8" i="673"/>
  <c r="E8" i="673"/>
  <c r="Q7" i="673"/>
  <c r="R7" i="673" s="1"/>
  <c r="S7" i="673" s="1"/>
  <c r="H7" i="673"/>
  <c r="Q6" i="673"/>
  <c r="R6" i="673" s="1"/>
  <c r="S6" i="673" s="1"/>
  <c r="R5" i="673"/>
  <c r="S5" i="673" s="1"/>
  <c r="S50" i="673" s="1"/>
  <c r="Q5" i="673"/>
  <c r="Q4" i="673"/>
  <c r="R4" i="673" s="1"/>
  <c r="S4" i="673" s="1"/>
  <c r="H4" i="673"/>
  <c r="Q3" i="673"/>
  <c r="R3" i="673" s="1"/>
  <c r="S3" i="673" s="1"/>
  <c r="K3" i="673"/>
  <c r="J3" i="673"/>
  <c r="H3" i="673"/>
  <c r="H8" i="673" s="1"/>
  <c r="H2" i="673"/>
  <c r="H51" i="672"/>
  <c r="P50" i="672"/>
  <c r="Q49" i="672"/>
  <c r="R49" i="672" s="1"/>
  <c r="S49" i="672" s="1"/>
  <c r="R48" i="672"/>
  <c r="S48" i="672" s="1"/>
  <c r="Q48" i="672"/>
  <c r="R47" i="672"/>
  <c r="S47" i="672" s="1"/>
  <c r="Q47" i="672"/>
  <c r="Q46" i="672"/>
  <c r="R46" i="672" s="1"/>
  <c r="S46" i="672" s="1"/>
  <c r="H46" i="672"/>
  <c r="Q45" i="672"/>
  <c r="R45" i="672" s="1"/>
  <c r="S45" i="672" s="1"/>
  <c r="Q44" i="672"/>
  <c r="R44" i="672" s="1"/>
  <c r="S44" i="672" s="1"/>
  <c r="R43" i="672"/>
  <c r="S43" i="672" s="1"/>
  <c r="Q43" i="672"/>
  <c r="Q42" i="672"/>
  <c r="R42" i="672" s="1"/>
  <c r="S42" i="672" s="1"/>
  <c r="Q41" i="672"/>
  <c r="R41" i="672" s="1"/>
  <c r="S41" i="672" s="1"/>
  <c r="R40" i="672"/>
  <c r="S40" i="672" s="1"/>
  <c r="Q40" i="672"/>
  <c r="H40" i="672"/>
  <c r="R39" i="672"/>
  <c r="S39" i="672" s="1"/>
  <c r="Q39" i="672"/>
  <c r="H39" i="672"/>
  <c r="Q38" i="672"/>
  <c r="R38" i="672" s="1"/>
  <c r="S38" i="672" s="1"/>
  <c r="H38" i="672"/>
  <c r="R37" i="672"/>
  <c r="S37" i="672" s="1"/>
  <c r="Q37" i="672"/>
  <c r="R36" i="672"/>
  <c r="S36" i="672" s="1"/>
  <c r="Q36" i="672"/>
  <c r="E36" i="672"/>
  <c r="D36" i="672"/>
  <c r="R35" i="672"/>
  <c r="S35" i="672" s="1"/>
  <c r="Q35" i="672"/>
  <c r="Q34" i="672"/>
  <c r="R34" i="672" s="1"/>
  <c r="S34" i="672" s="1"/>
  <c r="Q33" i="672"/>
  <c r="R33" i="672" s="1"/>
  <c r="S33" i="672" s="1"/>
  <c r="R32" i="672"/>
  <c r="S32" i="672" s="1"/>
  <c r="Q32" i="672"/>
  <c r="H32" i="672"/>
  <c r="E32" i="672"/>
  <c r="S31" i="672"/>
  <c r="Q31" i="672"/>
  <c r="R31" i="672" s="1"/>
  <c r="H31" i="672"/>
  <c r="E31" i="672"/>
  <c r="E33" i="672" s="1"/>
  <c r="R30" i="672"/>
  <c r="S30" i="672" s="1"/>
  <c r="Q30" i="672"/>
  <c r="B30" i="672"/>
  <c r="S29" i="672"/>
  <c r="Q29" i="672"/>
  <c r="R29" i="672" s="1"/>
  <c r="H29" i="672"/>
  <c r="Q28" i="672"/>
  <c r="R28" i="672" s="1"/>
  <c r="S28" i="672" s="1"/>
  <c r="H28" i="672"/>
  <c r="S27" i="672"/>
  <c r="Q27" i="672"/>
  <c r="R27" i="672" s="1"/>
  <c r="S26" i="672"/>
  <c r="Q26" i="672"/>
  <c r="R26" i="672" s="1"/>
  <c r="R25" i="672"/>
  <c r="S25" i="672" s="1"/>
  <c r="Q25" i="672"/>
  <c r="S24" i="672"/>
  <c r="Q24" i="672"/>
  <c r="R24" i="672" s="1"/>
  <c r="S23" i="672"/>
  <c r="Q23" i="672"/>
  <c r="R23" i="672" s="1"/>
  <c r="H23" i="672"/>
  <c r="E23" i="672"/>
  <c r="R22" i="672"/>
  <c r="S22" i="672" s="1"/>
  <c r="Q22" i="672"/>
  <c r="H22" i="672"/>
  <c r="R21" i="672"/>
  <c r="S21" i="672" s="1"/>
  <c r="Q21" i="672"/>
  <c r="H21" i="672"/>
  <c r="R20" i="672"/>
  <c r="S20" i="672" s="1"/>
  <c r="Q20" i="672"/>
  <c r="H20" i="672"/>
  <c r="Q19" i="672"/>
  <c r="R19" i="672" s="1"/>
  <c r="S19" i="672" s="1"/>
  <c r="H19" i="672"/>
  <c r="E19" i="672"/>
  <c r="E20" i="672" s="1"/>
  <c r="R18" i="672"/>
  <c r="S18" i="672" s="1"/>
  <c r="Q18" i="672"/>
  <c r="H18" i="672"/>
  <c r="S17" i="672"/>
  <c r="Q17" i="672"/>
  <c r="R17" i="672" s="1"/>
  <c r="H17" i="672"/>
  <c r="E17" i="672"/>
  <c r="R16" i="672"/>
  <c r="S16" i="672" s="1"/>
  <c r="Q16" i="672"/>
  <c r="H16" i="672"/>
  <c r="R15" i="672"/>
  <c r="S15" i="672" s="1"/>
  <c r="Q15" i="672"/>
  <c r="R14" i="672"/>
  <c r="S14" i="672" s="1"/>
  <c r="Q14" i="672"/>
  <c r="R13" i="672"/>
  <c r="S13" i="672" s="1"/>
  <c r="Q13" i="672"/>
  <c r="E13" i="672"/>
  <c r="S12" i="672"/>
  <c r="Q12" i="672"/>
  <c r="R12" i="672" s="1"/>
  <c r="Q11" i="672"/>
  <c r="R11" i="672" s="1"/>
  <c r="S11" i="672" s="1"/>
  <c r="Q10" i="672"/>
  <c r="R10" i="672" s="1"/>
  <c r="S10" i="672" s="1"/>
  <c r="H10" i="672"/>
  <c r="Q9" i="672"/>
  <c r="R9" i="672" s="1"/>
  <c r="S9" i="672" s="1"/>
  <c r="S8" i="672"/>
  <c r="R8" i="672"/>
  <c r="Q8" i="672"/>
  <c r="E8" i="672"/>
  <c r="E9" i="672" s="1"/>
  <c r="E11" i="672" s="1"/>
  <c r="Q7" i="672"/>
  <c r="R7" i="672" s="1"/>
  <c r="S7" i="672" s="1"/>
  <c r="H7" i="672"/>
  <c r="S6" i="672"/>
  <c r="Q6" i="672"/>
  <c r="R6" i="672" s="1"/>
  <c r="S5" i="672"/>
  <c r="R5" i="672"/>
  <c r="Q5" i="672"/>
  <c r="Q4" i="672"/>
  <c r="R4" i="672" s="1"/>
  <c r="S4" i="672" s="1"/>
  <c r="H4" i="672"/>
  <c r="S3" i="672"/>
  <c r="Q3" i="672"/>
  <c r="R3" i="672" s="1"/>
  <c r="K3" i="672"/>
  <c r="J3" i="672"/>
  <c r="H3" i="672"/>
  <c r="H8" i="672" s="1"/>
  <c r="H2" i="672"/>
  <c r="H51" i="671"/>
  <c r="P50" i="671"/>
  <c r="S49" i="671"/>
  <c r="Q49" i="671"/>
  <c r="R49" i="671" s="1"/>
  <c r="Q48" i="671"/>
  <c r="R48" i="671" s="1"/>
  <c r="S48" i="671" s="1"/>
  <c r="R47" i="671"/>
  <c r="S47" i="671" s="1"/>
  <c r="Q47" i="671"/>
  <c r="S46" i="671"/>
  <c r="Q46" i="671"/>
  <c r="R46" i="671" s="1"/>
  <c r="H46" i="671"/>
  <c r="Q45" i="671"/>
  <c r="R45" i="671" s="1"/>
  <c r="S45" i="671" s="1"/>
  <c r="S44" i="671"/>
  <c r="Q44" i="671"/>
  <c r="R44" i="671" s="1"/>
  <c r="S43" i="671"/>
  <c r="R43" i="671"/>
  <c r="Q43" i="671"/>
  <c r="R42" i="671"/>
  <c r="S42" i="671" s="1"/>
  <c r="Q42" i="671"/>
  <c r="S41" i="671"/>
  <c r="Q41" i="671"/>
  <c r="R41" i="671" s="1"/>
  <c r="Q40" i="671"/>
  <c r="R40" i="671" s="1"/>
  <c r="S40" i="671" s="1"/>
  <c r="H40" i="671"/>
  <c r="R39" i="671"/>
  <c r="S39" i="671" s="1"/>
  <c r="Q39" i="671"/>
  <c r="H39" i="671"/>
  <c r="R38" i="671"/>
  <c r="S38" i="671" s="1"/>
  <c r="Q38" i="671"/>
  <c r="H38" i="671"/>
  <c r="S37" i="671"/>
  <c r="R37" i="671"/>
  <c r="Q37" i="671"/>
  <c r="S36" i="671"/>
  <c r="R36" i="671"/>
  <c r="Q36" i="671"/>
  <c r="E36" i="671"/>
  <c r="D36" i="671"/>
  <c r="R35" i="671"/>
  <c r="S35" i="671" s="1"/>
  <c r="Q35" i="671"/>
  <c r="S34" i="671"/>
  <c r="Q34" i="671"/>
  <c r="R34" i="671" s="1"/>
  <c r="Q33" i="671"/>
  <c r="R33" i="671" s="1"/>
  <c r="S33" i="671" s="1"/>
  <c r="Q32" i="671"/>
  <c r="R32" i="671" s="1"/>
  <c r="S32" i="671" s="1"/>
  <c r="H32" i="671"/>
  <c r="E32" i="671"/>
  <c r="R31" i="671"/>
  <c r="S31" i="671" s="1"/>
  <c r="Q31" i="671"/>
  <c r="H31" i="671"/>
  <c r="E31" i="671"/>
  <c r="S30" i="671"/>
  <c r="R30" i="671"/>
  <c r="Q30" i="671"/>
  <c r="B30" i="671"/>
  <c r="S29" i="671"/>
  <c r="Q29" i="671"/>
  <c r="R29" i="671" s="1"/>
  <c r="H29" i="671"/>
  <c r="Q28" i="671"/>
  <c r="R28" i="671" s="1"/>
  <c r="S28" i="671" s="1"/>
  <c r="H28" i="671"/>
  <c r="H36" i="671" s="1"/>
  <c r="Q27" i="671"/>
  <c r="R27" i="671" s="1"/>
  <c r="S27" i="671" s="1"/>
  <c r="S26" i="671"/>
  <c r="Q26" i="671"/>
  <c r="R26" i="671" s="1"/>
  <c r="S25" i="671"/>
  <c r="R25" i="671"/>
  <c r="Q25" i="671"/>
  <c r="Q24" i="671"/>
  <c r="R24" i="671" s="1"/>
  <c r="S24" i="671" s="1"/>
  <c r="Q23" i="671"/>
  <c r="R23" i="671" s="1"/>
  <c r="S23" i="671" s="1"/>
  <c r="H23" i="671"/>
  <c r="E23" i="671"/>
  <c r="R22" i="671"/>
  <c r="S22" i="671" s="1"/>
  <c r="Q22" i="671"/>
  <c r="H22" i="671"/>
  <c r="R21" i="671"/>
  <c r="S21" i="671" s="1"/>
  <c r="Q21" i="671"/>
  <c r="H21" i="671"/>
  <c r="R20" i="671"/>
  <c r="S20" i="671" s="1"/>
  <c r="Q20" i="671"/>
  <c r="H20" i="671"/>
  <c r="S19" i="671"/>
  <c r="Q19" i="671"/>
  <c r="R19" i="671" s="1"/>
  <c r="H19" i="671"/>
  <c r="Q18" i="671"/>
  <c r="R18" i="671" s="1"/>
  <c r="S18" i="671" s="1"/>
  <c r="H18" i="671"/>
  <c r="R17" i="671"/>
  <c r="S17" i="671" s="1"/>
  <c r="Q17" i="671"/>
  <c r="H17" i="671"/>
  <c r="R16" i="671"/>
  <c r="S16" i="671" s="1"/>
  <c r="Q16" i="671"/>
  <c r="H16" i="671"/>
  <c r="R15" i="671"/>
  <c r="S15" i="671" s="1"/>
  <c r="Q15" i="671"/>
  <c r="R14" i="671"/>
  <c r="S14" i="671" s="1"/>
  <c r="Q14" i="671"/>
  <c r="S13" i="671"/>
  <c r="Q13" i="671"/>
  <c r="R13" i="671" s="1"/>
  <c r="E13" i="671"/>
  <c r="R12" i="671"/>
  <c r="S12" i="671" s="1"/>
  <c r="Q12" i="671"/>
  <c r="S11" i="671"/>
  <c r="Q11" i="671"/>
  <c r="R11" i="671" s="1"/>
  <c r="R10" i="671"/>
  <c r="S10" i="671" s="1"/>
  <c r="Q10" i="671"/>
  <c r="H10" i="671"/>
  <c r="Q9" i="671"/>
  <c r="R9" i="671" s="1"/>
  <c r="S9" i="671" s="1"/>
  <c r="Q8" i="671"/>
  <c r="R8" i="671" s="1"/>
  <c r="S8" i="671" s="1"/>
  <c r="E8" i="671"/>
  <c r="E9" i="671" s="1"/>
  <c r="E11" i="671" s="1"/>
  <c r="S7" i="671"/>
  <c r="R7" i="671"/>
  <c r="Q7" i="671"/>
  <c r="H7" i="671"/>
  <c r="S6" i="671"/>
  <c r="R6" i="671"/>
  <c r="Q6" i="671"/>
  <c r="R5" i="671"/>
  <c r="S5" i="671" s="1"/>
  <c r="Q5" i="671"/>
  <c r="R4" i="671"/>
  <c r="S4" i="671" s="1"/>
  <c r="Q4" i="671"/>
  <c r="H4" i="671"/>
  <c r="H9" i="671" s="1"/>
  <c r="H11" i="671" s="1"/>
  <c r="R3" i="671"/>
  <c r="S3" i="671" s="1"/>
  <c r="S50" i="671" s="1"/>
  <c r="Q3" i="671"/>
  <c r="K3" i="671"/>
  <c r="J3" i="671"/>
  <c r="H3" i="671"/>
  <c r="H8" i="671" s="1"/>
  <c r="H2" i="671"/>
  <c r="H51" i="670"/>
  <c r="P50" i="670"/>
  <c r="R49" i="670"/>
  <c r="S49" i="670" s="1"/>
  <c r="Q49" i="670"/>
  <c r="S48" i="670"/>
  <c r="Q48" i="670"/>
  <c r="R48" i="670" s="1"/>
  <c r="Q47" i="670"/>
  <c r="R47" i="670" s="1"/>
  <c r="S47" i="670" s="1"/>
  <c r="R46" i="670"/>
  <c r="S46" i="670" s="1"/>
  <c r="Q46" i="670"/>
  <c r="H46" i="670"/>
  <c r="R45" i="670"/>
  <c r="S45" i="670" s="1"/>
  <c r="Q45" i="670"/>
  <c r="R44" i="670"/>
  <c r="S44" i="670" s="1"/>
  <c r="Q44" i="670"/>
  <c r="S43" i="670"/>
  <c r="Q43" i="670"/>
  <c r="R43" i="670" s="1"/>
  <c r="Q42" i="670"/>
  <c r="R42" i="670" s="1"/>
  <c r="S42" i="670" s="1"/>
  <c r="R41" i="670"/>
  <c r="S41" i="670" s="1"/>
  <c r="Q41" i="670"/>
  <c r="S40" i="670"/>
  <c r="Q40" i="670"/>
  <c r="R40" i="670" s="1"/>
  <c r="H40" i="670"/>
  <c r="Q39" i="670"/>
  <c r="R39" i="670" s="1"/>
  <c r="S39" i="670" s="1"/>
  <c r="H39" i="670"/>
  <c r="Q38" i="670"/>
  <c r="R38" i="670" s="1"/>
  <c r="S38" i="670" s="1"/>
  <c r="H38" i="670"/>
  <c r="Q37" i="670"/>
  <c r="R37" i="670" s="1"/>
  <c r="S37" i="670" s="1"/>
  <c r="R36" i="670"/>
  <c r="S36" i="670" s="1"/>
  <c r="Q36" i="670"/>
  <c r="E36" i="670"/>
  <c r="D36" i="670"/>
  <c r="S35" i="670"/>
  <c r="Q35" i="670"/>
  <c r="R35" i="670" s="1"/>
  <c r="S34" i="670"/>
  <c r="R34" i="670"/>
  <c r="Q34" i="670"/>
  <c r="S33" i="670"/>
  <c r="R33" i="670"/>
  <c r="Q33" i="670"/>
  <c r="Q32" i="670"/>
  <c r="R32" i="670" s="1"/>
  <c r="S32" i="670" s="1"/>
  <c r="H32" i="670"/>
  <c r="E32" i="670"/>
  <c r="E33" i="670" s="1"/>
  <c r="Q31" i="670"/>
  <c r="R31" i="670" s="1"/>
  <c r="S31" i="670" s="1"/>
  <c r="H31" i="670"/>
  <c r="E31" i="670"/>
  <c r="R30" i="670"/>
  <c r="S30" i="670" s="1"/>
  <c r="Q30" i="670"/>
  <c r="B30" i="670"/>
  <c r="R29" i="670"/>
  <c r="S29" i="670" s="1"/>
  <c r="Q29" i="670"/>
  <c r="H29" i="670"/>
  <c r="R28" i="670"/>
  <c r="S28" i="670" s="1"/>
  <c r="Q28" i="670"/>
  <c r="H28" i="670"/>
  <c r="H36" i="670" s="1"/>
  <c r="R27" i="670"/>
  <c r="S27" i="670" s="1"/>
  <c r="Q27" i="670"/>
  <c r="R26" i="670"/>
  <c r="S26" i="670" s="1"/>
  <c r="Q26" i="670"/>
  <c r="S25" i="670"/>
  <c r="Q25" i="670"/>
  <c r="R25" i="670" s="1"/>
  <c r="Q24" i="670"/>
  <c r="R24" i="670" s="1"/>
  <c r="S24" i="670" s="1"/>
  <c r="R23" i="670"/>
  <c r="S23" i="670" s="1"/>
  <c r="Q23" i="670"/>
  <c r="H23" i="670"/>
  <c r="E23" i="670"/>
  <c r="Q22" i="670"/>
  <c r="R22" i="670" s="1"/>
  <c r="S22" i="670" s="1"/>
  <c r="H22" i="670"/>
  <c r="Q21" i="670"/>
  <c r="R21" i="670" s="1"/>
  <c r="S21" i="670" s="1"/>
  <c r="H21" i="670"/>
  <c r="Q20" i="670"/>
  <c r="R20" i="670" s="1"/>
  <c r="S20" i="670" s="1"/>
  <c r="H20" i="670"/>
  <c r="R19" i="670"/>
  <c r="S19" i="670" s="1"/>
  <c r="Q19" i="670"/>
  <c r="H19" i="670"/>
  <c r="S18" i="670"/>
  <c r="Q18" i="670"/>
  <c r="R18" i="670" s="1"/>
  <c r="H18" i="670"/>
  <c r="R17" i="670"/>
  <c r="S17" i="670" s="1"/>
  <c r="Q17" i="670"/>
  <c r="H17" i="670"/>
  <c r="H24" i="670" s="1"/>
  <c r="R16" i="670"/>
  <c r="S16" i="670" s="1"/>
  <c r="Q16" i="670"/>
  <c r="H16" i="670"/>
  <c r="R15" i="670"/>
  <c r="S15" i="670" s="1"/>
  <c r="Q15" i="670"/>
  <c r="R14" i="670"/>
  <c r="S14" i="670" s="1"/>
  <c r="Q14" i="670"/>
  <c r="S13" i="670"/>
  <c r="Q13" i="670"/>
  <c r="R13" i="670" s="1"/>
  <c r="E13" i="670"/>
  <c r="E17" i="670" s="1"/>
  <c r="R12" i="670"/>
  <c r="S12" i="670" s="1"/>
  <c r="Q12" i="670"/>
  <c r="S11" i="670"/>
  <c r="Q11" i="670"/>
  <c r="R11" i="670" s="1"/>
  <c r="E11" i="670"/>
  <c r="R10" i="670"/>
  <c r="S10" i="670" s="1"/>
  <c r="Q10" i="670"/>
  <c r="H10" i="670"/>
  <c r="Q9" i="670"/>
  <c r="R9" i="670" s="1"/>
  <c r="S9" i="670" s="1"/>
  <c r="S8" i="670"/>
  <c r="Q8" i="670"/>
  <c r="R8" i="670" s="1"/>
  <c r="E8" i="670"/>
  <c r="E9" i="670" s="1"/>
  <c r="S7" i="670"/>
  <c r="Q7" i="670"/>
  <c r="R7" i="670" s="1"/>
  <c r="H7" i="670"/>
  <c r="S6" i="670"/>
  <c r="Q6" i="670"/>
  <c r="R6" i="670" s="1"/>
  <c r="R5" i="670"/>
  <c r="S5" i="670" s="1"/>
  <c r="Q5" i="670"/>
  <c r="S4" i="670"/>
  <c r="Q4" i="670"/>
  <c r="R4" i="670" s="1"/>
  <c r="H4" i="670"/>
  <c r="H9" i="670" s="1"/>
  <c r="Q3" i="670"/>
  <c r="R3" i="670" s="1"/>
  <c r="S3" i="670" s="1"/>
  <c r="S50" i="670" s="1"/>
  <c r="K3" i="670"/>
  <c r="J3" i="670"/>
  <c r="H3" i="670"/>
  <c r="H8" i="670" s="1"/>
  <c r="H2" i="670"/>
  <c r="H51" i="669"/>
  <c r="P50" i="669"/>
  <c r="Q49" i="669"/>
  <c r="R49" i="669" s="1"/>
  <c r="S49" i="669" s="1"/>
  <c r="R48" i="669"/>
  <c r="S48" i="669" s="1"/>
  <c r="Q48" i="669"/>
  <c r="R47" i="669"/>
  <c r="S47" i="669" s="1"/>
  <c r="Q47" i="669"/>
  <c r="S46" i="669"/>
  <c r="Q46" i="669"/>
  <c r="R46" i="669" s="1"/>
  <c r="H46" i="669"/>
  <c r="S45" i="669"/>
  <c r="Q45" i="669"/>
  <c r="R45" i="669" s="1"/>
  <c r="Q44" i="669"/>
  <c r="R44" i="669" s="1"/>
  <c r="S44" i="669" s="1"/>
  <c r="R43" i="669"/>
  <c r="S43" i="669" s="1"/>
  <c r="Q43" i="669"/>
  <c r="Q42" i="669"/>
  <c r="R42" i="669" s="1"/>
  <c r="S42" i="669" s="1"/>
  <c r="Q41" i="669"/>
  <c r="R41" i="669" s="1"/>
  <c r="S41" i="669" s="1"/>
  <c r="R40" i="669"/>
  <c r="S40" i="669" s="1"/>
  <c r="Q40" i="669"/>
  <c r="H40" i="669"/>
  <c r="R39" i="669"/>
  <c r="S39" i="669" s="1"/>
  <c r="Q39" i="669"/>
  <c r="H39" i="669"/>
  <c r="Q38" i="669"/>
  <c r="R38" i="669" s="1"/>
  <c r="S38" i="669" s="1"/>
  <c r="H38" i="669"/>
  <c r="R37" i="669"/>
  <c r="S37" i="669" s="1"/>
  <c r="Q37" i="669"/>
  <c r="R36" i="669"/>
  <c r="S36" i="669" s="1"/>
  <c r="Q36" i="669"/>
  <c r="E36" i="669"/>
  <c r="D36" i="669"/>
  <c r="R35" i="669"/>
  <c r="S35" i="669" s="1"/>
  <c r="Q35" i="669"/>
  <c r="Q34" i="669"/>
  <c r="R34" i="669" s="1"/>
  <c r="S34" i="669" s="1"/>
  <c r="Q33" i="669"/>
  <c r="R33" i="669" s="1"/>
  <c r="S33" i="669" s="1"/>
  <c r="R32" i="669"/>
  <c r="S32" i="669" s="1"/>
  <c r="Q32" i="669"/>
  <c r="H32" i="669"/>
  <c r="E32" i="669"/>
  <c r="E33" i="669" s="1"/>
  <c r="Q31" i="669"/>
  <c r="R31" i="669" s="1"/>
  <c r="S31" i="669" s="1"/>
  <c r="H31" i="669"/>
  <c r="E31" i="669"/>
  <c r="H9" i="669" s="1"/>
  <c r="R30" i="669"/>
  <c r="S30" i="669" s="1"/>
  <c r="Q30" i="669"/>
  <c r="B30" i="669"/>
  <c r="S29" i="669"/>
  <c r="Q29" i="669"/>
  <c r="R29" i="669" s="1"/>
  <c r="H29" i="669"/>
  <c r="Q28" i="669"/>
  <c r="R28" i="669" s="1"/>
  <c r="S28" i="669" s="1"/>
  <c r="H28" i="669"/>
  <c r="S27" i="669"/>
  <c r="Q27" i="669"/>
  <c r="R27" i="669" s="1"/>
  <c r="S26" i="669"/>
  <c r="Q26" i="669"/>
  <c r="R26" i="669" s="1"/>
  <c r="R25" i="669"/>
  <c r="S25" i="669" s="1"/>
  <c r="Q25" i="669"/>
  <c r="Q24" i="669"/>
  <c r="R24" i="669" s="1"/>
  <c r="S24" i="669" s="1"/>
  <c r="Q23" i="669"/>
  <c r="R23" i="669" s="1"/>
  <c r="S23" i="669" s="1"/>
  <c r="H23" i="669"/>
  <c r="E23" i="669"/>
  <c r="R22" i="669"/>
  <c r="S22" i="669" s="1"/>
  <c r="Q22" i="669"/>
  <c r="H22" i="669"/>
  <c r="R21" i="669"/>
  <c r="S21" i="669" s="1"/>
  <c r="Q21" i="669"/>
  <c r="H21" i="669"/>
  <c r="R20" i="669"/>
  <c r="S20" i="669" s="1"/>
  <c r="Q20" i="669"/>
  <c r="H20" i="669"/>
  <c r="Q19" i="669"/>
  <c r="R19" i="669" s="1"/>
  <c r="S19" i="669" s="1"/>
  <c r="H19" i="669"/>
  <c r="E19" i="669"/>
  <c r="E20" i="669" s="1"/>
  <c r="R18" i="669"/>
  <c r="S18" i="669" s="1"/>
  <c r="Q18" i="669"/>
  <c r="H18" i="669"/>
  <c r="S17" i="669"/>
  <c r="Q17" i="669"/>
  <c r="R17" i="669" s="1"/>
  <c r="H17" i="669"/>
  <c r="E17" i="669"/>
  <c r="R16" i="669"/>
  <c r="S16" i="669" s="1"/>
  <c r="Q16" i="669"/>
  <c r="H16" i="669"/>
  <c r="R15" i="669"/>
  <c r="S15" i="669" s="1"/>
  <c r="Q15" i="669"/>
  <c r="Q14" i="669"/>
  <c r="R14" i="669" s="1"/>
  <c r="S14" i="669" s="1"/>
  <c r="R13" i="669"/>
  <c r="S13" i="669" s="1"/>
  <c r="Q13" i="669"/>
  <c r="E13" i="669"/>
  <c r="Q12" i="669"/>
  <c r="R12" i="669" s="1"/>
  <c r="S12" i="669" s="1"/>
  <c r="R11" i="669"/>
  <c r="S11" i="669" s="1"/>
  <c r="Q11" i="669"/>
  <c r="S10" i="669"/>
  <c r="Q10" i="669"/>
  <c r="R10" i="669" s="1"/>
  <c r="H10" i="669"/>
  <c r="Q9" i="669"/>
  <c r="R9" i="669" s="1"/>
  <c r="S9" i="669" s="1"/>
  <c r="E9" i="669"/>
  <c r="E11" i="669" s="1"/>
  <c r="R8" i="669"/>
  <c r="S8" i="669" s="1"/>
  <c r="Q8" i="669"/>
  <c r="H8" i="669"/>
  <c r="E8" i="669"/>
  <c r="S7" i="669"/>
  <c r="Q7" i="669"/>
  <c r="R7" i="669" s="1"/>
  <c r="H7" i="669"/>
  <c r="Q6" i="669"/>
  <c r="R6" i="669" s="1"/>
  <c r="S6" i="669" s="1"/>
  <c r="R5" i="669"/>
  <c r="S5" i="669" s="1"/>
  <c r="Q5" i="669"/>
  <c r="S4" i="669"/>
  <c r="Q4" i="669"/>
  <c r="R4" i="669" s="1"/>
  <c r="H4" i="669"/>
  <c r="Q3" i="669"/>
  <c r="R3" i="669" s="1"/>
  <c r="S3" i="669" s="1"/>
  <c r="K3" i="669"/>
  <c r="J3" i="669"/>
  <c r="H3" i="669"/>
  <c r="H2" i="669"/>
  <c r="H51" i="668"/>
  <c r="P50" i="668"/>
  <c r="Q49" i="668"/>
  <c r="R49" i="668" s="1"/>
  <c r="S49" i="668" s="1"/>
  <c r="R48" i="668"/>
  <c r="S48" i="668" s="1"/>
  <c r="Q48" i="668"/>
  <c r="R47" i="668"/>
  <c r="S47" i="668" s="1"/>
  <c r="Q47" i="668"/>
  <c r="S46" i="668"/>
  <c r="Q46" i="668"/>
  <c r="R46" i="668" s="1"/>
  <c r="H46" i="668"/>
  <c r="Q45" i="668"/>
  <c r="R45" i="668" s="1"/>
  <c r="S45" i="668" s="1"/>
  <c r="Q44" i="668"/>
  <c r="R44" i="668" s="1"/>
  <c r="S44" i="668" s="1"/>
  <c r="R43" i="668"/>
  <c r="S43" i="668" s="1"/>
  <c r="Q43" i="668"/>
  <c r="Q42" i="668"/>
  <c r="R42" i="668" s="1"/>
  <c r="S42" i="668" s="1"/>
  <c r="Q41" i="668"/>
  <c r="R41" i="668" s="1"/>
  <c r="S41" i="668" s="1"/>
  <c r="R40" i="668"/>
  <c r="S40" i="668" s="1"/>
  <c r="Q40" i="668"/>
  <c r="H40" i="668"/>
  <c r="R39" i="668"/>
  <c r="S39" i="668" s="1"/>
  <c r="Q39" i="668"/>
  <c r="H39" i="668"/>
  <c r="Q38" i="668"/>
  <c r="R38" i="668" s="1"/>
  <c r="S38" i="668" s="1"/>
  <c r="H38" i="668"/>
  <c r="R37" i="668"/>
  <c r="S37" i="668" s="1"/>
  <c r="Q37" i="668"/>
  <c r="R36" i="668"/>
  <c r="S36" i="668" s="1"/>
  <c r="Q36" i="668"/>
  <c r="E36" i="668"/>
  <c r="D36" i="668"/>
  <c r="R35" i="668"/>
  <c r="S35" i="668" s="1"/>
  <c r="Q35" i="668"/>
  <c r="Q34" i="668"/>
  <c r="R34" i="668" s="1"/>
  <c r="S34" i="668" s="1"/>
  <c r="Q33" i="668"/>
  <c r="R33" i="668" s="1"/>
  <c r="S33" i="668" s="1"/>
  <c r="R32" i="668"/>
  <c r="S32" i="668" s="1"/>
  <c r="Q32" i="668"/>
  <c r="H32" i="668"/>
  <c r="E32" i="668"/>
  <c r="S31" i="668"/>
  <c r="Q31" i="668"/>
  <c r="R31" i="668" s="1"/>
  <c r="H31" i="668"/>
  <c r="E31" i="668"/>
  <c r="R30" i="668"/>
  <c r="S30" i="668" s="1"/>
  <c r="Q30" i="668"/>
  <c r="B30" i="668"/>
  <c r="S29" i="668"/>
  <c r="Q29" i="668"/>
  <c r="R29" i="668" s="1"/>
  <c r="H29" i="668"/>
  <c r="Q28" i="668"/>
  <c r="R28" i="668" s="1"/>
  <c r="S28" i="668" s="1"/>
  <c r="H28" i="668"/>
  <c r="S27" i="668"/>
  <c r="Q27" i="668"/>
  <c r="R27" i="668" s="1"/>
  <c r="S26" i="668"/>
  <c r="Q26" i="668"/>
  <c r="R26" i="668" s="1"/>
  <c r="R25" i="668"/>
  <c r="S25" i="668" s="1"/>
  <c r="Q25" i="668"/>
  <c r="S24" i="668"/>
  <c r="Q24" i="668"/>
  <c r="R24" i="668" s="1"/>
  <c r="S23" i="668"/>
  <c r="Q23" i="668"/>
  <c r="R23" i="668" s="1"/>
  <c r="H23" i="668"/>
  <c r="E23" i="668"/>
  <c r="R22" i="668"/>
  <c r="S22" i="668" s="1"/>
  <c r="Q22" i="668"/>
  <c r="H22" i="668"/>
  <c r="R21" i="668"/>
  <c r="S21" i="668" s="1"/>
  <c r="Q21" i="668"/>
  <c r="H21" i="668"/>
  <c r="R20" i="668"/>
  <c r="S20" i="668" s="1"/>
  <c r="Q20" i="668"/>
  <c r="H20" i="668"/>
  <c r="Q19" i="668"/>
  <c r="R19" i="668" s="1"/>
  <c r="S19" i="668" s="1"/>
  <c r="H19" i="668"/>
  <c r="R18" i="668"/>
  <c r="S18" i="668" s="1"/>
  <c r="Q18" i="668"/>
  <c r="H18" i="668"/>
  <c r="S17" i="668"/>
  <c r="Q17" i="668"/>
  <c r="R17" i="668" s="1"/>
  <c r="H17" i="668"/>
  <c r="R16" i="668"/>
  <c r="S16" i="668" s="1"/>
  <c r="Q16" i="668"/>
  <c r="H16" i="668"/>
  <c r="R15" i="668"/>
  <c r="S15" i="668" s="1"/>
  <c r="Q15" i="668"/>
  <c r="Q14" i="668"/>
  <c r="R14" i="668" s="1"/>
  <c r="S14" i="668" s="1"/>
  <c r="R13" i="668"/>
  <c r="S13" i="668" s="1"/>
  <c r="Q13" i="668"/>
  <c r="E13" i="668"/>
  <c r="Q12" i="668"/>
  <c r="R12" i="668" s="1"/>
  <c r="S12" i="668" s="1"/>
  <c r="R11" i="668"/>
  <c r="S11" i="668" s="1"/>
  <c r="Q11" i="668"/>
  <c r="S10" i="668"/>
  <c r="Q10" i="668"/>
  <c r="R10" i="668" s="1"/>
  <c r="H10" i="668"/>
  <c r="Q9" i="668"/>
  <c r="R9" i="668" s="1"/>
  <c r="S9" i="668" s="1"/>
  <c r="E9" i="668"/>
  <c r="E11" i="668" s="1"/>
  <c r="Q8" i="668"/>
  <c r="R8" i="668" s="1"/>
  <c r="S8" i="668" s="1"/>
  <c r="E8" i="668"/>
  <c r="R7" i="668"/>
  <c r="S7" i="668" s="1"/>
  <c r="Q7" i="668"/>
  <c r="H7" i="668"/>
  <c r="R6" i="668"/>
  <c r="S6" i="668" s="1"/>
  <c r="Q6" i="668"/>
  <c r="Q5" i="668"/>
  <c r="R5" i="668" s="1"/>
  <c r="S5" i="668" s="1"/>
  <c r="R4" i="668"/>
  <c r="S4" i="668" s="1"/>
  <c r="Q4" i="668"/>
  <c r="H4" i="668"/>
  <c r="R3" i="668"/>
  <c r="S3" i="668" s="1"/>
  <c r="Q3" i="668"/>
  <c r="K3" i="668"/>
  <c r="J3" i="668"/>
  <c r="H3" i="668"/>
  <c r="H8" i="668" s="1"/>
  <c r="H2" i="668"/>
  <c r="H51" i="667"/>
  <c r="P50" i="667"/>
  <c r="R49" i="667"/>
  <c r="S49" i="667" s="1"/>
  <c r="Q49" i="667"/>
  <c r="Q48" i="667"/>
  <c r="R48" i="667" s="1"/>
  <c r="S48" i="667" s="1"/>
  <c r="Q47" i="667"/>
  <c r="R47" i="667" s="1"/>
  <c r="S47" i="667" s="1"/>
  <c r="R46" i="667"/>
  <c r="S46" i="667" s="1"/>
  <c r="Q46" i="667"/>
  <c r="H46" i="667"/>
  <c r="R45" i="667"/>
  <c r="S45" i="667" s="1"/>
  <c r="Q45" i="667"/>
  <c r="R44" i="667"/>
  <c r="S44" i="667" s="1"/>
  <c r="Q44" i="667"/>
  <c r="Q43" i="667"/>
  <c r="R43" i="667" s="1"/>
  <c r="S43" i="667" s="1"/>
  <c r="R42" i="667"/>
  <c r="S42" i="667" s="1"/>
  <c r="Q42" i="667"/>
  <c r="R41" i="667"/>
  <c r="S41" i="667" s="1"/>
  <c r="Q41" i="667"/>
  <c r="Q40" i="667"/>
  <c r="R40" i="667" s="1"/>
  <c r="S40" i="667" s="1"/>
  <c r="H40" i="667"/>
  <c r="Q39" i="667"/>
  <c r="R39" i="667" s="1"/>
  <c r="S39" i="667" s="1"/>
  <c r="H39" i="667"/>
  <c r="R38" i="667"/>
  <c r="S38" i="667" s="1"/>
  <c r="Q38" i="667"/>
  <c r="H38" i="667"/>
  <c r="Q37" i="667"/>
  <c r="R37" i="667" s="1"/>
  <c r="S37" i="667" s="1"/>
  <c r="Q36" i="667"/>
  <c r="R36" i="667" s="1"/>
  <c r="S36" i="667" s="1"/>
  <c r="E36" i="667"/>
  <c r="D36" i="667"/>
  <c r="Q35" i="667"/>
  <c r="R35" i="667" s="1"/>
  <c r="S35" i="667" s="1"/>
  <c r="R34" i="667"/>
  <c r="S34" i="667" s="1"/>
  <c r="Q34" i="667"/>
  <c r="R33" i="667"/>
  <c r="S33" i="667" s="1"/>
  <c r="Q33" i="667"/>
  <c r="Q32" i="667"/>
  <c r="R32" i="667" s="1"/>
  <c r="S32" i="667" s="1"/>
  <c r="H32" i="667"/>
  <c r="E32" i="667"/>
  <c r="R31" i="667"/>
  <c r="S31" i="667" s="1"/>
  <c r="Q31" i="667"/>
  <c r="H31" i="667"/>
  <c r="E31" i="667"/>
  <c r="H9" i="667" s="1"/>
  <c r="Q30" i="667"/>
  <c r="R30" i="667" s="1"/>
  <c r="S30" i="667" s="1"/>
  <c r="B30" i="667"/>
  <c r="R29" i="667"/>
  <c r="S29" i="667" s="1"/>
  <c r="Q29" i="667"/>
  <c r="H29" i="667"/>
  <c r="R28" i="667"/>
  <c r="S28" i="667" s="1"/>
  <c r="Q28" i="667"/>
  <c r="H28" i="667"/>
  <c r="H36" i="667" s="1"/>
  <c r="R27" i="667"/>
  <c r="S27" i="667" s="1"/>
  <c r="Q27" i="667"/>
  <c r="R26" i="667"/>
  <c r="S26" i="667" s="1"/>
  <c r="Q26" i="667"/>
  <c r="Q25" i="667"/>
  <c r="R25" i="667" s="1"/>
  <c r="S25" i="667" s="1"/>
  <c r="R24" i="667"/>
  <c r="S24" i="667" s="1"/>
  <c r="Q24" i="667"/>
  <c r="R23" i="667"/>
  <c r="S23" i="667" s="1"/>
  <c r="Q23" i="667"/>
  <c r="H23" i="667"/>
  <c r="E23" i="667"/>
  <c r="Q22" i="667"/>
  <c r="R22" i="667" s="1"/>
  <c r="S22" i="667" s="1"/>
  <c r="H22" i="667"/>
  <c r="Q21" i="667"/>
  <c r="R21" i="667" s="1"/>
  <c r="S21" i="667" s="1"/>
  <c r="H21" i="667"/>
  <c r="Q20" i="667"/>
  <c r="R20" i="667" s="1"/>
  <c r="S20" i="667" s="1"/>
  <c r="H20" i="667"/>
  <c r="R19" i="667"/>
  <c r="S19" i="667" s="1"/>
  <c r="Q19" i="667"/>
  <c r="H19" i="667"/>
  <c r="Q18" i="667"/>
  <c r="R18" i="667" s="1"/>
  <c r="S18" i="667" s="1"/>
  <c r="H18" i="667"/>
  <c r="R17" i="667"/>
  <c r="S17" i="667" s="1"/>
  <c r="Q17" i="667"/>
  <c r="H17" i="667"/>
  <c r="Q16" i="667"/>
  <c r="R16" i="667" s="1"/>
  <c r="S16" i="667" s="1"/>
  <c r="H16" i="667"/>
  <c r="Q15" i="667"/>
  <c r="R15" i="667" s="1"/>
  <c r="S15" i="667" s="1"/>
  <c r="R14" i="667"/>
  <c r="S14" i="667" s="1"/>
  <c r="Q14" i="667"/>
  <c r="Q13" i="667"/>
  <c r="R13" i="667" s="1"/>
  <c r="S13" i="667" s="1"/>
  <c r="E13" i="667"/>
  <c r="E17" i="667" s="1"/>
  <c r="R12" i="667"/>
  <c r="S12" i="667" s="1"/>
  <c r="Q12" i="667"/>
  <c r="Q11" i="667"/>
  <c r="R11" i="667" s="1"/>
  <c r="S11" i="667" s="1"/>
  <c r="R10" i="667"/>
  <c r="S10" i="667" s="1"/>
  <c r="Q10" i="667"/>
  <c r="H10" i="667"/>
  <c r="R9" i="667"/>
  <c r="S9" i="667" s="1"/>
  <c r="Q9" i="667"/>
  <c r="Q8" i="667"/>
  <c r="R8" i="667" s="1"/>
  <c r="S8" i="667" s="1"/>
  <c r="E8" i="667"/>
  <c r="E9" i="667" s="1"/>
  <c r="E11" i="667" s="1"/>
  <c r="R7" i="667"/>
  <c r="S7" i="667" s="1"/>
  <c r="Q7" i="667"/>
  <c r="H7" i="667"/>
  <c r="R6" i="667"/>
  <c r="S6" i="667" s="1"/>
  <c r="Q6" i="667"/>
  <c r="Q5" i="667"/>
  <c r="R5" i="667" s="1"/>
  <c r="S5" i="667" s="1"/>
  <c r="R4" i="667"/>
  <c r="S4" i="667" s="1"/>
  <c r="Q4" i="667"/>
  <c r="H4" i="667"/>
  <c r="R3" i="667"/>
  <c r="S3" i="667" s="1"/>
  <c r="Q3" i="667"/>
  <c r="K3" i="667"/>
  <c r="J3" i="667"/>
  <c r="H3" i="667"/>
  <c r="H8" i="667" s="1"/>
  <c r="H2" i="667"/>
  <c r="D36" i="20"/>
  <c r="D35" i="20"/>
  <c r="E18" i="677"/>
  <c r="E18" i="676"/>
  <c r="E18" i="675"/>
  <c r="E18" i="673"/>
  <c r="E18" i="674"/>
  <c r="E18" i="672"/>
  <c r="E18" i="669"/>
  <c r="E18" i="668"/>
  <c r="H24" i="669" l="1"/>
  <c r="H24" i="677"/>
  <c r="H11" i="670"/>
  <c r="E33" i="671"/>
  <c r="D39" i="671" s="1"/>
  <c r="E33" i="667"/>
  <c r="D37" i="667" s="1"/>
  <c r="H24" i="668"/>
  <c r="H11" i="674"/>
  <c r="H11" i="669"/>
  <c r="H11" i="673"/>
  <c r="H9" i="673"/>
  <c r="D37" i="673"/>
  <c r="H9" i="675"/>
  <c r="H11" i="675" s="1"/>
  <c r="H11" i="677"/>
  <c r="H9" i="677"/>
  <c r="E33" i="668"/>
  <c r="D37" i="668" s="1"/>
  <c r="H24" i="674"/>
  <c r="H11" i="676"/>
  <c r="H24" i="676"/>
  <c r="H11" i="667"/>
  <c r="H24" i="667"/>
  <c r="H9" i="668"/>
  <c r="D37" i="674"/>
  <c r="D38" i="674"/>
  <c r="D38" i="667"/>
  <c r="D39" i="667"/>
  <c r="D39" i="668"/>
  <c r="D38" i="670"/>
  <c r="D37" i="670"/>
  <c r="D39" i="670"/>
  <c r="H53" i="670"/>
  <c r="R50" i="670"/>
  <c r="H11" i="668"/>
  <c r="S50" i="668"/>
  <c r="S50" i="669"/>
  <c r="S50" i="667"/>
  <c r="H36" i="669"/>
  <c r="H53" i="673"/>
  <c r="R50" i="673"/>
  <c r="R50" i="675"/>
  <c r="H53" i="675"/>
  <c r="D39" i="675"/>
  <c r="D38" i="675"/>
  <c r="D37" i="675"/>
  <c r="E19" i="667"/>
  <c r="E20" i="667" s="1"/>
  <c r="H53" i="671"/>
  <c r="R50" i="671"/>
  <c r="E19" i="668"/>
  <c r="E20" i="668" s="1"/>
  <c r="H36" i="668"/>
  <c r="E17" i="668"/>
  <c r="D39" i="669"/>
  <c r="D38" i="669"/>
  <c r="D37" i="669"/>
  <c r="E19" i="670"/>
  <c r="E20" i="670" s="1"/>
  <c r="D39" i="672"/>
  <c r="D37" i="672"/>
  <c r="D38" i="672"/>
  <c r="S50" i="672"/>
  <c r="E19" i="671"/>
  <c r="E20" i="671" s="1"/>
  <c r="E17" i="671"/>
  <c r="H36" i="672"/>
  <c r="S50" i="674"/>
  <c r="H24" i="671"/>
  <c r="H9" i="672"/>
  <c r="H11" i="672" s="1"/>
  <c r="H24" i="673"/>
  <c r="D38" i="673"/>
  <c r="H24" i="672"/>
  <c r="S50" i="676"/>
  <c r="S50" i="677"/>
  <c r="H24" i="675"/>
  <c r="H36" i="676"/>
  <c r="D37" i="676"/>
  <c r="D38" i="676"/>
  <c r="H36" i="677"/>
  <c r="D37" i="677"/>
  <c r="D38" i="677"/>
  <c r="E18" i="670"/>
  <c r="E18" i="671"/>
  <c r="E18" i="667"/>
  <c r="D37" i="671" l="1"/>
  <c r="D38" i="671"/>
  <c r="D38" i="668"/>
  <c r="H53" i="672"/>
  <c r="R50" i="672"/>
  <c r="R50" i="668"/>
  <c r="H53" i="668"/>
  <c r="H53" i="676"/>
  <c r="R50" i="676"/>
  <c r="H53" i="674"/>
  <c r="R50" i="674"/>
  <c r="R50" i="667"/>
  <c r="H53" i="667"/>
  <c r="H53" i="677"/>
  <c r="R50" i="677"/>
  <c r="R50" i="669"/>
  <c r="H53" i="669"/>
  <c r="M19" i="416"/>
  <c r="I25" i="416"/>
  <c r="I27" i="416"/>
  <c r="I23" i="416"/>
  <c r="I20" i="416"/>
  <c r="I24" i="416"/>
  <c r="I21" i="416"/>
  <c r="I26" i="416"/>
  <c r="I22" i="416"/>
  <c r="I19" i="416"/>
  <c r="AG7" i="545" l="1"/>
  <c r="AH7" i="545"/>
  <c r="AG8" i="545"/>
  <c r="AH8" i="545"/>
  <c r="AG9" i="545"/>
  <c r="AH9" i="545"/>
  <c r="AG10" i="545"/>
  <c r="AH10" i="545"/>
  <c r="AG11" i="545"/>
  <c r="AH11" i="545"/>
  <c r="AG12" i="545"/>
  <c r="AH12" i="545"/>
  <c r="Q13" i="545"/>
  <c r="R13" i="545"/>
  <c r="S13" i="545"/>
  <c r="T13" i="545"/>
  <c r="U13" i="545"/>
  <c r="V13" i="545"/>
  <c r="W13" i="545"/>
  <c r="X13" i="545"/>
  <c r="Y13" i="545"/>
  <c r="Z13" i="545"/>
  <c r="AA13" i="545"/>
  <c r="AB13" i="545"/>
  <c r="AC13" i="545"/>
  <c r="AD13" i="545"/>
  <c r="AE13" i="545"/>
  <c r="AF13" i="545"/>
  <c r="AG13" i="545"/>
  <c r="AH13" i="545"/>
  <c r="Q14" i="545"/>
  <c r="R14" i="545"/>
  <c r="S14" i="545"/>
  <c r="T14" i="545"/>
  <c r="U14" i="545"/>
  <c r="V14" i="545"/>
  <c r="W14" i="545"/>
  <c r="X14" i="545"/>
  <c r="Y14" i="545"/>
  <c r="Z14" i="545"/>
  <c r="AA14" i="545"/>
  <c r="AB14" i="545"/>
  <c r="AC14" i="545"/>
  <c r="AD14" i="545"/>
  <c r="AE14" i="545"/>
  <c r="AF14" i="545"/>
  <c r="AG14" i="545"/>
  <c r="AH14" i="545"/>
  <c r="Q15" i="545"/>
  <c r="R15" i="545"/>
  <c r="S15" i="545"/>
  <c r="T15" i="545"/>
  <c r="U15" i="545"/>
  <c r="V15" i="545"/>
  <c r="W15" i="545"/>
  <c r="X15" i="545"/>
  <c r="Y15" i="545"/>
  <c r="Z15" i="545"/>
  <c r="AA15" i="545"/>
  <c r="AB15" i="545"/>
  <c r="AC15" i="545"/>
  <c r="AD15" i="545"/>
  <c r="AE15" i="545"/>
  <c r="AF15" i="545"/>
  <c r="AG15" i="545"/>
  <c r="AH15" i="545"/>
  <c r="Q16" i="545"/>
  <c r="R16" i="545"/>
  <c r="S16" i="545"/>
  <c r="T16" i="545"/>
  <c r="U16" i="545"/>
  <c r="V16" i="545"/>
  <c r="W16" i="545"/>
  <c r="X16" i="545"/>
  <c r="Y16" i="545"/>
  <c r="Z16" i="545"/>
  <c r="AA16" i="545"/>
  <c r="AB16" i="545"/>
  <c r="AC16" i="545"/>
  <c r="AD16" i="545"/>
  <c r="AE16" i="545"/>
  <c r="AF16" i="545"/>
  <c r="AG16" i="545"/>
  <c r="AH16" i="545"/>
  <c r="Q17" i="545"/>
  <c r="R17" i="545"/>
  <c r="S17" i="545"/>
  <c r="T17" i="545"/>
  <c r="U17" i="545"/>
  <c r="V17" i="545"/>
  <c r="W17" i="545"/>
  <c r="X17" i="545"/>
  <c r="Y17" i="545"/>
  <c r="Z17" i="545"/>
  <c r="AA17" i="545"/>
  <c r="AB17" i="545"/>
  <c r="AC17" i="545"/>
  <c r="AD17" i="545"/>
  <c r="AE17" i="545"/>
  <c r="AF17" i="545"/>
  <c r="AG17" i="545"/>
  <c r="AH17" i="545"/>
  <c r="Q18" i="545"/>
  <c r="R18" i="545"/>
  <c r="S18" i="545"/>
  <c r="T18" i="545"/>
  <c r="U18" i="545"/>
  <c r="V18" i="545"/>
  <c r="W18" i="545"/>
  <c r="X18" i="545"/>
  <c r="Y18" i="545"/>
  <c r="Z18" i="545"/>
  <c r="AA18" i="545"/>
  <c r="AB18" i="545"/>
  <c r="AC18" i="545"/>
  <c r="AD18" i="545"/>
  <c r="AE18" i="545"/>
  <c r="AF18" i="545"/>
  <c r="AG18" i="545"/>
  <c r="AH18" i="545"/>
  <c r="Q19" i="545"/>
  <c r="R19" i="545"/>
  <c r="S19" i="545"/>
  <c r="T19" i="545"/>
  <c r="U19" i="545"/>
  <c r="V19" i="545"/>
  <c r="W19" i="545"/>
  <c r="X19" i="545"/>
  <c r="Y19" i="545"/>
  <c r="Z19" i="545"/>
  <c r="AA19" i="545"/>
  <c r="AB19" i="545"/>
  <c r="AC19" i="545"/>
  <c r="AD19" i="545"/>
  <c r="AE19" i="545"/>
  <c r="AF19" i="545"/>
  <c r="AG19" i="545"/>
  <c r="AH19" i="545"/>
  <c r="Q20" i="545"/>
  <c r="R20" i="545"/>
  <c r="S20" i="545"/>
  <c r="T20" i="545"/>
  <c r="U20" i="545"/>
  <c r="V20" i="545"/>
  <c r="W20" i="545"/>
  <c r="X20" i="545"/>
  <c r="Y20" i="545"/>
  <c r="Z20" i="545"/>
  <c r="AA20" i="545"/>
  <c r="AB20" i="545"/>
  <c r="AC20" i="545"/>
  <c r="AD20" i="545"/>
  <c r="AE20" i="545"/>
  <c r="AF20" i="545"/>
  <c r="AG20" i="545"/>
  <c r="AH20" i="545"/>
  <c r="Q21" i="545"/>
  <c r="R21" i="545"/>
  <c r="S21" i="545"/>
  <c r="T21" i="545"/>
  <c r="U21" i="545"/>
  <c r="V21" i="545"/>
  <c r="W21" i="545"/>
  <c r="X21" i="545"/>
  <c r="Y21" i="545"/>
  <c r="Z21" i="545"/>
  <c r="AA21" i="545"/>
  <c r="AB21" i="545"/>
  <c r="AC21" i="545"/>
  <c r="AD21" i="545"/>
  <c r="AE21" i="545"/>
  <c r="AF21" i="545"/>
  <c r="AG21" i="545"/>
  <c r="AH21" i="545"/>
  <c r="Q22" i="545"/>
  <c r="R22" i="545"/>
  <c r="S22" i="545"/>
  <c r="T22" i="545"/>
  <c r="U22" i="545"/>
  <c r="V22" i="545"/>
  <c r="W22" i="545"/>
  <c r="X22" i="545"/>
  <c r="Y22" i="545"/>
  <c r="Z22" i="545"/>
  <c r="AA22" i="545"/>
  <c r="AB22" i="545"/>
  <c r="AC22" i="545"/>
  <c r="AD22" i="545"/>
  <c r="AE22" i="545"/>
  <c r="AF22" i="545"/>
  <c r="AG22" i="545"/>
  <c r="AH22" i="545"/>
  <c r="Q23" i="545"/>
  <c r="R23" i="545"/>
  <c r="S23" i="545"/>
  <c r="T23" i="545"/>
  <c r="U23" i="545"/>
  <c r="V23" i="545"/>
  <c r="W23" i="545"/>
  <c r="X23" i="545"/>
  <c r="Y23" i="545"/>
  <c r="Z23" i="545"/>
  <c r="AA23" i="545"/>
  <c r="AB23" i="545"/>
  <c r="AC23" i="545"/>
  <c r="AD23" i="545"/>
  <c r="AE23" i="545"/>
  <c r="AF23" i="545"/>
  <c r="AG23" i="545"/>
  <c r="AH23" i="545"/>
  <c r="Q24" i="545"/>
  <c r="R24" i="545"/>
  <c r="S24" i="545"/>
  <c r="T24" i="545"/>
  <c r="U24" i="545"/>
  <c r="V24" i="545"/>
  <c r="W24" i="545"/>
  <c r="X24" i="545"/>
  <c r="Y24" i="545"/>
  <c r="Z24" i="545"/>
  <c r="AA24" i="545"/>
  <c r="AB24" i="545"/>
  <c r="AC24" i="545"/>
  <c r="AD24" i="545"/>
  <c r="AE24" i="545"/>
  <c r="AF24" i="545"/>
  <c r="AG24" i="545"/>
  <c r="AH24" i="545"/>
  <c r="AG6" i="545"/>
  <c r="AH6" i="545"/>
  <c r="A7" i="364"/>
  <c r="A8" i="364"/>
  <c r="A9" i="364"/>
  <c r="A10" i="364" s="1"/>
  <c r="A11" i="364" s="1"/>
  <c r="A12" i="364" s="1"/>
  <c r="F5" i="20"/>
  <c r="H6" i="416" s="1"/>
  <c r="H7" i="416"/>
  <c r="H8" i="416"/>
  <c r="X12" i="544"/>
  <c r="X11" i="544"/>
  <c r="X10" i="544"/>
  <c r="X9" i="544"/>
  <c r="X8" i="544"/>
  <c r="X7" i="544"/>
  <c r="X6" i="544"/>
  <c r="U8" i="544"/>
  <c r="AA12" i="544"/>
  <c r="S11" i="544"/>
  <c r="AE9" i="544"/>
  <c r="AA8" i="544"/>
  <c r="S7" i="544"/>
  <c r="Y8" i="544"/>
  <c r="AD11" i="544"/>
  <c r="Z10" i="544"/>
  <c r="V9" i="544"/>
  <c r="AD7" i="544"/>
  <c r="Z6" i="544"/>
  <c r="U11" i="544"/>
  <c r="U7" i="544"/>
  <c r="S12" i="544"/>
  <c r="AE10" i="544"/>
  <c r="S8" i="544"/>
  <c r="AD12" i="544"/>
  <c r="V10" i="544"/>
  <c r="Z7" i="544"/>
  <c r="Y10" i="544"/>
  <c r="AF12" i="544"/>
  <c r="AF11" i="544"/>
  <c r="AF10" i="544"/>
  <c r="AF9" i="544"/>
  <c r="AF8" i="544"/>
  <c r="AF7" i="544"/>
  <c r="AF6" i="544"/>
  <c r="U12" i="544"/>
  <c r="Y6" i="544"/>
  <c r="AE11" i="544"/>
  <c r="AA10" i="544"/>
  <c r="S9" i="544"/>
  <c r="AE7" i="544"/>
  <c r="AA6" i="544"/>
  <c r="Z12" i="544"/>
  <c r="V11" i="544"/>
  <c r="AD9" i="544"/>
  <c r="Z8" i="544"/>
  <c r="V7" i="544"/>
  <c r="Y12" i="544"/>
  <c r="U10" i="544"/>
  <c r="AB11" i="544"/>
  <c r="AB10" i="544"/>
  <c r="AB9" i="544"/>
  <c r="AB8" i="544"/>
  <c r="AB7" i="544"/>
  <c r="AB6" i="544"/>
  <c r="Y9" i="544"/>
  <c r="AA11" i="544"/>
  <c r="S10" i="544"/>
  <c r="AE8" i="544"/>
  <c r="S6" i="544"/>
  <c r="AD10" i="544"/>
  <c r="Z9" i="544"/>
  <c r="AD6" i="544"/>
  <c r="U9" i="544"/>
  <c r="Y7" i="544"/>
  <c r="AA9" i="544"/>
  <c r="AE6" i="544"/>
  <c r="Z11" i="544"/>
  <c r="AD8" i="544"/>
  <c r="V6" i="544"/>
  <c r="U6" i="544"/>
  <c r="AB12" i="544"/>
  <c r="AE12" i="544"/>
  <c r="AA7" i="544"/>
  <c r="V12" i="544"/>
  <c r="V8" i="544"/>
  <c r="Y11" i="544"/>
  <c r="U7" i="545" l="1"/>
  <c r="U9" i="545"/>
  <c r="U10" i="545"/>
  <c r="Y10" i="545"/>
  <c r="U11" i="545"/>
  <c r="Y11" i="545"/>
  <c r="Y12" i="545"/>
  <c r="V7" i="545"/>
  <c r="Z7" i="545"/>
  <c r="AD7" i="545"/>
  <c r="V8" i="545"/>
  <c r="Z8" i="545"/>
  <c r="AD8" i="545"/>
  <c r="V9" i="545"/>
  <c r="Z9" i="545"/>
  <c r="AD9" i="545"/>
  <c r="V10" i="545"/>
  <c r="Z10" i="545"/>
  <c r="AD10" i="545"/>
  <c r="V11" i="545"/>
  <c r="Z11" i="545"/>
  <c r="AD11" i="545"/>
  <c r="V12" i="545"/>
  <c r="Z12" i="545"/>
  <c r="AD12" i="545"/>
  <c r="Y8" i="545"/>
  <c r="S7" i="545"/>
  <c r="AA7" i="545"/>
  <c r="AE7" i="545"/>
  <c r="S8" i="545"/>
  <c r="AA8" i="545"/>
  <c r="AE8" i="545"/>
  <c r="S9" i="545"/>
  <c r="AA9" i="545"/>
  <c r="AE9" i="545"/>
  <c r="S10" i="545"/>
  <c r="AA10" i="545"/>
  <c r="AE10" i="545"/>
  <c r="S11" i="545"/>
  <c r="AA11" i="545"/>
  <c r="AE11" i="545"/>
  <c r="S12" i="545"/>
  <c r="AA12" i="545"/>
  <c r="AE12" i="545"/>
  <c r="Y7" i="545"/>
  <c r="U8" i="545"/>
  <c r="Y9" i="545"/>
  <c r="U12" i="545"/>
  <c r="X7" i="545"/>
  <c r="AB7" i="545"/>
  <c r="AF7" i="545"/>
  <c r="X8" i="545"/>
  <c r="AB8" i="545"/>
  <c r="AF8" i="545"/>
  <c r="X9" i="545"/>
  <c r="AB9" i="545"/>
  <c r="AF9" i="545"/>
  <c r="X10" i="545"/>
  <c r="AB10" i="545"/>
  <c r="AF10" i="545"/>
  <c r="X11" i="545"/>
  <c r="AB11" i="545"/>
  <c r="AF11" i="545"/>
  <c r="X12" i="545"/>
  <c r="AB12" i="545"/>
  <c r="AF12" i="545"/>
  <c r="U6" i="545"/>
  <c r="V6" i="545"/>
  <c r="Z6" i="545"/>
  <c r="AD6" i="545"/>
  <c r="S6" i="545"/>
  <c r="AA6" i="545"/>
  <c r="AE6" i="545"/>
  <c r="Y6" i="545"/>
  <c r="X6" i="545"/>
  <c r="AB6" i="545"/>
  <c r="AF6" i="545"/>
  <c r="H9" i="416"/>
  <c r="P82" i="47"/>
  <c r="B82" i="47"/>
  <c r="P81" i="47"/>
  <c r="B81" i="47"/>
  <c r="P80" i="47"/>
  <c r="B80" i="47"/>
  <c r="P79" i="47"/>
  <c r="B79" i="47"/>
  <c r="P78" i="47"/>
  <c r="B78" i="47"/>
  <c r="P77" i="47"/>
  <c r="B77" i="47"/>
  <c r="P76" i="47"/>
  <c r="B76" i="47"/>
  <c r="P75" i="47"/>
  <c r="B75" i="47"/>
  <c r="P74" i="47"/>
  <c r="B74" i="47"/>
  <c r="P73" i="47"/>
  <c r="B73" i="47"/>
  <c r="P72" i="47"/>
  <c r="B72" i="47"/>
  <c r="P71" i="47"/>
  <c r="B71" i="47"/>
  <c r="P70" i="47"/>
  <c r="B70" i="47"/>
  <c r="P69" i="47"/>
  <c r="B69" i="47"/>
  <c r="P68" i="47"/>
  <c r="B68" i="47"/>
  <c r="P67" i="47"/>
  <c r="B67" i="47"/>
  <c r="P66" i="47"/>
  <c r="B66" i="47"/>
  <c r="P65" i="47"/>
  <c r="B65" i="47"/>
  <c r="P64" i="47"/>
  <c r="B64" i="47"/>
  <c r="P63" i="47"/>
  <c r="B63" i="47"/>
  <c r="P62" i="47"/>
  <c r="B62" i="47"/>
  <c r="P61" i="47"/>
  <c r="B61" i="47"/>
  <c r="P60" i="47"/>
  <c r="B60" i="47"/>
  <c r="P59" i="47"/>
  <c r="B59" i="47"/>
  <c r="P58" i="47"/>
  <c r="B58" i="47"/>
  <c r="P57" i="47"/>
  <c r="B57" i="47"/>
  <c r="P56" i="47"/>
  <c r="B56" i="47"/>
  <c r="P55" i="47"/>
  <c r="B55" i="47"/>
  <c r="P54" i="47"/>
  <c r="B54" i="47"/>
  <c r="P53" i="47"/>
  <c r="B53" i="47"/>
  <c r="P52" i="47"/>
  <c r="B52" i="47"/>
  <c r="P51" i="47"/>
  <c r="B51" i="47"/>
  <c r="P50" i="47"/>
  <c r="B50" i="47"/>
  <c r="P49" i="47"/>
  <c r="B49" i="47"/>
  <c r="P48" i="47"/>
  <c r="B48" i="47"/>
  <c r="P47" i="47"/>
  <c r="B47" i="47"/>
  <c r="P46" i="47"/>
  <c r="B46" i="47"/>
  <c r="P45" i="47"/>
  <c r="B45" i="47"/>
  <c r="P44" i="47"/>
  <c r="B44" i="47"/>
  <c r="P43" i="47"/>
  <c r="B43" i="47"/>
  <c r="P42" i="47"/>
  <c r="B42" i="47"/>
  <c r="P41" i="47"/>
  <c r="B41" i="47"/>
  <c r="P40" i="47"/>
  <c r="B40" i="47"/>
  <c r="P39" i="47"/>
  <c r="B39" i="47"/>
  <c r="P38" i="47"/>
  <c r="B38" i="47"/>
  <c r="P37" i="47"/>
  <c r="B37" i="47"/>
  <c r="P36" i="47"/>
  <c r="B36" i="47"/>
  <c r="P35" i="47"/>
  <c r="B35" i="47"/>
  <c r="P34" i="47"/>
  <c r="B34" i="47"/>
  <c r="P33" i="47"/>
  <c r="B33" i="47"/>
  <c r="P32" i="47"/>
  <c r="B32" i="47"/>
  <c r="P31" i="47"/>
  <c r="B31" i="47"/>
  <c r="P30" i="47"/>
  <c r="B30" i="47"/>
  <c r="P29" i="47"/>
  <c r="B29" i="47"/>
  <c r="P28" i="47"/>
  <c r="B28" i="47"/>
  <c r="P27" i="47"/>
  <c r="B27" i="47"/>
  <c r="P26" i="47"/>
  <c r="B26" i="47"/>
  <c r="P25" i="47"/>
  <c r="B25" i="47"/>
  <c r="P24" i="47"/>
  <c r="B24" i="47"/>
  <c r="AB17" i="47"/>
  <c r="AA17" i="47"/>
  <c r="Z17" i="47"/>
  <c r="Y17" i="47"/>
  <c r="X17" i="47"/>
  <c r="W17" i="47"/>
  <c r="V17" i="47"/>
  <c r="U17" i="47"/>
  <c r="T17" i="47"/>
  <c r="S17" i="47"/>
  <c r="R17" i="47"/>
  <c r="N17" i="47"/>
  <c r="M17" i="47"/>
  <c r="L17" i="47"/>
  <c r="K17" i="47"/>
  <c r="J17" i="47"/>
  <c r="I17" i="47"/>
  <c r="H17" i="47"/>
  <c r="G17" i="47"/>
  <c r="F17" i="47"/>
  <c r="E17" i="47"/>
  <c r="D17" i="47"/>
  <c r="AB13" i="47"/>
  <c r="AA13" i="47"/>
  <c r="Z13" i="47"/>
  <c r="Y13" i="47"/>
  <c r="X13" i="47"/>
  <c r="W13" i="47"/>
  <c r="V13" i="47"/>
  <c r="U13" i="47"/>
  <c r="T13" i="47"/>
  <c r="S13" i="47"/>
  <c r="N13" i="47"/>
  <c r="M13" i="47"/>
  <c r="L13" i="47"/>
  <c r="K13" i="47"/>
  <c r="J13" i="47"/>
  <c r="I13" i="47"/>
  <c r="H13" i="47"/>
  <c r="G13" i="47"/>
  <c r="F13" i="47"/>
  <c r="E13" i="47"/>
  <c r="Q6" i="47"/>
  <c r="Q5" i="47"/>
  <c r="P50" i="66"/>
  <c r="R49" i="66"/>
  <c r="S49" i="66" s="1"/>
  <c r="Q49" i="66"/>
  <c r="R48" i="66"/>
  <c r="S48" i="66" s="1"/>
  <c r="Q48" i="66"/>
  <c r="S47" i="66"/>
  <c r="R47" i="66"/>
  <c r="Q47" i="66"/>
  <c r="R46" i="66"/>
  <c r="S46" i="66" s="1"/>
  <c r="Q46" i="66"/>
  <c r="H46" i="66"/>
  <c r="R45" i="66"/>
  <c r="S45" i="66" s="1"/>
  <c r="Q45" i="66"/>
  <c r="R44" i="66"/>
  <c r="S44" i="66" s="1"/>
  <c r="Q44" i="66"/>
  <c r="R43" i="66"/>
  <c r="S43" i="66" s="1"/>
  <c r="Q43" i="66"/>
  <c r="R42" i="66"/>
  <c r="S42" i="66" s="1"/>
  <c r="Q42" i="66"/>
  <c r="R41" i="66"/>
  <c r="S41" i="66" s="1"/>
  <c r="Q41" i="66"/>
  <c r="R40" i="66"/>
  <c r="S40" i="66" s="1"/>
  <c r="Q40" i="66"/>
  <c r="H40" i="66"/>
  <c r="R39" i="66"/>
  <c r="S39" i="66" s="1"/>
  <c r="Q39" i="66"/>
  <c r="H39" i="66"/>
  <c r="R38" i="66"/>
  <c r="S38" i="66" s="1"/>
  <c r="Q38" i="66"/>
  <c r="R37" i="66"/>
  <c r="S37" i="66" s="1"/>
  <c r="Q37" i="66"/>
  <c r="R36" i="66"/>
  <c r="S36" i="66" s="1"/>
  <c r="Q36" i="66"/>
  <c r="E36" i="66"/>
  <c r="D36" i="66"/>
  <c r="R35" i="66"/>
  <c r="S35" i="66" s="1"/>
  <c r="Q35" i="66"/>
  <c r="R34" i="66"/>
  <c r="S34" i="66" s="1"/>
  <c r="Q34" i="66"/>
  <c r="R33" i="66"/>
  <c r="S33" i="66" s="1"/>
  <c r="Q33" i="66"/>
  <c r="R32" i="66"/>
  <c r="S32" i="66" s="1"/>
  <c r="Q32" i="66"/>
  <c r="H32" i="66"/>
  <c r="E32" i="66"/>
  <c r="R31" i="66"/>
  <c r="S31" i="66" s="1"/>
  <c r="Q31" i="66"/>
  <c r="H31" i="66"/>
  <c r="E31" i="66"/>
  <c r="R30" i="66"/>
  <c r="S30" i="66" s="1"/>
  <c r="Q30" i="66"/>
  <c r="B30" i="66"/>
  <c r="R29" i="66"/>
  <c r="S29" i="66" s="1"/>
  <c r="Q29" i="66"/>
  <c r="H29" i="66"/>
  <c r="R28" i="66"/>
  <c r="S28" i="66" s="1"/>
  <c r="Q28" i="66"/>
  <c r="H28" i="66"/>
  <c r="R27" i="66"/>
  <c r="S27" i="66" s="1"/>
  <c r="Q27" i="66"/>
  <c r="R26" i="66"/>
  <c r="S26" i="66" s="1"/>
  <c r="Q26" i="66"/>
  <c r="R25" i="66"/>
  <c r="S25" i="66" s="1"/>
  <c r="Q25" i="66"/>
  <c r="R24" i="66"/>
  <c r="S24" i="66" s="1"/>
  <c r="Q24" i="66"/>
  <c r="R23" i="66"/>
  <c r="S23" i="66" s="1"/>
  <c r="Q23" i="66"/>
  <c r="H23" i="66"/>
  <c r="E23" i="66"/>
  <c r="R22" i="66"/>
  <c r="S22" i="66" s="1"/>
  <c r="Q22" i="66"/>
  <c r="H22" i="66"/>
  <c r="R21" i="66"/>
  <c r="S21" i="66" s="1"/>
  <c r="Q21" i="66"/>
  <c r="H21" i="66"/>
  <c r="R20" i="66"/>
  <c r="S20" i="66" s="1"/>
  <c r="Q20" i="66"/>
  <c r="H20" i="66"/>
  <c r="R19" i="66"/>
  <c r="S19" i="66" s="1"/>
  <c r="Q19" i="66"/>
  <c r="H19" i="66"/>
  <c r="R18" i="66"/>
  <c r="S18" i="66" s="1"/>
  <c r="Q18" i="66"/>
  <c r="H18" i="66"/>
  <c r="R17" i="66"/>
  <c r="S17" i="66" s="1"/>
  <c r="Q17" i="66"/>
  <c r="H17" i="66"/>
  <c r="R16" i="66"/>
  <c r="S16" i="66" s="1"/>
  <c r="Q16" i="66"/>
  <c r="H16" i="66"/>
  <c r="R15" i="66"/>
  <c r="S15" i="66" s="1"/>
  <c r="Q15" i="66"/>
  <c r="R14" i="66"/>
  <c r="S14" i="66" s="1"/>
  <c r="Q14" i="66"/>
  <c r="R13" i="66"/>
  <c r="S13" i="66" s="1"/>
  <c r="Q13" i="66"/>
  <c r="E13" i="66"/>
  <c r="E17" i="66" s="1"/>
  <c r="R12" i="66"/>
  <c r="S12" i="66" s="1"/>
  <c r="Q12" i="66"/>
  <c r="R11" i="66"/>
  <c r="S11" i="66" s="1"/>
  <c r="Q11" i="66"/>
  <c r="R10" i="66"/>
  <c r="S10" i="66" s="1"/>
  <c r="Q10" i="66"/>
  <c r="H10" i="66"/>
  <c r="R9" i="66"/>
  <c r="S9" i="66" s="1"/>
  <c r="Q9" i="66"/>
  <c r="R8" i="66"/>
  <c r="S8" i="66" s="1"/>
  <c r="Q8" i="66"/>
  <c r="E8" i="66"/>
  <c r="E9" i="66" s="1"/>
  <c r="E11" i="66" s="1"/>
  <c r="R7" i="66"/>
  <c r="S7" i="66" s="1"/>
  <c r="Q7" i="66"/>
  <c r="H7" i="66"/>
  <c r="R6" i="66"/>
  <c r="S6" i="66" s="1"/>
  <c r="Q6" i="66"/>
  <c r="R5" i="66"/>
  <c r="S5" i="66" s="1"/>
  <c r="Q5" i="66"/>
  <c r="R4" i="66"/>
  <c r="S4" i="66" s="1"/>
  <c r="Q4" i="66"/>
  <c r="H4" i="66"/>
  <c r="R3" i="66"/>
  <c r="S3" i="66" s="1"/>
  <c r="Q3" i="66"/>
  <c r="K3" i="66"/>
  <c r="J3" i="66"/>
  <c r="H3" i="66"/>
  <c r="H8" i="66" s="1"/>
  <c r="H2" i="66"/>
  <c r="A10" i="21"/>
  <c r="A9" i="21"/>
  <c r="E7" i="21"/>
  <c r="B4" i="21"/>
  <c r="F7" i="20"/>
  <c r="E4" i="20"/>
  <c r="E3" i="20"/>
  <c r="C9" i="416"/>
  <c r="C8" i="416"/>
  <c r="C6" i="416"/>
  <c r="C5" i="416"/>
  <c r="C4" i="416"/>
  <c r="AB7" i="363"/>
  <c r="W5" i="363"/>
  <c r="V5" i="363"/>
  <c r="U5" i="363"/>
  <c r="T5" i="363"/>
  <c r="S5" i="363"/>
  <c r="R5" i="363"/>
  <c r="Q5" i="363"/>
  <c r="P5" i="363"/>
  <c r="O5" i="363"/>
  <c r="N5" i="363"/>
  <c r="M5" i="363"/>
  <c r="L5" i="363"/>
  <c r="K5" i="363"/>
  <c r="J5" i="363"/>
  <c r="I5" i="363"/>
  <c r="H5" i="363"/>
  <c r="G5" i="363"/>
  <c r="F5" i="363"/>
  <c r="E5" i="363"/>
  <c r="D5" i="363"/>
  <c r="A24" i="545"/>
  <c r="A23" i="545"/>
  <c r="A22" i="545"/>
  <c r="A21" i="545"/>
  <c r="A20" i="545"/>
  <c r="A19" i="545"/>
  <c r="A18" i="545"/>
  <c r="A17" i="545"/>
  <c r="A16" i="545"/>
  <c r="A15" i="545"/>
  <c r="A14" i="545"/>
  <c r="A13" i="545"/>
  <c r="A12" i="545"/>
  <c r="A11" i="545"/>
  <c r="A10" i="545"/>
  <c r="A9" i="545"/>
  <c r="A8" i="545"/>
  <c r="A7" i="545"/>
  <c r="B24" i="544"/>
  <c r="B23" i="544"/>
  <c r="B22" i="544"/>
  <c r="B21" i="544"/>
  <c r="B20" i="544"/>
  <c r="B19" i="544"/>
  <c r="B18" i="544"/>
  <c r="B17" i="544"/>
  <c r="B16" i="544"/>
  <c r="B15" i="544"/>
  <c r="B14" i="544"/>
  <c r="B13" i="544"/>
  <c r="B12" i="544"/>
  <c r="B11" i="544"/>
  <c r="B10" i="544"/>
  <c r="B9" i="544"/>
  <c r="B8" i="544"/>
  <c r="B7" i="544"/>
  <c r="CI101" i="4"/>
  <c r="CI100" i="4"/>
  <c r="CI99" i="4"/>
  <c r="CI98" i="4"/>
  <c r="CI97" i="4"/>
  <c r="CI96" i="4"/>
  <c r="CI95" i="4"/>
  <c r="CI94" i="4"/>
  <c r="CI93" i="4"/>
  <c r="CI92" i="4"/>
  <c r="CI90" i="4"/>
  <c r="CI89" i="4"/>
  <c r="CI88" i="4"/>
  <c r="CI86" i="4"/>
  <c r="O86" i="4"/>
  <c r="N86" i="4"/>
  <c r="N122" i="4" s="1"/>
  <c r="CI85" i="4"/>
  <c r="O85" i="4"/>
  <c r="N85" i="4"/>
  <c r="N121" i="4" s="1"/>
  <c r="CI84" i="4"/>
  <c r="O84" i="4"/>
  <c r="N84" i="4"/>
  <c r="N102" i="4" s="1"/>
  <c r="CI83" i="4"/>
  <c r="O83" i="4"/>
  <c r="N83" i="4"/>
  <c r="N101" i="4" s="1"/>
  <c r="O82" i="4"/>
  <c r="N82" i="4"/>
  <c r="N118" i="4" s="1"/>
  <c r="CI81" i="4"/>
  <c r="O81" i="4"/>
  <c r="N81" i="4"/>
  <c r="N117" i="4" s="1"/>
  <c r="CI80" i="4"/>
  <c r="O80" i="4"/>
  <c r="N80" i="4"/>
  <c r="N98" i="4" s="1"/>
  <c r="CI79" i="4"/>
  <c r="O79" i="4"/>
  <c r="N79" i="4"/>
  <c r="N115" i="4" s="1"/>
  <c r="CI78" i="4"/>
  <c r="O78" i="4"/>
  <c r="N78" i="4"/>
  <c r="N114" i="4" s="1"/>
  <c r="CI77" i="4"/>
  <c r="O77" i="4"/>
  <c r="N77" i="4"/>
  <c r="N113" i="4" s="1"/>
  <c r="CI76" i="4"/>
  <c r="O76" i="4"/>
  <c r="N76" i="4"/>
  <c r="N94" i="4" s="1"/>
  <c r="O75" i="4"/>
  <c r="N75" i="4"/>
  <c r="N93" i="4" s="1"/>
  <c r="CI74" i="4"/>
  <c r="O74" i="4"/>
  <c r="N74" i="4"/>
  <c r="N110" i="4" s="1"/>
  <c r="O73" i="4"/>
  <c r="N73" i="4"/>
  <c r="N91" i="4" s="1"/>
  <c r="O72" i="4"/>
  <c r="N72" i="4"/>
  <c r="N108" i="4" s="1"/>
  <c r="CI71" i="4"/>
  <c r="O71" i="4"/>
  <c r="N71" i="4"/>
  <c r="N107" i="4" s="1"/>
  <c r="CI70" i="4"/>
  <c r="O70" i="4"/>
  <c r="N70" i="4"/>
  <c r="N106" i="4" s="1"/>
  <c r="CI69" i="4"/>
  <c r="O69" i="4"/>
  <c r="N69" i="4"/>
  <c r="N87" i="4" s="1"/>
  <c r="CI68" i="4"/>
  <c r="O68" i="4"/>
  <c r="N68" i="4"/>
  <c r="CI67" i="4"/>
  <c r="O67" i="4"/>
  <c r="N67" i="4"/>
  <c r="CI66" i="4"/>
  <c r="O66" i="4"/>
  <c r="N66" i="4"/>
  <c r="CI65" i="4"/>
  <c r="O65" i="4"/>
  <c r="N65" i="4"/>
  <c r="CI64" i="4"/>
  <c r="O64" i="4"/>
  <c r="N64" i="4"/>
  <c r="CI63" i="4"/>
  <c r="O63" i="4"/>
  <c r="N63" i="4"/>
  <c r="CI62" i="4"/>
  <c r="O62" i="4"/>
  <c r="N62" i="4"/>
  <c r="CI61" i="4"/>
  <c r="O61" i="4"/>
  <c r="N61" i="4"/>
  <c r="CI60" i="4"/>
  <c r="O60" i="4"/>
  <c r="N60" i="4"/>
  <c r="CI59" i="4"/>
  <c r="O59" i="4"/>
  <c r="N59" i="4"/>
  <c r="CI58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CI51" i="4"/>
  <c r="O51" i="4"/>
  <c r="N51" i="4"/>
  <c r="O50" i="4"/>
  <c r="N50" i="4"/>
  <c r="O49" i="4"/>
  <c r="N49" i="4"/>
  <c r="CI48" i="4"/>
  <c r="O48" i="4"/>
  <c r="N48" i="4"/>
  <c r="CI47" i="4"/>
  <c r="O47" i="4"/>
  <c r="N47" i="4"/>
  <c r="CI46" i="4"/>
  <c r="O46" i="4"/>
  <c r="N46" i="4"/>
  <c r="CI45" i="4"/>
  <c r="O45" i="4"/>
  <c r="N45" i="4"/>
  <c r="CI44" i="4"/>
  <c r="O44" i="4"/>
  <c r="N44" i="4"/>
  <c r="CI43" i="4"/>
  <c r="O43" i="4"/>
  <c r="N43" i="4"/>
  <c r="CI42" i="4"/>
  <c r="O42" i="4"/>
  <c r="N42" i="4"/>
  <c r="O41" i="4"/>
  <c r="N41" i="4"/>
  <c r="O40" i="4"/>
  <c r="N40" i="4"/>
  <c r="O39" i="4"/>
  <c r="N39" i="4"/>
  <c r="O38" i="4"/>
  <c r="N38" i="4"/>
  <c r="CI37" i="4"/>
  <c r="O37" i="4"/>
  <c r="N37" i="4"/>
  <c r="CI36" i="4"/>
  <c r="O36" i="4"/>
  <c r="N36" i="4"/>
  <c r="CI35" i="4"/>
  <c r="O35" i="4"/>
  <c r="N35" i="4"/>
  <c r="DE34" i="4"/>
  <c r="O34" i="4"/>
  <c r="N34" i="4"/>
  <c r="CI33" i="4"/>
  <c r="O33" i="4"/>
  <c r="N33" i="4"/>
  <c r="CI32" i="4"/>
  <c r="CI31" i="4"/>
  <c r="CI30" i="4"/>
  <c r="CI29" i="4"/>
  <c r="CI27" i="4"/>
  <c r="CI26" i="4"/>
  <c r="CI25" i="4"/>
  <c r="DH23" i="4"/>
  <c r="DG23" i="4"/>
  <c r="CI23" i="4"/>
  <c r="DH22" i="4"/>
  <c r="DG22" i="4"/>
  <c r="CI22" i="4"/>
  <c r="CI21" i="4"/>
  <c r="CI20" i="4"/>
  <c r="CI19" i="4"/>
  <c r="CI18" i="4"/>
  <c r="CI17" i="4"/>
  <c r="DH16" i="4"/>
  <c r="DG16" i="4"/>
  <c r="DF16" i="4"/>
  <c r="DE16" i="4"/>
  <c r="CI16" i="4"/>
  <c r="Q16" i="4"/>
  <c r="P16" i="4"/>
  <c r="O16" i="4"/>
  <c r="N16" i="4"/>
  <c r="M16" i="4"/>
  <c r="L16" i="4"/>
  <c r="DH15" i="4"/>
  <c r="DG15" i="4"/>
  <c r="DF15" i="4"/>
  <c r="DE15" i="4"/>
  <c r="CI15" i="4"/>
  <c r="Q15" i="4"/>
  <c r="P15" i="4"/>
  <c r="O15" i="4"/>
  <c r="N15" i="4"/>
  <c r="M15" i="4"/>
  <c r="L15" i="4"/>
  <c r="DH14" i="4"/>
  <c r="DG14" i="4"/>
  <c r="DF14" i="4"/>
  <c r="DE14" i="4"/>
  <c r="Q14" i="4"/>
  <c r="P14" i="4"/>
  <c r="O14" i="4"/>
  <c r="N14" i="4"/>
  <c r="M14" i="4"/>
  <c r="L14" i="4"/>
  <c r="DH13" i="4"/>
  <c r="DG13" i="4"/>
  <c r="DF13" i="4"/>
  <c r="DE13" i="4"/>
  <c r="Q13" i="4"/>
  <c r="P13" i="4"/>
  <c r="O13" i="4"/>
  <c r="N13" i="4"/>
  <c r="M13" i="4"/>
  <c r="L13" i="4"/>
  <c r="DH12" i="4"/>
  <c r="DG12" i="4"/>
  <c r="DF12" i="4"/>
  <c r="DE12" i="4"/>
  <c r="Q12" i="4"/>
  <c r="P12" i="4"/>
  <c r="O12" i="4"/>
  <c r="N12" i="4"/>
  <c r="M12" i="4"/>
  <c r="L12" i="4"/>
  <c r="DH11" i="4"/>
  <c r="DG11" i="4"/>
  <c r="DF11" i="4"/>
  <c r="DE11" i="4"/>
  <c r="Q11" i="4"/>
  <c r="P11" i="4"/>
  <c r="O11" i="4"/>
  <c r="N11" i="4"/>
  <c r="M11" i="4"/>
  <c r="L11" i="4"/>
  <c r="DH10" i="4"/>
  <c r="DG10" i="4"/>
  <c r="DF10" i="4"/>
  <c r="DE10" i="4"/>
  <c r="Q10" i="4"/>
  <c r="P10" i="4"/>
  <c r="O10" i="4"/>
  <c r="N10" i="4"/>
  <c r="M10" i="4"/>
  <c r="L10" i="4"/>
  <c r="DH9" i="4"/>
  <c r="DG9" i="4"/>
  <c r="DF9" i="4"/>
  <c r="DE9" i="4"/>
  <c r="Q9" i="4"/>
  <c r="P9" i="4"/>
  <c r="O9" i="4"/>
  <c r="N9" i="4"/>
  <c r="M9" i="4"/>
  <c r="L9" i="4"/>
  <c r="DH8" i="4"/>
  <c r="DG8" i="4"/>
  <c r="DF8" i="4"/>
  <c r="DE8" i="4"/>
  <c r="W8" i="4"/>
  <c r="Q8" i="4"/>
  <c r="P8" i="4"/>
  <c r="O8" i="4"/>
  <c r="N8" i="4"/>
  <c r="M8" i="4"/>
  <c r="L8" i="4"/>
  <c r="CN7" i="4"/>
  <c r="W7" i="4"/>
  <c r="CN6" i="4"/>
  <c r="BY6" i="4"/>
  <c r="BT6" i="4"/>
  <c r="AV6" i="4"/>
  <c r="W6" i="4"/>
  <c r="CN5" i="4"/>
  <c r="BY5" i="4"/>
  <c r="BT5" i="4"/>
  <c r="AV5" i="4"/>
  <c r="W5" i="4"/>
  <c r="CN4" i="4"/>
  <c r="BY4" i="4"/>
  <c r="BT4" i="4"/>
  <c r="AV4" i="4"/>
  <c r="W4" i="4"/>
  <c r="DE3" i="4"/>
  <c r="AR3" i="4"/>
  <c r="AR2" i="4"/>
  <c r="O29" i="69"/>
  <c r="N29" i="69"/>
  <c r="O28" i="69"/>
  <c r="N28" i="69"/>
  <c r="O27" i="69"/>
  <c r="N27" i="69"/>
  <c r="O26" i="69"/>
  <c r="N26" i="69"/>
  <c r="O25" i="69"/>
  <c r="N25" i="69"/>
  <c r="O24" i="69"/>
  <c r="N24" i="69"/>
  <c r="O23" i="69"/>
  <c r="N23" i="69"/>
  <c r="O22" i="69"/>
  <c r="N22" i="69"/>
  <c r="O21" i="69"/>
  <c r="N21" i="69"/>
  <c r="O20" i="69"/>
  <c r="N20" i="69"/>
  <c r="O19" i="69"/>
  <c r="N19" i="69"/>
  <c r="O18" i="69"/>
  <c r="N18" i="69"/>
  <c r="O17" i="69"/>
  <c r="N17" i="69"/>
  <c r="O16" i="69"/>
  <c r="N16" i="69"/>
  <c r="O15" i="69"/>
  <c r="N15" i="69"/>
  <c r="O14" i="69"/>
  <c r="N14" i="69"/>
  <c r="O13" i="69"/>
  <c r="N13" i="69"/>
  <c r="O12" i="69"/>
  <c r="N12" i="69"/>
  <c r="O11" i="69"/>
  <c r="N11" i="69"/>
  <c r="O10" i="69"/>
  <c r="N10" i="69"/>
  <c r="O9" i="69"/>
  <c r="AV58" i="68"/>
  <c r="AU58" i="68"/>
  <c r="AT58" i="68"/>
  <c r="AS58" i="68"/>
  <c r="AR58" i="68"/>
  <c r="AQ58" i="68"/>
  <c r="AP58" i="68"/>
  <c r="AO58" i="68"/>
  <c r="AN58" i="68"/>
  <c r="AM58" i="68"/>
  <c r="AL58" i="68"/>
  <c r="AK58" i="68"/>
  <c r="AJ58" i="68"/>
  <c r="AI58" i="68"/>
  <c r="AH58" i="68"/>
  <c r="U50" i="363" s="1"/>
  <c r="AE58" i="68"/>
  <c r="AD58" i="68"/>
  <c r="AB58" i="68"/>
  <c r="AA58" i="68"/>
  <c r="Z58" i="68"/>
  <c r="Y58" i="68"/>
  <c r="X58" i="68"/>
  <c r="W58" i="68"/>
  <c r="V58" i="68"/>
  <c r="U58" i="68"/>
  <c r="T58" i="68"/>
  <c r="S58" i="68"/>
  <c r="R58" i="68"/>
  <c r="Q58" i="68"/>
  <c r="P58" i="68"/>
  <c r="O58" i="68"/>
  <c r="N58" i="68"/>
  <c r="M58" i="68"/>
  <c r="L58" i="68"/>
  <c r="K58" i="68"/>
  <c r="J58" i="68"/>
  <c r="I58" i="68"/>
  <c r="H58" i="68"/>
  <c r="G58" i="68"/>
  <c r="F58" i="68"/>
  <c r="E58" i="68"/>
  <c r="D58" i="68"/>
  <c r="AC58" i="68" s="1"/>
  <c r="C58" i="68"/>
  <c r="B58" i="68"/>
  <c r="A58" i="68"/>
  <c r="AV57" i="68"/>
  <c r="AU57" i="68"/>
  <c r="AT57" i="68"/>
  <c r="AS57" i="68"/>
  <c r="AR57" i="68"/>
  <c r="AQ57" i="68"/>
  <c r="AP57" i="68"/>
  <c r="AO57" i="68"/>
  <c r="AN57" i="68"/>
  <c r="AM57" i="68"/>
  <c r="AL57" i="68"/>
  <c r="AK57" i="68"/>
  <c r="AJ57" i="68"/>
  <c r="AI57" i="68"/>
  <c r="AH57" i="68"/>
  <c r="U49" i="363" s="1"/>
  <c r="AE57" i="68"/>
  <c r="AD57" i="68"/>
  <c r="AB57" i="68"/>
  <c r="AA57" i="68"/>
  <c r="Z57" i="68"/>
  <c r="Y57" i="68"/>
  <c r="X57" i="68"/>
  <c r="W57" i="68"/>
  <c r="V57" i="68"/>
  <c r="U57" i="68"/>
  <c r="T57" i="68"/>
  <c r="S57" i="68"/>
  <c r="R57" i="68"/>
  <c r="Q57" i="68"/>
  <c r="P57" i="68"/>
  <c r="O57" i="68"/>
  <c r="N57" i="68"/>
  <c r="M57" i="68"/>
  <c r="L57" i="68"/>
  <c r="K57" i="68"/>
  <c r="J57" i="68"/>
  <c r="I57" i="68"/>
  <c r="H57" i="68"/>
  <c r="G57" i="68"/>
  <c r="F57" i="68"/>
  <c r="E57" i="68"/>
  <c r="D57" i="68"/>
  <c r="AC57" i="68" s="1"/>
  <c r="C57" i="68"/>
  <c r="B57" i="68"/>
  <c r="A57" i="68"/>
  <c r="AV56" i="68"/>
  <c r="AU56" i="68"/>
  <c r="AT56" i="68"/>
  <c r="AS56" i="68"/>
  <c r="AR56" i="68"/>
  <c r="AQ56" i="68"/>
  <c r="AP56" i="68"/>
  <c r="AO56" i="68"/>
  <c r="AN56" i="68"/>
  <c r="AM56" i="68"/>
  <c r="AL56" i="68"/>
  <c r="AK56" i="68"/>
  <c r="AJ56" i="68"/>
  <c r="AI56" i="68"/>
  <c r="AH56" i="68"/>
  <c r="U48" i="363" s="1"/>
  <c r="AE56" i="68"/>
  <c r="AD56" i="68"/>
  <c r="AB56" i="68"/>
  <c r="AA56" i="68"/>
  <c r="Z56" i="68"/>
  <c r="Y56" i="68"/>
  <c r="X56" i="68"/>
  <c r="W56" i="68"/>
  <c r="V56" i="68"/>
  <c r="U56" i="68"/>
  <c r="T56" i="68"/>
  <c r="S56" i="68"/>
  <c r="R56" i="68"/>
  <c r="Q56" i="68"/>
  <c r="P56" i="68"/>
  <c r="O56" i="68"/>
  <c r="N56" i="68"/>
  <c r="M56" i="68"/>
  <c r="L56" i="68"/>
  <c r="K56" i="68"/>
  <c r="J56" i="68"/>
  <c r="I56" i="68"/>
  <c r="H56" i="68"/>
  <c r="G56" i="68"/>
  <c r="F56" i="68"/>
  <c r="E56" i="68"/>
  <c r="D56" i="68"/>
  <c r="AC56" i="68" s="1"/>
  <c r="C56" i="68"/>
  <c r="B56" i="68"/>
  <c r="A56" i="68"/>
  <c r="AV55" i="68"/>
  <c r="AU55" i="68"/>
  <c r="AT55" i="68"/>
  <c r="AS55" i="68"/>
  <c r="AR55" i="68"/>
  <c r="AQ55" i="68"/>
  <c r="AP55" i="68"/>
  <c r="AO55" i="68"/>
  <c r="AN55" i="68"/>
  <c r="AM55" i="68"/>
  <c r="AL55" i="68"/>
  <c r="AK55" i="68"/>
  <c r="AJ55" i="68"/>
  <c r="AI55" i="68"/>
  <c r="AH55" i="68"/>
  <c r="U47" i="363" s="1"/>
  <c r="AE55" i="68"/>
  <c r="AD55" i="68"/>
  <c r="AB55" i="68"/>
  <c r="AA55" i="68"/>
  <c r="Z55" i="68"/>
  <c r="Y55" i="68"/>
  <c r="X55" i="68"/>
  <c r="W55" i="68"/>
  <c r="V55" i="68"/>
  <c r="U55" i="68"/>
  <c r="T55" i="68"/>
  <c r="S55" i="68"/>
  <c r="R55" i="68"/>
  <c r="Q55" i="68"/>
  <c r="P55" i="68"/>
  <c r="O55" i="68"/>
  <c r="N55" i="68"/>
  <c r="M55" i="68"/>
  <c r="L55" i="68"/>
  <c r="K55" i="68"/>
  <c r="J55" i="68"/>
  <c r="I55" i="68"/>
  <c r="H55" i="68"/>
  <c r="G55" i="68"/>
  <c r="F55" i="68"/>
  <c r="E55" i="68"/>
  <c r="D55" i="68"/>
  <c r="AC55" i="68" s="1"/>
  <c r="C55" i="68"/>
  <c r="B55" i="68"/>
  <c r="A55" i="68"/>
  <c r="AV54" i="68"/>
  <c r="AU54" i="68"/>
  <c r="AT54" i="68"/>
  <c r="AS54" i="68"/>
  <c r="AR54" i="68"/>
  <c r="AQ54" i="68"/>
  <c r="AP54" i="68"/>
  <c r="AO54" i="68"/>
  <c r="AN54" i="68"/>
  <c r="AM54" i="68"/>
  <c r="AL54" i="68"/>
  <c r="AK54" i="68"/>
  <c r="AJ54" i="68"/>
  <c r="AI54" i="68"/>
  <c r="AH54" i="68"/>
  <c r="U46" i="363" s="1"/>
  <c r="AE54" i="68"/>
  <c r="AD54" i="68"/>
  <c r="AB54" i="68"/>
  <c r="AA54" i="68"/>
  <c r="Z54" i="68"/>
  <c r="Y54" i="68"/>
  <c r="X54" i="68"/>
  <c r="W54" i="68"/>
  <c r="V54" i="68"/>
  <c r="U54" i="68"/>
  <c r="T54" i="68"/>
  <c r="S54" i="68"/>
  <c r="R54" i="68"/>
  <c r="Q54" i="68"/>
  <c r="P54" i="68"/>
  <c r="O54" i="68"/>
  <c r="N54" i="68"/>
  <c r="M54" i="68"/>
  <c r="L54" i="68"/>
  <c r="K54" i="68"/>
  <c r="J54" i="68"/>
  <c r="I54" i="68"/>
  <c r="H54" i="68"/>
  <c r="G54" i="68"/>
  <c r="F54" i="68"/>
  <c r="E54" i="68"/>
  <c r="D54" i="68"/>
  <c r="AC54" i="68" s="1"/>
  <c r="C54" i="68"/>
  <c r="B54" i="68"/>
  <c r="A54" i="68"/>
  <c r="AV53" i="68"/>
  <c r="AU53" i="68"/>
  <c r="AT53" i="68"/>
  <c r="AS53" i="68"/>
  <c r="AR53" i="68"/>
  <c r="AQ53" i="68"/>
  <c r="AP53" i="68"/>
  <c r="AO53" i="68"/>
  <c r="AN53" i="68"/>
  <c r="AM53" i="68"/>
  <c r="AL53" i="68"/>
  <c r="AK53" i="68"/>
  <c r="AJ53" i="68"/>
  <c r="AI53" i="68"/>
  <c r="AH53" i="68"/>
  <c r="U45" i="363" s="1"/>
  <c r="AE53" i="68"/>
  <c r="AD53" i="68"/>
  <c r="AB53" i="68"/>
  <c r="AA53" i="68"/>
  <c r="Z53" i="68"/>
  <c r="Y53" i="68"/>
  <c r="X53" i="68"/>
  <c r="W53" i="68"/>
  <c r="V53" i="68"/>
  <c r="U53" i="68"/>
  <c r="T53" i="68"/>
  <c r="S53" i="68"/>
  <c r="R53" i="68"/>
  <c r="Q53" i="68"/>
  <c r="P53" i="68"/>
  <c r="O53" i="68"/>
  <c r="N53" i="68"/>
  <c r="M53" i="68"/>
  <c r="L53" i="68"/>
  <c r="K53" i="68"/>
  <c r="J53" i="68"/>
  <c r="I53" i="68"/>
  <c r="H53" i="68"/>
  <c r="G53" i="68"/>
  <c r="F53" i="68"/>
  <c r="E53" i="68"/>
  <c r="D53" i="68"/>
  <c r="AC53" i="68" s="1"/>
  <c r="C53" i="68"/>
  <c r="B53" i="68"/>
  <c r="A53" i="68"/>
  <c r="AV52" i="68"/>
  <c r="AU52" i="68"/>
  <c r="AT52" i="68"/>
  <c r="AS52" i="68"/>
  <c r="AR52" i="68"/>
  <c r="AQ52" i="68"/>
  <c r="AP52" i="68"/>
  <c r="AO52" i="68"/>
  <c r="AN52" i="68"/>
  <c r="AM52" i="68"/>
  <c r="AL52" i="68"/>
  <c r="AK52" i="68"/>
  <c r="AJ52" i="68"/>
  <c r="AI52" i="68"/>
  <c r="AH52" i="68"/>
  <c r="U44" i="363" s="1"/>
  <c r="AE52" i="68"/>
  <c r="AD52" i="68"/>
  <c r="AB52" i="68"/>
  <c r="AA52" i="68"/>
  <c r="Z52" i="68"/>
  <c r="Y52" i="68"/>
  <c r="X52" i="68"/>
  <c r="W52" i="68"/>
  <c r="V52" i="68"/>
  <c r="U52" i="68"/>
  <c r="T52" i="68"/>
  <c r="S52" i="68"/>
  <c r="R52" i="68"/>
  <c r="Q52" i="68"/>
  <c r="P52" i="68"/>
  <c r="O52" i="68"/>
  <c r="N52" i="68"/>
  <c r="M52" i="68"/>
  <c r="L52" i="68"/>
  <c r="K52" i="68"/>
  <c r="J52" i="68"/>
  <c r="I52" i="68"/>
  <c r="H52" i="68"/>
  <c r="G52" i="68"/>
  <c r="F52" i="68"/>
  <c r="E52" i="68"/>
  <c r="D52" i="68"/>
  <c r="AC52" i="68" s="1"/>
  <c r="C52" i="68"/>
  <c r="B52" i="68"/>
  <c r="A52" i="68"/>
  <c r="AV51" i="68"/>
  <c r="AU51" i="68"/>
  <c r="AT51" i="68"/>
  <c r="AS51" i="68"/>
  <c r="AR51" i="68"/>
  <c r="AQ51" i="68"/>
  <c r="AP51" i="68"/>
  <c r="AO51" i="68"/>
  <c r="AN51" i="68"/>
  <c r="AM51" i="68"/>
  <c r="AL51" i="68"/>
  <c r="AK51" i="68"/>
  <c r="AJ51" i="68"/>
  <c r="AI51" i="68"/>
  <c r="AH51" i="68"/>
  <c r="U43" i="363" s="1"/>
  <c r="AE51" i="68"/>
  <c r="AD51" i="68"/>
  <c r="AB51" i="68"/>
  <c r="AA51" i="68"/>
  <c r="Z51" i="68"/>
  <c r="Y51" i="68"/>
  <c r="X51" i="68"/>
  <c r="W51" i="68"/>
  <c r="V51" i="68"/>
  <c r="U51" i="68"/>
  <c r="T51" i="68"/>
  <c r="S51" i="68"/>
  <c r="R51" i="68"/>
  <c r="Q51" i="68"/>
  <c r="P51" i="68"/>
  <c r="O51" i="68"/>
  <c r="N51" i="68"/>
  <c r="M51" i="68"/>
  <c r="L51" i="68"/>
  <c r="K51" i="68"/>
  <c r="J51" i="68"/>
  <c r="I51" i="68"/>
  <c r="H51" i="68"/>
  <c r="G51" i="68"/>
  <c r="F51" i="68"/>
  <c r="E51" i="68"/>
  <c r="D51" i="68"/>
  <c r="AC51" i="68" s="1"/>
  <c r="C51" i="68"/>
  <c r="B51" i="68"/>
  <c r="A51" i="68"/>
  <c r="AV50" i="68"/>
  <c r="AU50" i="68"/>
  <c r="AT50" i="68"/>
  <c r="AS50" i="68"/>
  <c r="AR50" i="68"/>
  <c r="AQ50" i="68"/>
  <c r="AP50" i="68"/>
  <c r="AO50" i="68"/>
  <c r="AN50" i="68"/>
  <c r="AM50" i="68"/>
  <c r="AL50" i="68"/>
  <c r="AK50" i="68"/>
  <c r="AJ50" i="68"/>
  <c r="AI50" i="68"/>
  <c r="AH50" i="68"/>
  <c r="U42" i="363" s="1"/>
  <c r="AE50" i="68"/>
  <c r="AD50" i="68"/>
  <c r="AB50" i="68"/>
  <c r="AA50" i="68"/>
  <c r="Z50" i="68"/>
  <c r="Y50" i="68"/>
  <c r="X50" i="68"/>
  <c r="W50" i="68"/>
  <c r="V50" i="68"/>
  <c r="U50" i="68"/>
  <c r="T50" i="68"/>
  <c r="S50" i="68"/>
  <c r="R50" i="68"/>
  <c r="Q50" i="68"/>
  <c r="P50" i="68"/>
  <c r="O50" i="68"/>
  <c r="N50" i="68"/>
  <c r="M50" i="68"/>
  <c r="L50" i="68"/>
  <c r="K50" i="68"/>
  <c r="J50" i="68"/>
  <c r="I50" i="68"/>
  <c r="H50" i="68"/>
  <c r="G50" i="68"/>
  <c r="F50" i="68"/>
  <c r="E50" i="68"/>
  <c r="D50" i="68"/>
  <c r="AC50" i="68" s="1"/>
  <c r="C50" i="68"/>
  <c r="B50" i="68"/>
  <c r="A50" i="68"/>
  <c r="AV49" i="68"/>
  <c r="AU49" i="68"/>
  <c r="AT49" i="68"/>
  <c r="AS49" i="68"/>
  <c r="AR49" i="68"/>
  <c r="AQ49" i="68"/>
  <c r="AP49" i="68"/>
  <c r="AO49" i="68"/>
  <c r="AN49" i="68"/>
  <c r="AM49" i="68"/>
  <c r="AL49" i="68"/>
  <c r="AK49" i="68"/>
  <c r="AJ49" i="68"/>
  <c r="AI49" i="68"/>
  <c r="AH49" i="68"/>
  <c r="U41" i="363" s="1"/>
  <c r="AE49" i="68"/>
  <c r="AD49" i="68"/>
  <c r="AB49" i="68"/>
  <c r="AA49" i="68"/>
  <c r="Z49" i="68"/>
  <c r="Y49" i="68"/>
  <c r="X49" i="68"/>
  <c r="W49" i="68"/>
  <c r="V49" i="68"/>
  <c r="U49" i="68"/>
  <c r="T49" i="68"/>
  <c r="S49" i="68"/>
  <c r="R49" i="68"/>
  <c r="Q49" i="68"/>
  <c r="P49" i="68"/>
  <c r="O49" i="68"/>
  <c r="N49" i="68"/>
  <c r="M49" i="68"/>
  <c r="L49" i="68"/>
  <c r="K49" i="68"/>
  <c r="J49" i="68"/>
  <c r="I49" i="68"/>
  <c r="H49" i="68"/>
  <c r="G49" i="68"/>
  <c r="F49" i="68"/>
  <c r="E49" i="68"/>
  <c r="D49" i="68"/>
  <c r="AC49" i="68" s="1"/>
  <c r="C49" i="68"/>
  <c r="B49" i="68"/>
  <c r="A49" i="68"/>
  <c r="AV48" i="68"/>
  <c r="AU48" i="68"/>
  <c r="AT48" i="68"/>
  <c r="AS48" i="68"/>
  <c r="AR48" i="68"/>
  <c r="AQ48" i="68"/>
  <c r="AP48" i="68"/>
  <c r="AO48" i="68"/>
  <c r="AN48" i="68"/>
  <c r="AM48" i="68"/>
  <c r="AL48" i="68"/>
  <c r="AK48" i="68"/>
  <c r="AJ48" i="68"/>
  <c r="AI48" i="68"/>
  <c r="AH48" i="68"/>
  <c r="U40" i="363" s="1"/>
  <c r="AE48" i="68"/>
  <c r="AD48" i="68"/>
  <c r="AB48" i="68"/>
  <c r="AA48" i="68"/>
  <c r="Z48" i="68"/>
  <c r="Y48" i="68"/>
  <c r="X48" i="68"/>
  <c r="W48" i="68"/>
  <c r="V48" i="68"/>
  <c r="U48" i="68"/>
  <c r="T48" i="68"/>
  <c r="S48" i="68"/>
  <c r="R48" i="68"/>
  <c r="Q48" i="68"/>
  <c r="P48" i="68"/>
  <c r="O48" i="68"/>
  <c r="N48" i="68"/>
  <c r="M48" i="68"/>
  <c r="L48" i="68"/>
  <c r="K48" i="68"/>
  <c r="J48" i="68"/>
  <c r="I48" i="68"/>
  <c r="H48" i="68"/>
  <c r="G48" i="68"/>
  <c r="F48" i="68"/>
  <c r="E48" i="68"/>
  <c r="D48" i="68"/>
  <c r="AC48" i="68" s="1"/>
  <c r="C48" i="68"/>
  <c r="B48" i="68"/>
  <c r="A48" i="68"/>
  <c r="AV47" i="68"/>
  <c r="AU47" i="68"/>
  <c r="AT47" i="68"/>
  <c r="AS47" i="68"/>
  <c r="AR47" i="68"/>
  <c r="AQ47" i="68"/>
  <c r="AP47" i="68"/>
  <c r="AO47" i="68"/>
  <c r="AN47" i="68"/>
  <c r="AM47" i="68"/>
  <c r="AL47" i="68"/>
  <c r="AK47" i="68"/>
  <c r="AJ47" i="68"/>
  <c r="AI47" i="68"/>
  <c r="AH47" i="68"/>
  <c r="U39" i="363" s="1"/>
  <c r="AE47" i="68"/>
  <c r="AD47" i="68"/>
  <c r="AB47" i="68"/>
  <c r="AA47" i="68"/>
  <c r="Z47" i="68"/>
  <c r="Y47" i="68"/>
  <c r="X47" i="68"/>
  <c r="W47" i="68"/>
  <c r="V47" i="68"/>
  <c r="U47" i="68"/>
  <c r="T47" i="68"/>
  <c r="S47" i="68"/>
  <c r="R47" i="68"/>
  <c r="Q47" i="68"/>
  <c r="P47" i="68"/>
  <c r="O47" i="68"/>
  <c r="N47" i="68"/>
  <c r="M47" i="68"/>
  <c r="L47" i="68"/>
  <c r="K47" i="68"/>
  <c r="J47" i="68"/>
  <c r="I47" i="68"/>
  <c r="H47" i="68"/>
  <c r="G47" i="68"/>
  <c r="F47" i="68"/>
  <c r="E47" i="68"/>
  <c r="D47" i="68"/>
  <c r="AC47" i="68" s="1"/>
  <c r="C47" i="68"/>
  <c r="B47" i="68"/>
  <c r="A47" i="68"/>
  <c r="AV46" i="68"/>
  <c r="AU46" i="68"/>
  <c r="AT46" i="68"/>
  <c r="AS46" i="68"/>
  <c r="AR46" i="68"/>
  <c r="AQ46" i="68"/>
  <c r="AP46" i="68"/>
  <c r="AO46" i="68"/>
  <c r="AN46" i="68"/>
  <c r="AM46" i="68"/>
  <c r="AL46" i="68"/>
  <c r="AK46" i="68"/>
  <c r="AJ46" i="68"/>
  <c r="AI46" i="68"/>
  <c r="AH46" i="68"/>
  <c r="U38" i="363" s="1"/>
  <c r="AE46" i="68"/>
  <c r="AD46" i="68"/>
  <c r="AB46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6" i="68"/>
  <c r="N46" i="68"/>
  <c r="M46" i="68"/>
  <c r="L46" i="68"/>
  <c r="K46" i="68"/>
  <c r="J46" i="68"/>
  <c r="I46" i="68"/>
  <c r="H46" i="68"/>
  <c r="G46" i="68"/>
  <c r="F46" i="68"/>
  <c r="E46" i="68"/>
  <c r="D46" i="68"/>
  <c r="AC46" i="68" s="1"/>
  <c r="C46" i="68"/>
  <c r="B46" i="68"/>
  <c r="A46" i="68"/>
  <c r="AV45" i="68"/>
  <c r="AU45" i="68"/>
  <c r="AT45" i="68"/>
  <c r="AS45" i="68"/>
  <c r="AR45" i="68"/>
  <c r="AQ45" i="68"/>
  <c r="AP45" i="68"/>
  <c r="AO45" i="68"/>
  <c r="AN45" i="68"/>
  <c r="AM45" i="68"/>
  <c r="AL45" i="68"/>
  <c r="AK45" i="68"/>
  <c r="AJ45" i="68"/>
  <c r="AI45" i="68"/>
  <c r="AH45" i="68"/>
  <c r="U37" i="363" s="1"/>
  <c r="AE45" i="68"/>
  <c r="AD45" i="68"/>
  <c r="AB45" i="68"/>
  <c r="AA45" i="68"/>
  <c r="Z45" i="68"/>
  <c r="Y45" i="68"/>
  <c r="X45" i="68"/>
  <c r="W45" i="68"/>
  <c r="V45" i="68"/>
  <c r="U45" i="68"/>
  <c r="T45" i="68"/>
  <c r="S45" i="68"/>
  <c r="R45" i="68"/>
  <c r="Q45" i="68"/>
  <c r="P45" i="68"/>
  <c r="O45" i="68"/>
  <c r="N45" i="68"/>
  <c r="M45" i="68"/>
  <c r="L45" i="68"/>
  <c r="K45" i="68"/>
  <c r="J45" i="68"/>
  <c r="I45" i="68"/>
  <c r="H45" i="68"/>
  <c r="G45" i="68"/>
  <c r="F45" i="68"/>
  <c r="E45" i="68"/>
  <c r="D45" i="68"/>
  <c r="AC45" i="68" s="1"/>
  <c r="C45" i="68"/>
  <c r="B45" i="68"/>
  <c r="A45" i="68"/>
  <c r="AV44" i="68"/>
  <c r="AU44" i="68"/>
  <c r="AT44" i="68"/>
  <c r="AS44" i="68"/>
  <c r="AR44" i="68"/>
  <c r="AQ44" i="68"/>
  <c r="AP44" i="68"/>
  <c r="AO44" i="68"/>
  <c r="AN44" i="68"/>
  <c r="AM44" i="68"/>
  <c r="AL44" i="68"/>
  <c r="AK44" i="68"/>
  <c r="AJ44" i="68"/>
  <c r="AI44" i="68"/>
  <c r="AH44" i="68"/>
  <c r="U36" i="363" s="1"/>
  <c r="AE44" i="68"/>
  <c r="AD44" i="68"/>
  <c r="AB44" i="68"/>
  <c r="AA44" i="68"/>
  <c r="Z44" i="68"/>
  <c r="Y44" i="68"/>
  <c r="X44" i="68"/>
  <c r="W44" i="68"/>
  <c r="V44" i="68"/>
  <c r="U44" i="68"/>
  <c r="T44" i="68"/>
  <c r="S44" i="68"/>
  <c r="R44" i="68"/>
  <c r="Q44" i="68"/>
  <c r="P44" i="68"/>
  <c r="O44" i="68"/>
  <c r="N44" i="68"/>
  <c r="M44" i="68"/>
  <c r="L44" i="68"/>
  <c r="K44" i="68"/>
  <c r="J44" i="68"/>
  <c r="I44" i="68"/>
  <c r="H44" i="68"/>
  <c r="G44" i="68"/>
  <c r="F44" i="68"/>
  <c r="E44" i="68"/>
  <c r="D44" i="68"/>
  <c r="AC44" i="68" s="1"/>
  <c r="C44" i="68"/>
  <c r="B44" i="68"/>
  <c r="A44" i="68"/>
  <c r="AV43" i="68"/>
  <c r="AU43" i="68"/>
  <c r="AT43" i="68"/>
  <c r="AS43" i="68"/>
  <c r="AR43" i="68"/>
  <c r="AQ43" i="68"/>
  <c r="AP43" i="68"/>
  <c r="AO43" i="68"/>
  <c r="AN43" i="68"/>
  <c r="AM43" i="68"/>
  <c r="AL43" i="68"/>
  <c r="AK43" i="68"/>
  <c r="AJ43" i="68"/>
  <c r="AI43" i="68"/>
  <c r="AH43" i="68"/>
  <c r="U35" i="363" s="1"/>
  <c r="AE43" i="68"/>
  <c r="AD43" i="68"/>
  <c r="AB43" i="68"/>
  <c r="AA43" i="68"/>
  <c r="Z43" i="68"/>
  <c r="Y43" i="68"/>
  <c r="X43" i="68"/>
  <c r="W43" i="68"/>
  <c r="V43" i="68"/>
  <c r="U43" i="68"/>
  <c r="T43" i="68"/>
  <c r="S43" i="68"/>
  <c r="R43" i="68"/>
  <c r="Q43" i="68"/>
  <c r="P43" i="68"/>
  <c r="O43" i="68"/>
  <c r="N43" i="68"/>
  <c r="M43" i="68"/>
  <c r="L43" i="68"/>
  <c r="K43" i="68"/>
  <c r="J43" i="68"/>
  <c r="I43" i="68"/>
  <c r="H43" i="68"/>
  <c r="G43" i="68"/>
  <c r="F43" i="68"/>
  <c r="E43" i="68"/>
  <c r="D43" i="68"/>
  <c r="AC43" i="68" s="1"/>
  <c r="C43" i="68"/>
  <c r="B43" i="68"/>
  <c r="A43" i="68"/>
  <c r="AV42" i="68"/>
  <c r="AU42" i="68"/>
  <c r="AT42" i="68"/>
  <c r="AS42" i="68"/>
  <c r="AR42" i="68"/>
  <c r="AQ42" i="68"/>
  <c r="AP42" i="68"/>
  <c r="AO42" i="68"/>
  <c r="AN42" i="68"/>
  <c r="AM42" i="68"/>
  <c r="AL42" i="68"/>
  <c r="AK42" i="68"/>
  <c r="AJ42" i="68"/>
  <c r="AI42" i="68"/>
  <c r="AH42" i="68"/>
  <c r="U34" i="363" s="1"/>
  <c r="AE42" i="68"/>
  <c r="AD42" i="68"/>
  <c r="AB42" i="68"/>
  <c r="AA42" i="68"/>
  <c r="Z42" i="68"/>
  <c r="Y42" i="68"/>
  <c r="X42" i="68"/>
  <c r="W42" i="68"/>
  <c r="V42" i="68"/>
  <c r="U42" i="68"/>
  <c r="T42" i="68"/>
  <c r="S42" i="68"/>
  <c r="R42" i="68"/>
  <c r="Q42" i="68"/>
  <c r="P42" i="68"/>
  <c r="O42" i="68"/>
  <c r="N42" i="68"/>
  <c r="M42" i="68"/>
  <c r="L42" i="68"/>
  <c r="K42" i="68"/>
  <c r="J42" i="68"/>
  <c r="I42" i="68"/>
  <c r="H42" i="68"/>
  <c r="G42" i="68"/>
  <c r="F42" i="68"/>
  <c r="E42" i="68"/>
  <c r="D42" i="68"/>
  <c r="AC42" i="68" s="1"/>
  <c r="C42" i="68"/>
  <c r="B42" i="68"/>
  <c r="A42" i="68"/>
  <c r="AV41" i="68"/>
  <c r="AU41" i="68"/>
  <c r="AT41" i="68"/>
  <c r="AS41" i="68"/>
  <c r="AR41" i="68"/>
  <c r="AQ41" i="68"/>
  <c r="AP41" i="68"/>
  <c r="AO41" i="68"/>
  <c r="AN41" i="68"/>
  <c r="AM41" i="68"/>
  <c r="AL41" i="68"/>
  <c r="AK41" i="68"/>
  <c r="AJ41" i="68"/>
  <c r="AI41" i="68"/>
  <c r="AH41" i="68"/>
  <c r="U33" i="363" s="1"/>
  <c r="AE41" i="68"/>
  <c r="AD41" i="68"/>
  <c r="AB41" i="68"/>
  <c r="AA41" i="68"/>
  <c r="Z41" i="68"/>
  <c r="Y41" i="68"/>
  <c r="X41" i="68"/>
  <c r="W41" i="68"/>
  <c r="V41" i="68"/>
  <c r="U41" i="68"/>
  <c r="T41" i="68"/>
  <c r="S41" i="68"/>
  <c r="R41" i="68"/>
  <c r="Q41" i="68"/>
  <c r="P41" i="68"/>
  <c r="O41" i="68"/>
  <c r="N41" i="68"/>
  <c r="M41" i="68"/>
  <c r="L41" i="68"/>
  <c r="K41" i="68"/>
  <c r="J41" i="68"/>
  <c r="I41" i="68"/>
  <c r="H41" i="68"/>
  <c r="G41" i="68"/>
  <c r="F41" i="68"/>
  <c r="E41" i="68"/>
  <c r="D41" i="68"/>
  <c r="AC41" i="68" s="1"/>
  <c r="C41" i="68"/>
  <c r="B41" i="68"/>
  <c r="A41" i="68"/>
  <c r="AV40" i="68"/>
  <c r="AU40" i="68"/>
  <c r="AT40" i="68"/>
  <c r="AS40" i="68"/>
  <c r="AR40" i="68"/>
  <c r="AQ40" i="68"/>
  <c r="AP40" i="68"/>
  <c r="AO40" i="68"/>
  <c r="AN40" i="68"/>
  <c r="AM40" i="68"/>
  <c r="AL40" i="68"/>
  <c r="AK40" i="68"/>
  <c r="AJ40" i="68"/>
  <c r="AI40" i="68"/>
  <c r="AH40" i="68"/>
  <c r="U32" i="363" s="1"/>
  <c r="AE40" i="68"/>
  <c r="AD40" i="68"/>
  <c r="AB40" i="68"/>
  <c r="AA40" i="68"/>
  <c r="Z40" i="68"/>
  <c r="Y40" i="68"/>
  <c r="X40" i="68"/>
  <c r="W40" i="68"/>
  <c r="V40" i="68"/>
  <c r="U40" i="68"/>
  <c r="T40" i="68"/>
  <c r="S40" i="68"/>
  <c r="R40" i="68"/>
  <c r="Q40" i="68"/>
  <c r="P40" i="68"/>
  <c r="O40" i="68"/>
  <c r="N40" i="68"/>
  <c r="M40" i="68"/>
  <c r="L40" i="68"/>
  <c r="K40" i="68"/>
  <c r="J40" i="68"/>
  <c r="I40" i="68"/>
  <c r="H40" i="68"/>
  <c r="G40" i="68"/>
  <c r="F40" i="68"/>
  <c r="E40" i="68"/>
  <c r="D40" i="68"/>
  <c r="AC40" i="68" s="1"/>
  <c r="C40" i="68"/>
  <c r="B40" i="68"/>
  <c r="A40" i="68"/>
  <c r="AV39" i="68"/>
  <c r="AU39" i="68"/>
  <c r="AT39" i="68"/>
  <c r="AS39" i="68"/>
  <c r="AR39" i="68"/>
  <c r="AQ39" i="68"/>
  <c r="AP39" i="68"/>
  <c r="AO39" i="68"/>
  <c r="AN39" i="68"/>
  <c r="AM39" i="68"/>
  <c r="AL39" i="68"/>
  <c r="AK39" i="68"/>
  <c r="AJ39" i="68"/>
  <c r="AI39" i="68"/>
  <c r="AH39" i="68"/>
  <c r="U31" i="363" s="1"/>
  <c r="AE39" i="68"/>
  <c r="AD39" i="68"/>
  <c r="AB39" i="68"/>
  <c r="AA39" i="68"/>
  <c r="Z39" i="68"/>
  <c r="Y39" i="68"/>
  <c r="X39" i="68"/>
  <c r="W39" i="68"/>
  <c r="V39" i="68"/>
  <c r="U39" i="68"/>
  <c r="T39" i="68"/>
  <c r="S39" i="68"/>
  <c r="R39" i="68"/>
  <c r="Q39" i="68"/>
  <c r="P39" i="68"/>
  <c r="O39" i="68"/>
  <c r="N39" i="68"/>
  <c r="M39" i="68"/>
  <c r="L39" i="68"/>
  <c r="K39" i="68"/>
  <c r="J39" i="68"/>
  <c r="I39" i="68"/>
  <c r="H39" i="68"/>
  <c r="G39" i="68"/>
  <c r="F39" i="68"/>
  <c r="E39" i="68"/>
  <c r="D39" i="68"/>
  <c r="AC39" i="68" s="1"/>
  <c r="C39" i="68"/>
  <c r="B39" i="68"/>
  <c r="A39" i="68"/>
  <c r="AV38" i="68"/>
  <c r="AU38" i="68"/>
  <c r="AT38" i="68"/>
  <c r="AS38" i="68"/>
  <c r="AR38" i="68"/>
  <c r="AQ38" i="68"/>
  <c r="AP38" i="68"/>
  <c r="AO38" i="68"/>
  <c r="AN38" i="68"/>
  <c r="AM38" i="68"/>
  <c r="AL38" i="68"/>
  <c r="AK38" i="68"/>
  <c r="AJ38" i="68"/>
  <c r="AI38" i="68"/>
  <c r="AH38" i="68"/>
  <c r="U30" i="363" s="1"/>
  <c r="AE38" i="68"/>
  <c r="AD38" i="68"/>
  <c r="AB38" i="68"/>
  <c r="AA38" i="68"/>
  <c r="Z38" i="68"/>
  <c r="Y38" i="68"/>
  <c r="X38" i="68"/>
  <c r="W38" i="68"/>
  <c r="V38" i="68"/>
  <c r="U38" i="68"/>
  <c r="T38" i="68"/>
  <c r="S38" i="68"/>
  <c r="R38" i="68"/>
  <c r="Q38" i="68"/>
  <c r="P38" i="68"/>
  <c r="O38" i="68"/>
  <c r="N38" i="68"/>
  <c r="M38" i="68"/>
  <c r="L38" i="68"/>
  <c r="K38" i="68"/>
  <c r="J38" i="68"/>
  <c r="I38" i="68"/>
  <c r="H38" i="68"/>
  <c r="G38" i="68"/>
  <c r="F38" i="68"/>
  <c r="E38" i="68"/>
  <c r="D38" i="68"/>
  <c r="AC38" i="68" s="1"/>
  <c r="C38" i="68"/>
  <c r="B38" i="68"/>
  <c r="A38" i="68"/>
  <c r="AV37" i="68"/>
  <c r="AU37" i="68"/>
  <c r="AT37" i="68"/>
  <c r="AS37" i="68"/>
  <c r="AR37" i="68"/>
  <c r="AQ37" i="68"/>
  <c r="AP37" i="68"/>
  <c r="AO37" i="68"/>
  <c r="AN37" i="68"/>
  <c r="AM37" i="68"/>
  <c r="AL37" i="68"/>
  <c r="AK37" i="68"/>
  <c r="AJ37" i="68"/>
  <c r="AI37" i="68"/>
  <c r="AH37" i="68"/>
  <c r="U29" i="363" s="1"/>
  <c r="AE37" i="68"/>
  <c r="AD37" i="68"/>
  <c r="AB37" i="68"/>
  <c r="AA37" i="68"/>
  <c r="Z37" i="68"/>
  <c r="Y37" i="68"/>
  <c r="X37" i="68"/>
  <c r="W37" i="68"/>
  <c r="V37" i="68"/>
  <c r="U37" i="68"/>
  <c r="T37" i="68"/>
  <c r="S37" i="68"/>
  <c r="R37" i="68"/>
  <c r="Q37" i="68"/>
  <c r="P37" i="68"/>
  <c r="O37" i="68"/>
  <c r="N37" i="68"/>
  <c r="M37" i="68"/>
  <c r="L37" i="68"/>
  <c r="K37" i="68"/>
  <c r="J37" i="68"/>
  <c r="I37" i="68"/>
  <c r="H37" i="68"/>
  <c r="G37" i="68"/>
  <c r="F37" i="68"/>
  <c r="E37" i="68"/>
  <c r="D37" i="68"/>
  <c r="AC37" i="68" s="1"/>
  <c r="C37" i="68"/>
  <c r="B37" i="68"/>
  <c r="A37" i="68"/>
  <c r="AV36" i="68"/>
  <c r="AU36" i="68"/>
  <c r="AT36" i="68"/>
  <c r="AS36" i="68"/>
  <c r="AR36" i="68"/>
  <c r="AQ36" i="68"/>
  <c r="AP36" i="68"/>
  <c r="AO36" i="68"/>
  <c r="AN36" i="68"/>
  <c r="AM36" i="68"/>
  <c r="AL36" i="68"/>
  <c r="AK36" i="68"/>
  <c r="AJ36" i="68"/>
  <c r="AI36" i="68"/>
  <c r="AH36" i="68"/>
  <c r="U28" i="363" s="1"/>
  <c r="AE36" i="68"/>
  <c r="AD36" i="68"/>
  <c r="AB36" i="68"/>
  <c r="AA36" i="68"/>
  <c r="Z36" i="68"/>
  <c r="Y36" i="68"/>
  <c r="X36" i="68"/>
  <c r="W36" i="68"/>
  <c r="V36" i="68"/>
  <c r="U36" i="68"/>
  <c r="T36" i="68"/>
  <c r="S36" i="68"/>
  <c r="R36" i="68"/>
  <c r="Q36" i="68"/>
  <c r="P36" i="68"/>
  <c r="O36" i="68"/>
  <c r="N36" i="68"/>
  <c r="M36" i="68"/>
  <c r="L36" i="68"/>
  <c r="K36" i="68"/>
  <c r="J36" i="68"/>
  <c r="I36" i="68"/>
  <c r="H36" i="68"/>
  <c r="G36" i="68"/>
  <c r="F36" i="68"/>
  <c r="E36" i="68"/>
  <c r="D36" i="68"/>
  <c r="AC36" i="68" s="1"/>
  <c r="C36" i="68"/>
  <c r="B36" i="68"/>
  <c r="A36" i="68"/>
  <c r="AV35" i="68"/>
  <c r="AU35" i="68"/>
  <c r="AT35" i="68"/>
  <c r="AS35" i="68"/>
  <c r="AR35" i="68"/>
  <c r="AQ35" i="68"/>
  <c r="AP35" i="68"/>
  <c r="AO35" i="68"/>
  <c r="AN35" i="68"/>
  <c r="AM35" i="68"/>
  <c r="AL35" i="68"/>
  <c r="AK35" i="68"/>
  <c r="AJ35" i="68"/>
  <c r="AI35" i="68"/>
  <c r="AH35" i="68"/>
  <c r="U27" i="363" s="1"/>
  <c r="AE35" i="68"/>
  <c r="AD35" i="68"/>
  <c r="AB35" i="68"/>
  <c r="AA35" i="68"/>
  <c r="Z35" i="68"/>
  <c r="Y35" i="68"/>
  <c r="X35" i="68"/>
  <c r="W35" i="68"/>
  <c r="V35" i="68"/>
  <c r="U35" i="68"/>
  <c r="T35" i="68"/>
  <c r="S35" i="68"/>
  <c r="R35" i="68"/>
  <c r="Q35" i="68"/>
  <c r="P35" i="68"/>
  <c r="O35" i="68"/>
  <c r="N35" i="68"/>
  <c r="M35" i="68"/>
  <c r="L35" i="68"/>
  <c r="K35" i="68"/>
  <c r="J35" i="68"/>
  <c r="I35" i="68"/>
  <c r="H35" i="68"/>
  <c r="G35" i="68"/>
  <c r="F35" i="68"/>
  <c r="E35" i="68"/>
  <c r="D35" i="68"/>
  <c r="AC35" i="68" s="1"/>
  <c r="C35" i="68"/>
  <c r="B35" i="68"/>
  <c r="A35" i="68"/>
  <c r="AV34" i="68"/>
  <c r="AU34" i="68"/>
  <c r="AT34" i="68"/>
  <c r="AS34" i="68"/>
  <c r="AR34" i="68"/>
  <c r="AQ34" i="68"/>
  <c r="AP34" i="68"/>
  <c r="AO34" i="68"/>
  <c r="AN34" i="68"/>
  <c r="AM34" i="68"/>
  <c r="AL34" i="68"/>
  <c r="AK34" i="68"/>
  <c r="AJ34" i="68"/>
  <c r="AI34" i="68"/>
  <c r="AH34" i="68"/>
  <c r="U26" i="363" s="1"/>
  <c r="AE34" i="68"/>
  <c r="AD34" i="68"/>
  <c r="AB34" i="68"/>
  <c r="AA34" i="68"/>
  <c r="Z34" i="68"/>
  <c r="Y34" i="68"/>
  <c r="X34" i="68"/>
  <c r="W34" i="68"/>
  <c r="V34" i="68"/>
  <c r="U34" i="68"/>
  <c r="T34" i="68"/>
  <c r="S34" i="68"/>
  <c r="R34" i="68"/>
  <c r="Q34" i="68"/>
  <c r="P34" i="68"/>
  <c r="O34" i="68"/>
  <c r="N34" i="68"/>
  <c r="M34" i="68"/>
  <c r="L34" i="68"/>
  <c r="K34" i="68"/>
  <c r="J34" i="68"/>
  <c r="I34" i="68"/>
  <c r="H34" i="68"/>
  <c r="G34" i="68"/>
  <c r="F34" i="68"/>
  <c r="E34" i="68"/>
  <c r="D34" i="68"/>
  <c r="AC34" i="68" s="1"/>
  <c r="C34" i="68"/>
  <c r="B34" i="68"/>
  <c r="A34" i="68"/>
  <c r="AV33" i="68"/>
  <c r="AU33" i="68"/>
  <c r="AT33" i="68"/>
  <c r="AS33" i="68"/>
  <c r="AR33" i="68"/>
  <c r="AQ33" i="68"/>
  <c r="AP33" i="68"/>
  <c r="AO33" i="68"/>
  <c r="AN33" i="68"/>
  <c r="AM33" i="68"/>
  <c r="AL33" i="68"/>
  <c r="AK33" i="68"/>
  <c r="AJ33" i="68"/>
  <c r="AI33" i="68"/>
  <c r="AH33" i="68"/>
  <c r="U25" i="363" s="1"/>
  <c r="AE33" i="68"/>
  <c r="AD33" i="68"/>
  <c r="AB33" i="68"/>
  <c r="AA33" i="68"/>
  <c r="Z33" i="68"/>
  <c r="Y33" i="68"/>
  <c r="X33" i="68"/>
  <c r="W33" i="68"/>
  <c r="V33" i="68"/>
  <c r="U33" i="68"/>
  <c r="T33" i="68"/>
  <c r="S33" i="68"/>
  <c r="R33" i="68"/>
  <c r="Q33" i="68"/>
  <c r="P33" i="68"/>
  <c r="O33" i="68"/>
  <c r="N33" i="68"/>
  <c r="M33" i="68"/>
  <c r="L33" i="68"/>
  <c r="K33" i="68"/>
  <c r="J33" i="68"/>
  <c r="I33" i="68"/>
  <c r="H33" i="68"/>
  <c r="G33" i="68"/>
  <c r="F33" i="68"/>
  <c r="E33" i="68"/>
  <c r="D33" i="68"/>
  <c r="AC33" i="68" s="1"/>
  <c r="C33" i="68"/>
  <c r="B33" i="68"/>
  <c r="A33" i="68"/>
  <c r="AV32" i="68"/>
  <c r="AU32" i="68"/>
  <c r="AT32" i="68"/>
  <c r="AS32" i="68"/>
  <c r="AR32" i="68"/>
  <c r="AQ32" i="68"/>
  <c r="AP32" i="68"/>
  <c r="AO32" i="68"/>
  <c r="AN32" i="68"/>
  <c r="AM32" i="68"/>
  <c r="AL32" i="68"/>
  <c r="AK32" i="68"/>
  <c r="AJ32" i="68"/>
  <c r="AI32" i="68"/>
  <c r="AH32" i="68"/>
  <c r="U24" i="363" s="1"/>
  <c r="AE32" i="68"/>
  <c r="AD32" i="68"/>
  <c r="AB32" i="68"/>
  <c r="AA32" i="68"/>
  <c r="Z32" i="68"/>
  <c r="Y32" i="68"/>
  <c r="X32" i="68"/>
  <c r="W32" i="68"/>
  <c r="V32" i="68"/>
  <c r="U32" i="68"/>
  <c r="T32" i="68"/>
  <c r="S32" i="68"/>
  <c r="R32" i="68"/>
  <c r="Q32" i="68"/>
  <c r="P32" i="68"/>
  <c r="O32" i="68"/>
  <c r="N32" i="68"/>
  <c r="M32" i="68"/>
  <c r="L32" i="68"/>
  <c r="K32" i="68"/>
  <c r="J32" i="68"/>
  <c r="I32" i="68"/>
  <c r="H32" i="68"/>
  <c r="G32" i="68"/>
  <c r="F32" i="68"/>
  <c r="E32" i="68"/>
  <c r="D32" i="68"/>
  <c r="AC32" i="68" s="1"/>
  <c r="C32" i="68"/>
  <c r="B32" i="68"/>
  <c r="A32" i="68"/>
  <c r="AV31" i="68"/>
  <c r="AU31" i="68"/>
  <c r="AT31" i="68"/>
  <c r="AS31" i="68"/>
  <c r="AR31" i="68"/>
  <c r="AQ31" i="68"/>
  <c r="AP31" i="68"/>
  <c r="AO31" i="68"/>
  <c r="AN31" i="68"/>
  <c r="AM31" i="68"/>
  <c r="AL31" i="68"/>
  <c r="AK31" i="68"/>
  <c r="AJ31" i="68"/>
  <c r="AI31" i="68"/>
  <c r="AH31" i="68"/>
  <c r="U23" i="363" s="1"/>
  <c r="AE31" i="68"/>
  <c r="AD31" i="68"/>
  <c r="AB31" i="68"/>
  <c r="AA31" i="68"/>
  <c r="Z31" i="68"/>
  <c r="Y31" i="68"/>
  <c r="X31" i="68"/>
  <c r="W31" i="68"/>
  <c r="V31" i="68"/>
  <c r="U31" i="68"/>
  <c r="T31" i="68"/>
  <c r="S31" i="68"/>
  <c r="R31" i="68"/>
  <c r="Q31" i="68"/>
  <c r="P31" i="68"/>
  <c r="O31" i="68"/>
  <c r="N31" i="68"/>
  <c r="M31" i="68"/>
  <c r="L31" i="68"/>
  <c r="K31" i="68"/>
  <c r="J31" i="68"/>
  <c r="I31" i="68"/>
  <c r="H31" i="68"/>
  <c r="G31" i="68"/>
  <c r="F31" i="68"/>
  <c r="E31" i="68"/>
  <c r="D31" i="68"/>
  <c r="AC31" i="68" s="1"/>
  <c r="C31" i="68"/>
  <c r="B31" i="68"/>
  <c r="A31" i="68"/>
  <c r="AV30" i="68"/>
  <c r="AU30" i="68"/>
  <c r="AT30" i="68"/>
  <c r="AS30" i="68"/>
  <c r="AR30" i="68"/>
  <c r="AQ30" i="68"/>
  <c r="AP30" i="68"/>
  <c r="AO30" i="68"/>
  <c r="AN30" i="68"/>
  <c r="AM30" i="68"/>
  <c r="AL30" i="68"/>
  <c r="AK30" i="68"/>
  <c r="AJ30" i="68"/>
  <c r="AI30" i="68"/>
  <c r="AH30" i="68"/>
  <c r="U22" i="363" s="1"/>
  <c r="AE30" i="68"/>
  <c r="AD30" i="68"/>
  <c r="AB30" i="68"/>
  <c r="AA30" i="68"/>
  <c r="Z30" i="68"/>
  <c r="Y30" i="68"/>
  <c r="X30" i="68"/>
  <c r="W30" i="68"/>
  <c r="V30" i="68"/>
  <c r="U30" i="68"/>
  <c r="T30" i="68"/>
  <c r="S30" i="68"/>
  <c r="R30" i="68"/>
  <c r="Q30" i="68"/>
  <c r="P30" i="68"/>
  <c r="O30" i="68"/>
  <c r="N30" i="68"/>
  <c r="M30" i="68"/>
  <c r="L30" i="68"/>
  <c r="K30" i="68"/>
  <c r="J30" i="68"/>
  <c r="I30" i="68"/>
  <c r="H30" i="68"/>
  <c r="G30" i="68"/>
  <c r="F30" i="68"/>
  <c r="E30" i="68"/>
  <c r="D30" i="68"/>
  <c r="AC30" i="68" s="1"/>
  <c r="C30" i="68"/>
  <c r="B30" i="68"/>
  <c r="A30" i="68"/>
  <c r="AV29" i="68"/>
  <c r="AU29" i="68"/>
  <c r="AT29" i="68"/>
  <c r="AS29" i="68"/>
  <c r="AR29" i="68"/>
  <c r="AQ29" i="68"/>
  <c r="AP29" i="68"/>
  <c r="AO29" i="68"/>
  <c r="AN29" i="68"/>
  <c r="AM29" i="68"/>
  <c r="AL29" i="68"/>
  <c r="AK29" i="68"/>
  <c r="AJ29" i="68"/>
  <c r="AI29" i="68"/>
  <c r="AH29" i="68"/>
  <c r="U21" i="363" s="1"/>
  <c r="AE29" i="68"/>
  <c r="AD29" i="68"/>
  <c r="AB29" i="68"/>
  <c r="AA29" i="68"/>
  <c r="Z29" i="68"/>
  <c r="Y29" i="68"/>
  <c r="X29" i="68"/>
  <c r="W29" i="68"/>
  <c r="V29" i="68"/>
  <c r="U29" i="68"/>
  <c r="T29" i="68"/>
  <c r="S29" i="68"/>
  <c r="R29" i="68"/>
  <c r="Q29" i="68"/>
  <c r="P29" i="68"/>
  <c r="O29" i="68"/>
  <c r="N29" i="68"/>
  <c r="M29" i="68"/>
  <c r="L29" i="68"/>
  <c r="K29" i="68"/>
  <c r="J29" i="68"/>
  <c r="I29" i="68"/>
  <c r="H29" i="68"/>
  <c r="G29" i="68"/>
  <c r="F29" i="68"/>
  <c r="E29" i="68"/>
  <c r="D29" i="68"/>
  <c r="AC29" i="68" s="1"/>
  <c r="C29" i="68"/>
  <c r="B29" i="68"/>
  <c r="A29" i="68"/>
  <c r="AV28" i="68"/>
  <c r="AU28" i="68"/>
  <c r="AT28" i="68"/>
  <c r="AS28" i="68"/>
  <c r="AR28" i="68"/>
  <c r="AQ28" i="68"/>
  <c r="AP28" i="68"/>
  <c r="AO28" i="68"/>
  <c r="AN28" i="68"/>
  <c r="AM28" i="68"/>
  <c r="AL28" i="68"/>
  <c r="AK28" i="68"/>
  <c r="AJ28" i="68"/>
  <c r="AI28" i="68"/>
  <c r="AH28" i="68"/>
  <c r="U20" i="363" s="1"/>
  <c r="AE28" i="68"/>
  <c r="AD28" i="68"/>
  <c r="AB28" i="68"/>
  <c r="AA28" i="68"/>
  <c r="Z28" i="68"/>
  <c r="Y28" i="68"/>
  <c r="X28" i="68"/>
  <c r="W28" i="68"/>
  <c r="V28" i="68"/>
  <c r="U28" i="68"/>
  <c r="T28" i="68"/>
  <c r="S28" i="68"/>
  <c r="R28" i="68"/>
  <c r="Q28" i="68"/>
  <c r="P28" i="68"/>
  <c r="O28" i="68"/>
  <c r="N28" i="68"/>
  <c r="M28" i="68"/>
  <c r="L28" i="68"/>
  <c r="K28" i="68"/>
  <c r="J28" i="68"/>
  <c r="I28" i="68"/>
  <c r="H28" i="68"/>
  <c r="G28" i="68"/>
  <c r="F28" i="68"/>
  <c r="E28" i="68"/>
  <c r="D28" i="68"/>
  <c r="AC28" i="68" s="1"/>
  <c r="C28" i="68"/>
  <c r="B28" i="68"/>
  <c r="A28" i="68"/>
  <c r="AV27" i="68"/>
  <c r="AU27" i="68"/>
  <c r="AT27" i="68"/>
  <c r="AS27" i="68"/>
  <c r="AR27" i="68"/>
  <c r="AQ27" i="68"/>
  <c r="AP27" i="68"/>
  <c r="AO27" i="68"/>
  <c r="AN27" i="68"/>
  <c r="AM27" i="68"/>
  <c r="AL27" i="68"/>
  <c r="AK27" i="68"/>
  <c r="AJ27" i="68"/>
  <c r="AI27" i="68"/>
  <c r="AH27" i="68"/>
  <c r="U19" i="363" s="1"/>
  <c r="AE27" i="68"/>
  <c r="AD27" i="68"/>
  <c r="AB27" i="68"/>
  <c r="AA27" i="68"/>
  <c r="Z27" i="68"/>
  <c r="Y27" i="68"/>
  <c r="X27" i="68"/>
  <c r="W27" i="68"/>
  <c r="V27" i="68"/>
  <c r="U27" i="68"/>
  <c r="T27" i="68"/>
  <c r="S27" i="68"/>
  <c r="R27" i="68"/>
  <c r="Q27" i="68"/>
  <c r="P27" i="68"/>
  <c r="O27" i="68"/>
  <c r="N27" i="68"/>
  <c r="M27" i="68"/>
  <c r="L27" i="68"/>
  <c r="K27" i="68"/>
  <c r="J27" i="68"/>
  <c r="I27" i="68"/>
  <c r="H27" i="68"/>
  <c r="G27" i="68"/>
  <c r="F27" i="68"/>
  <c r="E27" i="68"/>
  <c r="D27" i="68"/>
  <c r="AC27" i="68" s="1"/>
  <c r="C27" i="68"/>
  <c r="B27" i="68"/>
  <c r="A27" i="68"/>
  <c r="AV26" i="68"/>
  <c r="AU26" i="68"/>
  <c r="AT26" i="68"/>
  <c r="AS26" i="68"/>
  <c r="AR26" i="68"/>
  <c r="AQ26" i="68"/>
  <c r="AP26" i="68"/>
  <c r="AO26" i="68"/>
  <c r="AN26" i="68"/>
  <c r="AM26" i="68"/>
  <c r="AL26" i="68"/>
  <c r="AK26" i="68"/>
  <c r="AJ26" i="68"/>
  <c r="AI26" i="68"/>
  <c r="AH26" i="68"/>
  <c r="U18" i="363" s="1"/>
  <c r="AE26" i="68"/>
  <c r="AD26" i="68"/>
  <c r="AB26" i="68"/>
  <c r="AA26" i="68"/>
  <c r="Z26" i="68"/>
  <c r="Y26" i="68"/>
  <c r="X26" i="68"/>
  <c r="W26" i="68"/>
  <c r="V26" i="68"/>
  <c r="U26" i="68"/>
  <c r="T26" i="68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AC26" i="68" s="1"/>
  <c r="C26" i="68"/>
  <c r="B26" i="68"/>
  <c r="A26" i="68"/>
  <c r="AV25" i="68"/>
  <c r="AU25" i="68"/>
  <c r="AT25" i="68"/>
  <c r="AS25" i="68"/>
  <c r="AR25" i="68"/>
  <c r="AQ25" i="68"/>
  <c r="AP25" i="68"/>
  <c r="AO25" i="68"/>
  <c r="AN25" i="68"/>
  <c r="AM25" i="68"/>
  <c r="AL25" i="68"/>
  <c r="AK25" i="68"/>
  <c r="AJ25" i="68"/>
  <c r="AI25" i="68"/>
  <c r="AH25" i="68"/>
  <c r="U17" i="363" s="1"/>
  <c r="AE25" i="68"/>
  <c r="AD25" i="68"/>
  <c r="AB25" i="68"/>
  <c r="AA25" i="68"/>
  <c r="Z25" i="68"/>
  <c r="Y25" i="68"/>
  <c r="X25" i="68"/>
  <c r="W25" i="68"/>
  <c r="V25" i="68"/>
  <c r="U25" i="68"/>
  <c r="T25" i="68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AC25" i="68" s="1"/>
  <c r="C25" i="68"/>
  <c r="B25" i="68"/>
  <c r="A25" i="68"/>
  <c r="AV24" i="68"/>
  <c r="AU24" i="68"/>
  <c r="AT24" i="68"/>
  <c r="AS24" i="68"/>
  <c r="AR24" i="68"/>
  <c r="AQ24" i="68"/>
  <c r="AP24" i="68"/>
  <c r="AO24" i="68"/>
  <c r="AN24" i="68"/>
  <c r="AM24" i="68"/>
  <c r="AL24" i="68"/>
  <c r="AK24" i="68"/>
  <c r="AJ24" i="68"/>
  <c r="AI24" i="68"/>
  <c r="AH24" i="68"/>
  <c r="U16" i="363" s="1"/>
  <c r="AE24" i="68"/>
  <c r="AD24" i="68"/>
  <c r="AB24" i="68"/>
  <c r="AA24" i="68"/>
  <c r="Z24" i="68"/>
  <c r="Y24" i="68"/>
  <c r="X24" i="68"/>
  <c r="W24" i="68"/>
  <c r="V24" i="68"/>
  <c r="U24" i="68"/>
  <c r="T24" i="68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AC24" i="68" s="1"/>
  <c r="C24" i="68"/>
  <c r="B24" i="68"/>
  <c r="A24" i="68"/>
  <c r="AV23" i="68"/>
  <c r="AU23" i="68"/>
  <c r="AT23" i="68"/>
  <c r="AS23" i="68"/>
  <c r="AR23" i="68"/>
  <c r="AQ23" i="68"/>
  <c r="AP23" i="68"/>
  <c r="AO23" i="68"/>
  <c r="AN23" i="68"/>
  <c r="AM23" i="68"/>
  <c r="AL23" i="68"/>
  <c r="AK23" i="68"/>
  <c r="AJ23" i="68"/>
  <c r="AI23" i="68"/>
  <c r="AH23" i="68"/>
  <c r="U15" i="363" s="1"/>
  <c r="AE23" i="68"/>
  <c r="AD23" i="68"/>
  <c r="AB23" i="68"/>
  <c r="AA23" i="68"/>
  <c r="Z23" i="68"/>
  <c r="Y23" i="68"/>
  <c r="X23" i="68"/>
  <c r="W23" i="68"/>
  <c r="V23" i="68"/>
  <c r="U23" i="68"/>
  <c r="T23" i="68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AC23" i="68" s="1"/>
  <c r="C23" i="68"/>
  <c r="B23" i="68"/>
  <c r="A23" i="68"/>
  <c r="AV22" i="68"/>
  <c r="AU22" i="68"/>
  <c r="AT22" i="68"/>
  <c r="AS22" i="68"/>
  <c r="AR22" i="68"/>
  <c r="AQ22" i="68"/>
  <c r="AP22" i="68"/>
  <c r="AO22" i="68"/>
  <c r="AN22" i="68"/>
  <c r="AM22" i="68"/>
  <c r="AL22" i="68"/>
  <c r="AK22" i="68"/>
  <c r="AJ22" i="68"/>
  <c r="AI22" i="68"/>
  <c r="AH22" i="68"/>
  <c r="U14" i="363" s="1"/>
  <c r="AE22" i="68"/>
  <c r="AD22" i="68"/>
  <c r="AB22" i="68"/>
  <c r="AA22" i="68"/>
  <c r="Z22" i="68"/>
  <c r="Y22" i="68"/>
  <c r="X22" i="68"/>
  <c r="W22" i="68"/>
  <c r="V22" i="68"/>
  <c r="U22" i="68"/>
  <c r="T22" i="68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AC22" i="68" s="1"/>
  <c r="C22" i="68"/>
  <c r="B22" i="68"/>
  <c r="A22" i="68"/>
  <c r="AV21" i="68"/>
  <c r="AU21" i="68"/>
  <c r="AT21" i="68"/>
  <c r="AS21" i="68"/>
  <c r="AR21" i="68"/>
  <c r="AQ21" i="68"/>
  <c r="AP21" i="68"/>
  <c r="AO21" i="68"/>
  <c r="AN21" i="68"/>
  <c r="AM21" i="68"/>
  <c r="AL21" i="68"/>
  <c r="AK21" i="68"/>
  <c r="AJ21" i="68"/>
  <c r="AI21" i="68"/>
  <c r="AH21" i="68"/>
  <c r="U13" i="363" s="1"/>
  <c r="AE21" i="68"/>
  <c r="AD21" i="68"/>
  <c r="AB21" i="68"/>
  <c r="AA21" i="68"/>
  <c r="Z21" i="68"/>
  <c r="Y21" i="68"/>
  <c r="X21" i="68"/>
  <c r="W21" i="68"/>
  <c r="V21" i="68"/>
  <c r="U21" i="68"/>
  <c r="T21" i="68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AC21" i="68" s="1"/>
  <c r="C21" i="68"/>
  <c r="B21" i="68"/>
  <c r="A21" i="68"/>
  <c r="AV20" i="68"/>
  <c r="AU20" i="68"/>
  <c r="AT20" i="68"/>
  <c r="AS20" i="68"/>
  <c r="AR20" i="68"/>
  <c r="AQ20" i="68"/>
  <c r="AP20" i="68"/>
  <c r="AO20" i="68"/>
  <c r="AN20" i="68"/>
  <c r="AM20" i="68"/>
  <c r="AL20" i="68"/>
  <c r="AK20" i="68"/>
  <c r="AJ20" i="68"/>
  <c r="AI20" i="68"/>
  <c r="AH20" i="68"/>
  <c r="U12" i="363" s="1"/>
  <c r="AE20" i="68"/>
  <c r="AD20" i="68"/>
  <c r="AB20" i="68"/>
  <c r="AA20" i="68"/>
  <c r="Z20" i="68"/>
  <c r="Y20" i="68"/>
  <c r="X20" i="68"/>
  <c r="W20" i="68"/>
  <c r="V20" i="68"/>
  <c r="U20" i="68"/>
  <c r="T20" i="68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AC20" i="68" s="1"/>
  <c r="C20" i="68"/>
  <c r="B20" i="68"/>
  <c r="A20" i="68"/>
  <c r="AV19" i="68"/>
  <c r="AU19" i="68"/>
  <c r="AT19" i="68"/>
  <c r="AS19" i="68"/>
  <c r="AR19" i="68"/>
  <c r="AQ19" i="68"/>
  <c r="AP19" i="68"/>
  <c r="AO19" i="68"/>
  <c r="AN19" i="68"/>
  <c r="AM19" i="68"/>
  <c r="AL19" i="68"/>
  <c r="AK19" i="68"/>
  <c r="AJ19" i="68"/>
  <c r="AI19" i="68"/>
  <c r="AH19" i="68"/>
  <c r="U11" i="363" s="1"/>
  <c r="AE19" i="68"/>
  <c r="AD19" i="68"/>
  <c r="AB19" i="68"/>
  <c r="AA19" i="68"/>
  <c r="Z19" i="68"/>
  <c r="Y19" i="68"/>
  <c r="X19" i="68"/>
  <c r="W19" i="68"/>
  <c r="V19" i="68"/>
  <c r="U19" i="68"/>
  <c r="T19" i="68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AC19" i="68" s="1"/>
  <c r="C19" i="68"/>
  <c r="B19" i="68"/>
  <c r="A19" i="68"/>
  <c r="AV18" i="68"/>
  <c r="AU18" i="68"/>
  <c r="AT18" i="68"/>
  <c r="AS18" i="68"/>
  <c r="AR18" i="68"/>
  <c r="AQ18" i="68"/>
  <c r="AP18" i="68"/>
  <c r="AO18" i="68"/>
  <c r="AN18" i="68"/>
  <c r="AM18" i="68"/>
  <c r="AL18" i="68"/>
  <c r="AK18" i="68"/>
  <c r="AJ18" i="68"/>
  <c r="AI18" i="68"/>
  <c r="AH18" i="68"/>
  <c r="U10" i="363" s="1"/>
  <c r="AE18" i="68"/>
  <c r="AD18" i="68"/>
  <c r="AB18" i="68"/>
  <c r="AA18" i="68"/>
  <c r="Z18" i="68"/>
  <c r="Y18" i="68"/>
  <c r="X18" i="68"/>
  <c r="W18" i="68"/>
  <c r="V18" i="68"/>
  <c r="U18" i="68"/>
  <c r="T18" i="68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AC18" i="68" s="1"/>
  <c r="C18" i="68"/>
  <c r="B18" i="68"/>
  <c r="A18" i="68"/>
  <c r="AV17" i="68"/>
  <c r="AU17" i="68"/>
  <c r="AT17" i="68"/>
  <c r="AS17" i="68"/>
  <c r="AR17" i="68"/>
  <c r="AQ17" i="68"/>
  <c r="AP17" i="68"/>
  <c r="AO17" i="68"/>
  <c r="AN17" i="68"/>
  <c r="AM17" i="68"/>
  <c r="AL17" i="68"/>
  <c r="AK17" i="68"/>
  <c r="AJ17" i="68"/>
  <c r="AI17" i="68"/>
  <c r="AH17" i="68"/>
  <c r="U9" i="363" s="1"/>
  <c r="AE17" i="68"/>
  <c r="AD17" i="68"/>
  <c r="AB17" i="68"/>
  <c r="AA17" i="68"/>
  <c r="Z17" i="68"/>
  <c r="Y17" i="68"/>
  <c r="X17" i="68"/>
  <c r="W17" i="68"/>
  <c r="V17" i="68"/>
  <c r="U17" i="68"/>
  <c r="T17" i="68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AC17" i="68" s="1"/>
  <c r="C17" i="68"/>
  <c r="B17" i="68"/>
  <c r="A17" i="68"/>
  <c r="AV16" i="68"/>
  <c r="AU16" i="68"/>
  <c r="AT16" i="68"/>
  <c r="AS16" i="68"/>
  <c r="AR16" i="68"/>
  <c r="AQ16" i="68"/>
  <c r="AP16" i="68"/>
  <c r="AO16" i="68"/>
  <c r="AN16" i="68"/>
  <c r="AM16" i="68"/>
  <c r="AL16" i="68"/>
  <c r="AK16" i="68"/>
  <c r="AJ16" i="68"/>
  <c r="AI16" i="68"/>
  <c r="AH16" i="68"/>
  <c r="U8" i="363" s="1"/>
  <c r="AE16" i="68"/>
  <c r="AD16" i="68"/>
  <c r="AB16" i="68"/>
  <c r="AA16" i="68"/>
  <c r="Z16" i="68"/>
  <c r="Y16" i="68"/>
  <c r="X16" i="68"/>
  <c r="W16" i="68"/>
  <c r="V16" i="68"/>
  <c r="U16" i="68"/>
  <c r="T16" i="68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D16" i="68"/>
  <c r="AC16" i="68" s="1"/>
  <c r="C16" i="68"/>
  <c r="B16" i="68"/>
  <c r="A16" i="68"/>
  <c r="AV15" i="68"/>
  <c r="AU15" i="68"/>
  <c r="AT15" i="68"/>
  <c r="AS15" i="68"/>
  <c r="AR15" i="68"/>
  <c r="AQ15" i="68"/>
  <c r="AP15" i="68"/>
  <c r="AO15" i="68"/>
  <c r="AN15" i="68"/>
  <c r="AM15" i="68"/>
  <c r="AL15" i="68"/>
  <c r="AK15" i="68"/>
  <c r="AJ15" i="68"/>
  <c r="AI15" i="68"/>
  <c r="AH15" i="68"/>
  <c r="U7" i="363" s="1"/>
  <c r="AE15" i="68"/>
  <c r="AD15" i="68"/>
  <c r="AB15" i="68"/>
  <c r="AA15" i="68"/>
  <c r="Z15" i="68"/>
  <c r="Y15" i="68"/>
  <c r="X15" i="68"/>
  <c r="W15" i="68"/>
  <c r="V15" i="68"/>
  <c r="U15" i="68"/>
  <c r="T15" i="68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D15" i="68"/>
  <c r="AC15" i="68" s="1"/>
  <c r="C15" i="68"/>
  <c r="B15" i="68"/>
  <c r="A15" i="68"/>
  <c r="AV14" i="68"/>
  <c r="AU14" i="68"/>
  <c r="AT14" i="68"/>
  <c r="AT12" i="68" s="1"/>
  <c r="AS14" i="68"/>
  <c r="AR14" i="68"/>
  <c r="AR12" i="68" s="1"/>
  <c r="AQ14" i="68"/>
  <c r="AP14" i="68"/>
  <c r="AP12" i="68" s="1"/>
  <c r="B27" i="20" s="1"/>
  <c r="AO14" i="68"/>
  <c r="AO12" i="68" s="1"/>
  <c r="AN14" i="68"/>
  <c r="AM14" i="68"/>
  <c r="AM12" i="68" s="1"/>
  <c r="AL14" i="68"/>
  <c r="AL12" i="68" s="1"/>
  <c r="AK14" i="68"/>
  <c r="AK12" i="68" s="1"/>
  <c r="AJ14" i="68"/>
  <c r="AJ12" i="68" s="1"/>
  <c r="AI14" i="68"/>
  <c r="AH14" i="68"/>
  <c r="U6" i="363" s="1"/>
  <c r="AE14" i="68"/>
  <c r="AD14" i="68"/>
  <c r="AB14" i="68"/>
  <c r="AA14" i="68"/>
  <c r="Z14" i="68"/>
  <c r="Y14" i="68"/>
  <c r="X14" i="68"/>
  <c r="W14" i="68"/>
  <c r="V14" i="68"/>
  <c r="U14" i="68"/>
  <c r="T14" i="68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D14" i="68"/>
  <c r="AC14" i="68" s="1"/>
  <c r="C14" i="68"/>
  <c r="B14" i="68"/>
  <c r="A14" i="68"/>
  <c r="AQ12" i="68"/>
  <c r="B28" i="20" s="1"/>
  <c r="D16" i="20" s="1"/>
  <c r="B2" i="68"/>
  <c r="A1" i="363" s="1"/>
  <c r="I9" i="39"/>
  <c r="E18" i="66"/>
  <c r="D17" i="544"/>
  <c r="D33" i="544"/>
  <c r="D16" i="544"/>
  <c r="D18" i="544"/>
  <c r="D34" i="544"/>
  <c r="D20" i="544"/>
  <c r="O6" i="363"/>
  <c r="B20" i="545"/>
  <c r="O24" i="544"/>
  <c r="N23" i="544"/>
  <c r="I22" i="544"/>
  <c r="C20" i="544"/>
  <c r="M18" i="544"/>
  <c r="L17" i="544"/>
  <c r="G16" i="544"/>
  <c r="P13" i="544"/>
  <c r="K12" i="544"/>
  <c r="M10" i="544"/>
  <c r="O8" i="544"/>
  <c r="J7" i="544"/>
  <c r="B21" i="545"/>
  <c r="N24" i="544"/>
  <c r="I23" i="544"/>
  <c r="C21" i="544"/>
  <c r="M19" i="544"/>
  <c r="L18" i="544"/>
  <c r="G17" i="544"/>
  <c r="P14" i="544"/>
  <c r="K13" i="544"/>
  <c r="M11" i="544"/>
  <c r="D10" i="544"/>
  <c r="C9" i="544"/>
  <c r="P6" i="544"/>
  <c r="K14" i="544"/>
  <c r="L11" i="544"/>
  <c r="M8" i="544"/>
  <c r="G6" i="544"/>
  <c r="B22" i="545"/>
  <c r="B6" i="545"/>
  <c r="P23" i="544"/>
  <c r="K22" i="544"/>
  <c r="J21" i="544"/>
  <c r="O18" i="544"/>
  <c r="J17" i="544"/>
  <c r="O14" i="544"/>
  <c r="I12" i="544"/>
  <c r="I8" i="544"/>
  <c r="P6" i="363"/>
  <c r="B19" i="545"/>
  <c r="P24" i="544"/>
  <c r="K23" i="544"/>
  <c r="J22" i="544"/>
  <c r="O19" i="544"/>
  <c r="N18" i="544"/>
  <c r="I17" i="544"/>
  <c r="C15" i="544"/>
  <c r="M13" i="544"/>
  <c r="L12" i="544"/>
  <c r="G11" i="544"/>
  <c r="I9" i="544"/>
  <c r="O7" i="544"/>
  <c r="J6" i="544"/>
  <c r="D13" i="544"/>
  <c r="D35" i="544"/>
  <c r="C24" i="544"/>
  <c r="M22" i="544"/>
  <c r="P17" i="544"/>
  <c r="J11" i="544"/>
  <c r="F6" i="363"/>
  <c r="L22" i="544"/>
  <c r="K17" i="544"/>
  <c r="O13" i="544"/>
  <c r="I7" i="544"/>
  <c r="C10" i="544"/>
  <c r="B10" i="545"/>
  <c r="N21" i="544"/>
  <c r="I16" i="544"/>
  <c r="C6" i="544"/>
  <c r="B7" i="545"/>
  <c r="N22" i="544"/>
  <c r="L16" i="544"/>
  <c r="K11" i="544"/>
  <c r="D8" i="544"/>
  <c r="G10" i="544"/>
  <c r="D21" i="544"/>
  <c r="D19" i="544"/>
  <c r="D24" i="544"/>
  <c r="D22" i="544"/>
  <c r="D15" i="544"/>
  <c r="D28" i="544"/>
  <c r="K6" i="363"/>
  <c r="B16" i="545"/>
  <c r="K24" i="544"/>
  <c r="J23" i="544"/>
  <c r="O20" i="544"/>
  <c r="N19" i="544"/>
  <c r="I18" i="544"/>
  <c r="C16" i="544"/>
  <c r="M14" i="544"/>
  <c r="L13" i="544"/>
  <c r="G12" i="544"/>
  <c r="I10" i="544"/>
  <c r="K8" i="544"/>
  <c r="I6" i="544"/>
  <c r="B17" i="545"/>
  <c r="J24" i="544"/>
  <c r="O21" i="544"/>
  <c r="N20" i="544"/>
  <c r="I19" i="544"/>
  <c r="C17" i="544"/>
  <c r="M15" i="544"/>
  <c r="L14" i="544"/>
  <c r="G13" i="544"/>
  <c r="I11" i="544"/>
  <c r="O9" i="544"/>
  <c r="J8" i="544"/>
  <c r="L6" i="544"/>
  <c r="C14" i="544"/>
  <c r="D11" i="544"/>
  <c r="P7" i="544"/>
  <c r="M6" i="363"/>
  <c r="B18" i="545"/>
  <c r="M24" i="544"/>
  <c r="L23" i="544"/>
  <c r="G22" i="544"/>
  <c r="P19" i="544"/>
  <c r="K18" i="544"/>
  <c r="P15" i="544"/>
  <c r="G14" i="544"/>
  <c r="P11" i="544"/>
  <c r="L7" i="544"/>
  <c r="H6" i="363"/>
  <c r="B15" i="545"/>
  <c r="L24" i="544"/>
  <c r="G23" i="544"/>
  <c r="P20" i="544"/>
  <c r="K19" i="544"/>
  <c r="J18" i="544"/>
  <c r="O15" i="544"/>
  <c r="N14" i="544"/>
  <c r="I13" i="544"/>
  <c r="D12" i="544"/>
  <c r="C11" i="544"/>
  <c r="P8" i="544"/>
  <c r="K7" i="544"/>
  <c r="P9" i="544"/>
  <c r="D29" i="544"/>
  <c r="D14" i="544"/>
  <c r="B8" i="545"/>
  <c r="L21" i="544"/>
  <c r="K16" i="544"/>
  <c r="O12" i="544"/>
  <c r="C8" i="544"/>
  <c r="M23" i="544"/>
  <c r="G21" i="544"/>
  <c r="P18" i="544"/>
  <c r="L10" i="544"/>
  <c r="N17" i="544"/>
  <c r="K6" i="544"/>
  <c r="D25" i="544"/>
  <c r="D23" i="544"/>
  <c r="D36" i="544"/>
  <c r="D26" i="544"/>
  <c r="D27" i="544"/>
  <c r="D32" i="544"/>
  <c r="G6" i="363"/>
  <c r="B12" i="545"/>
  <c r="G24" i="544"/>
  <c r="P21" i="544"/>
  <c r="K20" i="544"/>
  <c r="J19" i="544"/>
  <c r="O16" i="544"/>
  <c r="N15" i="544"/>
  <c r="I14" i="544"/>
  <c r="C12" i="544"/>
  <c r="L9" i="544"/>
  <c r="G8" i="544"/>
  <c r="N6" i="363"/>
  <c r="B13" i="545"/>
  <c r="P22" i="544"/>
  <c r="K21" i="544"/>
  <c r="J20" i="544"/>
  <c r="O17" i="544"/>
  <c r="N16" i="544"/>
  <c r="I15" i="544"/>
  <c r="C13" i="544"/>
  <c r="P10" i="544"/>
  <c r="K9" i="544"/>
  <c r="M7" i="544"/>
  <c r="D6" i="544"/>
  <c r="J13" i="544"/>
  <c r="K10" i="544"/>
  <c r="D7" i="544"/>
  <c r="I6" i="363"/>
  <c r="B14" i="545"/>
  <c r="I24" i="544"/>
  <c r="C22" i="544"/>
  <c r="M20" i="544"/>
  <c r="L19" i="544"/>
  <c r="G18" i="544"/>
  <c r="M16" i="544"/>
  <c r="L15" i="544"/>
  <c r="N13" i="544"/>
  <c r="O10" i="544"/>
  <c r="O6" i="544"/>
  <c r="D6" i="363"/>
  <c r="B11" i="545"/>
  <c r="C23" i="544"/>
  <c r="M21" i="544"/>
  <c r="L20" i="544"/>
  <c r="G19" i="544"/>
  <c r="P16" i="544"/>
  <c r="K15" i="544"/>
  <c r="J14" i="544"/>
  <c r="O11" i="544"/>
  <c r="J10" i="544"/>
  <c r="L8" i="544"/>
  <c r="G7" i="544"/>
  <c r="M6" i="544"/>
  <c r="D31" i="544"/>
  <c r="D30" i="544"/>
  <c r="B24" i="545"/>
  <c r="G20" i="544"/>
  <c r="J15" i="544"/>
  <c r="D9" i="544"/>
  <c r="B9" i="545"/>
  <c r="J16" i="544"/>
  <c r="J12" i="544"/>
  <c r="G9" i="544"/>
  <c r="M12" i="544"/>
  <c r="E6" i="363"/>
  <c r="O22" i="544"/>
  <c r="I20" i="544"/>
  <c r="C18" i="544"/>
  <c r="J9" i="544"/>
  <c r="B23" i="545"/>
  <c r="O23" i="544"/>
  <c r="I21" i="544"/>
  <c r="C19" i="544"/>
  <c r="M17" i="544"/>
  <c r="G15" i="544"/>
  <c r="P12" i="544"/>
  <c r="M9" i="544"/>
  <c r="C7" i="544"/>
  <c r="H36" i="66" l="1"/>
  <c r="A9" i="544"/>
  <c r="A30" i="544"/>
  <c r="A31" i="544"/>
  <c r="A7" i="544"/>
  <c r="A32" i="544"/>
  <c r="A27" i="544"/>
  <c r="A26" i="544"/>
  <c r="A36" i="544"/>
  <c r="A23" i="544"/>
  <c r="A25" i="544"/>
  <c r="A14" i="544"/>
  <c r="A29" i="544"/>
  <c r="A12" i="544"/>
  <c r="A11" i="544"/>
  <c r="A28" i="544"/>
  <c r="A15" i="544"/>
  <c r="A22" i="544"/>
  <c r="A24" i="544"/>
  <c r="A19" i="544"/>
  <c r="A21" i="544"/>
  <c r="A8" i="544"/>
  <c r="A35" i="544"/>
  <c r="A13" i="544"/>
  <c r="A10" i="544"/>
  <c r="A20" i="544"/>
  <c r="A34" i="544"/>
  <c r="A18" i="544"/>
  <c r="A16" i="544"/>
  <c r="A33" i="544"/>
  <c r="A17" i="544"/>
  <c r="A6" i="544"/>
  <c r="E19" i="66"/>
  <c r="E20" i="66" s="1"/>
  <c r="AH12" i="68"/>
  <c r="B3" i="21" s="1"/>
  <c r="D8" i="21" s="1"/>
  <c r="D11" i="21" s="1"/>
  <c r="F13" i="20"/>
  <c r="H13" i="20" s="1"/>
  <c r="S50" i="66"/>
  <c r="H51" i="66"/>
  <c r="H9" i="66"/>
  <c r="H11" i="66" s="1"/>
  <c r="F4" i="20"/>
  <c r="H4" i="20" s="1"/>
  <c r="D18" i="20"/>
  <c r="C7" i="363"/>
  <c r="H24" i="66"/>
  <c r="E33" i="66"/>
  <c r="D39" i="66" s="1"/>
  <c r="N119" i="4"/>
  <c r="N109" i="4"/>
  <c r="N89" i="4"/>
  <c r="N96" i="4"/>
  <c r="N103" i="4"/>
  <c r="N111" i="4"/>
  <c r="N100" i="4"/>
  <c r="N105" i="4"/>
  <c r="M6" i="545"/>
  <c r="P9" i="545"/>
  <c r="J6" i="545"/>
  <c r="C7" i="545"/>
  <c r="K7" i="545"/>
  <c r="O7" i="545"/>
  <c r="D8" i="545"/>
  <c r="L8" i="545"/>
  <c r="P8" i="545"/>
  <c r="I9" i="545"/>
  <c r="M9" i="545"/>
  <c r="J10" i="545"/>
  <c r="C11" i="545"/>
  <c r="K11" i="545"/>
  <c r="O11" i="545"/>
  <c r="D12" i="545"/>
  <c r="L12" i="545"/>
  <c r="P12" i="545"/>
  <c r="I13" i="545"/>
  <c r="M13" i="545"/>
  <c r="J14" i="545"/>
  <c r="N14" i="545"/>
  <c r="C15" i="545"/>
  <c r="K15" i="545"/>
  <c r="O15" i="545"/>
  <c r="D16" i="545"/>
  <c r="L16" i="545"/>
  <c r="P16" i="545"/>
  <c r="I17" i="545"/>
  <c r="M17" i="545"/>
  <c r="J18" i="545"/>
  <c r="N18" i="545"/>
  <c r="C19" i="545"/>
  <c r="K19" i="545"/>
  <c r="O19" i="545"/>
  <c r="D20" i="545"/>
  <c r="L20" i="545"/>
  <c r="P20" i="545"/>
  <c r="I21" i="545"/>
  <c r="M21" i="545"/>
  <c r="J22" i="545"/>
  <c r="N22" i="545"/>
  <c r="C23" i="545"/>
  <c r="K23" i="545"/>
  <c r="O23" i="545"/>
  <c r="D24" i="545"/>
  <c r="L24" i="545"/>
  <c r="P24" i="545"/>
  <c r="C6" i="545"/>
  <c r="O6" i="545"/>
  <c r="L7" i="545"/>
  <c r="I8" i="545"/>
  <c r="J9" i="545"/>
  <c r="O10" i="545"/>
  <c r="P11" i="545"/>
  <c r="I12" i="545"/>
  <c r="N13" i="545"/>
  <c r="O14" i="545"/>
  <c r="D15" i="545"/>
  <c r="L15" i="545"/>
  <c r="P15" i="545"/>
  <c r="I16" i="545"/>
  <c r="M16" i="545"/>
  <c r="J17" i="545"/>
  <c r="C18" i="545"/>
  <c r="K18" i="545"/>
  <c r="O18" i="545"/>
  <c r="D19" i="545"/>
  <c r="L19" i="545"/>
  <c r="P19" i="545"/>
  <c r="I20" i="545"/>
  <c r="M20" i="545"/>
  <c r="J21" i="545"/>
  <c r="N21" i="545"/>
  <c r="C22" i="545"/>
  <c r="K22" i="545"/>
  <c r="O22" i="545"/>
  <c r="D23" i="545"/>
  <c r="L23" i="545"/>
  <c r="P23" i="545"/>
  <c r="I24" i="545"/>
  <c r="M24" i="545"/>
  <c r="K6" i="545"/>
  <c r="D7" i="545"/>
  <c r="P7" i="545"/>
  <c r="M8" i="545"/>
  <c r="C10" i="545"/>
  <c r="K10" i="545"/>
  <c r="D11" i="545"/>
  <c r="L11" i="545"/>
  <c r="M12" i="545"/>
  <c r="J13" i="545"/>
  <c r="C14" i="545"/>
  <c r="K14" i="545"/>
  <c r="N17" i="545"/>
  <c r="D6" i="545"/>
  <c r="L6" i="545"/>
  <c r="P6" i="545"/>
  <c r="I7" i="545"/>
  <c r="M7" i="545"/>
  <c r="J8" i="545"/>
  <c r="C9" i="545"/>
  <c r="K9" i="545"/>
  <c r="O9" i="545"/>
  <c r="D10" i="545"/>
  <c r="L10" i="545"/>
  <c r="P10" i="545"/>
  <c r="I11" i="545"/>
  <c r="M11" i="545"/>
  <c r="J12" i="545"/>
  <c r="C13" i="545"/>
  <c r="K13" i="545"/>
  <c r="O13" i="545"/>
  <c r="D14" i="545"/>
  <c r="L14" i="545"/>
  <c r="P14" i="545"/>
  <c r="I15" i="545"/>
  <c r="M15" i="545"/>
  <c r="J16" i="545"/>
  <c r="N16" i="545"/>
  <c r="C17" i="545"/>
  <c r="K17" i="545"/>
  <c r="O17" i="545"/>
  <c r="D18" i="545"/>
  <c r="L18" i="545"/>
  <c r="P18" i="545"/>
  <c r="I19" i="545"/>
  <c r="M19" i="545"/>
  <c r="J20" i="545"/>
  <c r="N20" i="545"/>
  <c r="C21" i="545"/>
  <c r="K21" i="545"/>
  <c r="O21" i="545"/>
  <c r="D22" i="545"/>
  <c r="L22" i="545"/>
  <c r="P22" i="545"/>
  <c r="I23" i="545"/>
  <c r="M23" i="545"/>
  <c r="J24" i="545"/>
  <c r="N24" i="545"/>
  <c r="Q6" i="363"/>
  <c r="L6" i="363"/>
  <c r="I6" i="545"/>
  <c r="J7" i="545"/>
  <c r="C8" i="545"/>
  <c r="K8" i="545"/>
  <c r="O8" i="545"/>
  <c r="D9" i="545"/>
  <c r="L9" i="545"/>
  <c r="I10" i="545"/>
  <c r="M10" i="545"/>
  <c r="J11" i="545"/>
  <c r="C12" i="545"/>
  <c r="K12" i="545"/>
  <c r="O12" i="545"/>
  <c r="D13" i="545"/>
  <c r="L13" i="545"/>
  <c r="P13" i="545"/>
  <c r="I14" i="545"/>
  <c r="M14" i="545"/>
  <c r="J15" i="545"/>
  <c r="N15" i="545"/>
  <c r="C16" i="545"/>
  <c r="K16" i="545"/>
  <c r="O16" i="545"/>
  <c r="D17" i="545"/>
  <c r="L17" i="545"/>
  <c r="P17" i="545"/>
  <c r="I18" i="545"/>
  <c r="M18" i="545"/>
  <c r="J19" i="545"/>
  <c r="N19" i="545"/>
  <c r="C20" i="545"/>
  <c r="K20" i="545"/>
  <c r="O20" i="545"/>
  <c r="D21" i="545"/>
  <c r="L21" i="545"/>
  <c r="P21" i="545"/>
  <c r="I22" i="545"/>
  <c r="M22" i="545"/>
  <c r="J23" i="545"/>
  <c r="N23" i="545"/>
  <c r="C24" i="545"/>
  <c r="K24" i="545"/>
  <c r="O24" i="545"/>
  <c r="J6" i="363"/>
  <c r="N88" i="4"/>
  <c r="H5" i="671" s="1" a="1"/>
  <c r="H5" i="671" s="1"/>
  <c r="H13" i="671" s="1"/>
  <c r="H27" i="671" s="1"/>
  <c r="N90" i="4"/>
  <c r="N95" i="4"/>
  <c r="N97" i="4"/>
  <c r="N99" i="4"/>
  <c r="N104" i="4"/>
  <c r="N112" i="4"/>
  <c r="N116" i="4"/>
  <c r="N120" i="4"/>
  <c r="N92" i="4"/>
  <c r="D7" i="363"/>
  <c r="I7" i="363"/>
  <c r="N10" i="544"/>
  <c r="N11" i="544"/>
  <c r="N7" i="363"/>
  <c r="G7" i="363"/>
  <c r="H7" i="363"/>
  <c r="M7" i="363"/>
  <c r="N12" i="544"/>
  <c r="N8" i="544"/>
  <c r="O7" i="363"/>
  <c r="K7" i="363"/>
  <c r="P7" i="363"/>
  <c r="F7" i="363"/>
  <c r="N9" i="544"/>
  <c r="N7" i="544"/>
  <c r="E7" i="363"/>
  <c r="N6" i="544"/>
  <c r="H45" i="671" l="1"/>
  <c r="H33" i="671"/>
  <c r="H30" i="671"/>
  <c r="H42" i="671"/>
  <c r="H5" i="670" a="1"/>
  <c r="H5" i="670" s="1"/>
  <c r="H13" i="670" s="1"/>
  <c r="H27" i="670" s="1"/>
  <c r="H5" i="668" a="1"/>
  <c r="H5" i="668" s="1"/>
  <c r="H13" i="668" s="1"/>
  <c r="H27" i="668" s="1"/>
  <c r="H5" i="676" a="1"/>
  <c r="H5" i="676" s="1"/>
  <c r="H13" i="676" s="1"/>
  <c r="H27" i="676" s="1"/>
  <c r="H5" i="673" a="1"/>
  <c r="H5" i="673" s="1"/>
  <c r="H13" i="673" s="1"/>
  <c r="H27" i="673" s="1"/>
  <c r="H5" i="675" a="1"/>
  <c r="H5" i="675" s="1"/>
  <c r="H13" i="675" s="1"/>
  <c r="H27" i="675" s="1"/>
  <c r="H5" i="677" a="1"/>
  <c r="H5" i="677" s="1"/>
  <c r="H13" i="677" s="1"/>
  <c r="H27" i="677" s="1"/>
  <c r="H5" i="669" a="1"/>
  <c r="H5" i="669" s="1"/>
  <c r="H13" i="669" s="1"/>
  <c r="H27" i="669" s="1"/>
  <c r="H5" i="667" a="1"/>
  <c r="H5" i="667" s="1"/>
  <c r="H13" i="667" s="1"/>
  <c r="H27" i="667" s="1"/>
  <c r="H5" i="674" a="1"/>
  <c r="H5" i="674" s="1"/>
  <c r="H13" i="674" s="1"/>
  <c r="H27" i="674" s="1"/>
  <c r="H5" i="672" a="1"/>
  <c r="H5" i="672" s="1"/>
  <c r="H13" i="672" s="1"/>
  <c r="H27" i="672" s="1"/>
  <c r="C8" i="21"/>
  <c r="C10" i="21" s="1"/>
  <c r="E10" i="21" s="1"/>
  <c r="B8" i="21"/>
  <c r="B11" i="21" s="1"/>
  <c r="D37" i="66"/>
  <c r="D38" i="66"/>
  <c r="R50" i="66"/>
  <c r="H53" i="66"/>
  <c r="L7" i="363"/>
  <c r="Q7" i="363"/>
  <c r="J7" i="363"/>
  <c r="C8" i="363"/>
  <c r="C9" i="363" s="1"/>
  <c r="N10" i="545"/>
  <c r="N12" i="545"/>
  <c r="N7" i="545"/>
  <c r="N8" i="545"/>
  <c r="N11" i="545"/>
  <c r="N6" i="545"/>
  <c r="N9" i="545"/>
  <c r="H5" i="66" a="1"/>
  <c r="H5" i="66" s="1"/>
  <c r="H13" i="66" s="1"/>
  <c r="H27" i="66" s="1"/>
  <c r="T10" i="544"/>
  <c r="H15" i="544"/>
  <c r="H16" i="544"/>
  <c r="H21" i="544"/>
  <c r="H19" i="544"/>
  <c r="H17" i="544"/>
  <c r="H18" i="544"/>
  <c r="H24" i="544"/>
  <c r="H22" i="544"/>
  <c r="H13" i="544"/>
  <c r="H23" i="544"/>
  <c r="H14" i="544"/>
  <c r="H20" i="544"/>
  <c r="Q9" i="544"/>
  <c r="Q7" i="544"/>
  <c r="P8" i="363"/>
  <c r="F8" i="363"/>
  <c r="O8" i="363"/>
  <c r="K9" i="363"/>
  <c r="P9" i="363"/>
  <c r="H7" i="544"/>
  <c r="H12" i="544"/>
  <c r="Q12" i="544"/>
  <c r="H11" i="544"/>
  <c r="E8" i="363"/>
  <c r="N8" i="363"/>
  <c r="F9" i="363"/>
  <c r="O9" i="363"/>
  <c r="E9" i="363"/>
  <c r="H9" i="544"/>
  <c r="H10" i="544"/>
  <c r="Q10" i="544"/>
  <c r="D8" i="363"/>
  <c r="I8" i="363"/>
  <c r="G8" i="363"/>
  <c r="N9" i="363"/>
  <c r="D9" i="363"/>
  <c r="I9" i="363"/>
  <c r="H8" i="544"/>
  <c r="Q8" i="544"/>
  <c r="Q6" i="544"/>
  <c r="H8" i="363"/>
  <c r="M8" i="363"/>
  <c r="K8" i="363"/>
  <c r="G9" i="363"/>
  <c r="H9" i="363"/>
  <c r="M9" i="363"/>
  <c r="H6" i="544"/>
  <c r="T10" i="545" l="1"/>
  <c r="H33" i="66"/>
  <c r="H45" i="66"/>
  <c r="H30" i="667"/>
  <c r="H33" i="667"/>
  <c r="H42" i="667"/>
  <c r="H45" i="667"/>
  <c r="H45" i="673"/>
  <c r="H33" i="673"/>
  <c r="H30" i="673"/>
  <c r="H42" i="673"/>
  <c r="H30" i="669"/>
  <c r="H45" i="669"/>
  <c r="H33" i="669"/>
  <c r="H42" i="669"/>
  <c r="H30" i="676"/>
  <c r="H45" i="676"/>
  <c r="H33" i="676"/>
  <c r="H42" i="676"/>
  <c r="H34" i="671"/>
  <c r="L3" i="671"/>
  <c r="H45" i="672"/>
  <c r="H33" i="672"/>
  <c r="H30" i="672"/>
  <c r="H42" i="672"/>
  <c r="H30" i="677"/>
  <c r="H45" i="677"/>
  <c r="H33" i="677"/>
  <c r="H42" i="677"/>
  <c r="H45" i="668"/>
  <c r="H33" i="668"/>
  <c r="H30" i="668"/>
  <c r="H42" i="668"/>
  <c r="H45" i="674"/>
  <c r="H33" i="674"/>
  <c r="H30" i="674"/>
  <c r="H42" i="674"/>
  <c r="H45" i="675"/>
  <c r="H33" i="675"/>
  <c r="H30" i="675"/>
  <c r="H42" i="675"/>
  <c r="H30" i="670"/>
  <c r="H42" i="670"/>
  <c r="H33" i="670"/>
  <c r="H45" i="670"/>
  <c r="C9" i="21"/>
  <c r="E9" i="21" s="1"/>
  <c r="E8" i="21"/>
  <c r="H15" i="545"/>
  <c r="H20" i="545"/>
  <c r="H14" i="545"/>
  <c r="H23" i="545"/>
  <c r="H13" i="545"/>
  <c r="H22" i="545"/>
  <c r="H24" i="545"/>
  <c r="H18" i="545"/>
  <c r="H17" i="545"/>
  <c r="H19" i="545"/>
  <c r="H21" i="545"/>
  <c r="H16" i="545"/>
  <c r="C11" i="21"/>
  <c r="Q7" i="545"/>
  <c r="Q10" i="545"/>
  <c r="Q12" i="545"/>
  <c r="Q9" i="545"/>
  <c r="Q8" i="545"/>
  <c r="Q6" i="545"/>
  <c r="H11" i="545"/>
  <c r="J9" i="363"/>
  <c r="L9" i="363"/>
  <c r="Q9" i="363"/>
  <c r="J8" i="363"/>
  <c r="Q8" i="363"/>
  <c r="L8" i="363"/>
  <c r="F21" i="20"/>
  <c r="L10" i="20" s="1"/>
  <c r="E12" i="21"/>
  <c r="E11" i="21"/>
  <c r="C10" i="363"/>
  <c r="H30" i="66"/>
  <c r="L3" i="66" s="1"/>
  <c r="H7" i="545"/>
  <c r="H42" i="66"/>
  <c r="H9" i="545"/>
  <c r="H10" i="545"/>
  <c r="H12" i="545"/>
  <c r="H6" i="545"/>
  <c r="H8" i="545"/>
  <c r="T8" i="544"/>
  <c r="T9" i="544"/>
  <c r="T11" i="544"/>
  <c r="T7" i="544"/>
  <c r="T6" i="544"/>
  <c r="T12" i="544"/>
  <c r="H9" i="20"/>
  <c r="R9" i="544"/>
  <c r="R8" i="544"/>
  <c r="F10" i="363"/>
  <c r="O10" i="363"/>
  <c r="E9" i="544"/>
  <c r="G10" i="363"/>
  <c r="F9" i="544"/>
  <c r="R12" i="544"/>
  <c r="K10" i="363"/>
  <c r="F7" i="544"/>
  <c r="R7" i="544"/>
  <c r="W8" i="544"/>
  <c r="E10" i="363"/>
  <c r="N10" i="363"/>
  <c r="D10" i="363"/>
  <c r="E7" i="544"/>
  <c r="H10" i="363"/>
  <c r="R10" i="544"/>
  <c r="R6" i="544"/>
  <c r="I10" i="363"/>
  <c r="Q11" i="544"/>
  <c r="M10" i="363"/>
  <c r="P10" i="363"/>
  <c r="T12" i="545" l="1"/>
  <c r="T6" i="545"/>
  <c r="T7" i="545"/>
  <c r="T11" i="545"/>
  <c r="T9" i="545"/>
  <c r="T8" i="545"/>
  <c r="H34" i="675"/>
  <c r="L3" i="675"/>
  <c r="H34" i="674"/>
  <c r="L3" i="674"/>
  <c r="H34" i="668"/>
  <c r="L3" i="668"/>
  <c r="H34" i="672"/>
  <c r="L3" i="672"/>
  <c r="H50" i="671"/>
  <c r="H48" i="671"/>
  <c r="H34" i="676"/>
  <c r="L3" i="676"/>
  <c r="H34" i="669"/>
  <c r="L3" i="669"/>
  <c r="H34" i="667"/>
  <c r="L3" i="667"/>
  <c r="H34" i="670"/>
  <c r="L3" i="670"/>
  <c r="H34" i="677"/>
  <c r="L3" i="677"/>
  <c r="H34" i="673"/>
  <c r="L3" i="673"/>
  <c r="H10" i="416"/>
  <c r="R8" i="545"/>
  <c r="R12" i="545"/>
  <c r="W8" i="545"/>
  <c r="R9" i="545"/>
  <c r="Q11" i="545"/>
  <c r="R10" i="545"/>
  <c r="R7" i="545"/>
  <c r="R6" i="545"/>
  <c r="J10" i="363"/>
  <c r="Q10" i="363"/>
  <c r="L10" i="363"/>
  <c r="H34" i="66"/>
  <c r="C11" i="363"/>
  <c r="L11" i="20"/>
  <c r="M10" i="20"/>
  <c r="L9" i="20"/>
  <c r="H38" i="66"/>
  <c r="F7" i="545"/>
  <c r="F9" i="545"/>
  <c r="E7" i="545"/>
  <c r="E9" i="545"/>
  <c r="E15" i="544"/>
  <c r="F15" i="544"/>
  <c r="E24" i="544"/>
  <c r="E19" i="544"/>
  <c r="F20" i="544"/>
  <c r="F22" i="544"/>
  <c r="F23" i="544"/>
  <c r="E16" i="544"/>
  <c r="F17" i="544"/>
  <c r="F13" i="544"/>
  <c r="E14" i="544"/>
  <c r="F18" i="544"/>
  <c r="F14" i="544"/>
  <c r="F24" i="544"/>
  <c r="E20" i="544"/>
  <c r="F21" i="544"/>
  <c r="E18" i="544"/>
  <c r="F16" i="544"/>
  <c r="F19" i="544"/>
  <c r="E13" i="544"/>
  <c r="E23" i="544"/>
  <c r="E22" i="544"/>
  <c r="E21" i="544"/>
  <c r="E17" i="544"/>
  <c r="R11" i="544"/>
  <c r="O11" i="363"/>
  <c r="W9" i="544"/>
  <c r="W10" i="544"/>
  <c r="E11" i="544"/>
  <c r="E11" i="363"/>
  <c r="N11" i="363"/>
  <c r="E6" i="544"/>
  <c r="F8" i="544"/>
  <c r="W12" i="544"/>
  <c r="W7" i="544"/>
  <c r="D11" i="363"/>
  <c r="I11" i="363"/>
  <c r="G11" i="363"/>
  <c r="F12" i="544"/>
  <c r="E8" i="544"/>
  <c r="W6" i="544"/>
  <c r="H11" i="363"/>
  <c r="M11" i="363"/>
  <c r="K11" i="363"/>
  <c r="F10" i="544"/>
  <c r="F6" i="544"/>
  <c r="F11" i="544"/>
  <c r="P11" i="363"/>
  <c r="F11" i="363"/>
  <c r="E10" i="544"/>
  <c r="E12" i="544"/>
  <c r="H50" i="670" l="1"/>
  <c r="H48" i="670"/>
  <c r="H48" i="673"/>
  <c r="H50" i="673"/>
  <c r="H50" i="669"/>
  <c r="H48" i="669"/>
  <c r="H50" i="668"/>
  <c r="H48" i="668"/>
  <c r="H50" i="675"/>
  <c r="H48" i="675"/>
  <c r="H48" i="677"/>
  <c r="H50" i="677"/>
  <c r="H48" i="667"/>
  <c r="H50" i="667"/>
  <c r="H48" i="676"/>
  <c r="H50" i="676"/>
  <c r="H48" i="672"/>
  <c r="H50" i="672"/>
  <c r="H48" i="674"/>
  <c r="H50" i="674"/>
  <c r="M9" i="20"/>
  <c r="N9" i="20"/>
  <c r="M11" i="20"/>
  <c r="N11" i="20"/>
  <c r="G21" i="20"/>
  <c r="H21" i="20" s="1"/>
  <c r="H23" i="20" s="1"/>
  <c r="H22" i="20" s="1"/>
  <c r="F15" i="545"/>
  <c r="E15" i="545"/>
  <c r="E17" i="545"/>
  <c r="E21" i="545"/>
  <c r="E22" i="545"/>
  <c r="E23" i="545"/>
  <c r="E13" i="545"/>
  <c r="F19" i="545"/>
  <c r="F16" i="545"/>
  <c r="E18" i="545"/>
  <c r="F21" i="545"/>
  <c r="E20" i="545"/>
  <c r="F24" i="545"/>
  <c r="F14" i="545"/>
  <c r="F18" i="545"/>
  <c r="E14" i="545"/>
  <c r="F13" i="545"/>
  <c r="F17" i="545"/>
  <c r="E16" i="545"/>
  <c r="F23" i="545"/>
  <c r="F22" i="545"/>
  <c r="F20" i="545"/>
  <c r="E19" i="545"/>
  <c r="E24" i="545"/>
  <c r="W7" i="545"/>
  <c r="W10" i="545"/>
  <c r="R11" i="545"/>
  <c r="W12" i="545"/>
  <c r="W9" i="545"/>
  <c r="W6" i="545"/>
  <c r="H50" i="66"/>
  <c r="E6" i="545"/>
  <c r="E11" i="545"/>
  <c r="F11" i="545"/>
  <c r="H48" i="66"/>
  <c r="J11" i="363"/>
  <c r="Q11" i="363"/>
  <c r="L11" i="363"/>
  <c r="C12" i="363"/>
  <c r="E12" i="545"/>
  <c r="F6" i="545"/>
  <c r="E8" i="545"/>
  <c r="F8" i="545"/>
  <c r="E10" i="545"/>
  <c r="F10" i="545"/>
  <c r="F12" i="545"/>
  <c r="AC8" i="544"/>
  <c r="AC10" i="544"/>
  <c r="AC9" i="544"/>
  <c r="D12" i="363"/>
  <c r="I12" i="363"/>
  <c r="R7" i="363"/>
  <c r="P12" i="363"/>
  <c r="AC6" i="544"/>
  <c r="N12" i="363"/>
  <c r="W11" i="544"/>
  <c r="G12" i="363"/>
  <c r="H12" i="363"/>
  <c r="M12" i="363"/>
  <c r="R9" i="363"/>
  <c r="AC7" i="544"/>
  <c r="F12" i="363"/>
  <c r="AC12" i="544"/>
  <c r="E12" i="363"/>
  <c r="K12" i="363"/>
  <c r="O12" i="363"/>
  <c r="V4" i="363" l="1"/>
  <c r="V21" i="363" s="1"/>
  <c r="W21" i="363" s="1"/>
  <c r="AC8" i="545"/>
  <c r="AC9" i="545"/>
  <c r="AC12" i="545"/>
  <c r="AC7" i="545"/>
  <c r="W11" i="545"/>
  <c r="AC10" i="545"/>
  <c r="AC6" i="545"/>
  <c r="L12" i="363"/>
  <c r="Q12" i="363"/>
  <c r="J12" i="363"/>
  <c r="V49" i="363"/>
  <c r="W49" i="363" s="1"/>
  <c r="V36" i="363"/>
  <c r="W36" i="363" s="1"/>
  <c r="V32" i="363"/>
  <c r="W32" i="363" s="1"/>
  <c r="V41" i="363"/>
  <c r="W41" i="363" s="1"/>
  <c r="V16" i="363"/>
  <c r="W16" i="363" s="1"/>
  <c r="V46" i="363"/>
  <c r="W46" i="363" s="1"/>
  <c r="V8" i="363"/>
  <c r="W8" i="363" s="1"/>
  <c r="C13" i="363"/>
  <c r="I28" i="416"/>
  <c r="N13" i="363"/>
  <c r="O13" i="363"/>
  <c r="E13" i="363"/>
  <c r="R8" i="363"/>
  <c r="AC11" i="544"/>
  <c r="R13" i="363"/>
  <c r="D13" i="363"/>
  <c r="I13" i="363"/>
  <c r="R10" i="363"/>
  <c r="K13" i="363"/>
  <c r="R6" i="363"/>
  <c r="P13" i="363"/>
  <c r="R11" i="363"/>
  <c r="G13" i="363"/>
  <c r="H13" i="363"/>
  <c r="M13" i="363"/>
  <c r="R12" i="363"/>
  <c r="F13" i="363"/>
  <c r="V24" i="363" l="1"/>
  <c r="W24" i="363" s="1"/>
  <c r="V48" i="363"/>
  <c r="W48" i="363" s="1"/>
  <c r="V43" i="363"/>
  <c r="W43" i="363" s="1"/>
  <c r="V6" i="363"/>
  <c r="W6" i="363" s="1"/>
  <c r="V35" i="363"/>
  <c r="W35" i="363" s="1"/>
  <c r="V13" i="363"/>
  <c r="W13" i="363" s="1"/>
  <c r="V47" i="363"/>
  <c r="W47" i="363" s="1"/>
  <c r="V33" i="363"/>
  <c r="W33" i="363" s="1"/>
  <c r="V9" i="363"/>
  <c r="W9" i="363" s="1"/>
  <c r="V34" i="363"/>
  <c r="W34" i="363" s="1"/>
  <c r="V19" i="363"/>
  <c r="W19" i="363" s="1"/>
  <c r="V40" i="363"/>
  <c r="W40" i="363" s="1"/>
  <c r="V44" i="363"/>
  <c r="W44" i="363" s="1"/>
  <c r="V38" i="363"/>
  <c r="W38" i="363" s="1"/>
  <c r="V10" i="363"/>
  <c r="W10" i="363" s="1"/>
  <c r="V20" i="363"/>
  <c r="W20" i="363" s="1"/>
  <c r="V18" i="363"/>
  <c r="W18" i="363" s="1"/>
  <c r="V7" i="363"/>
  <c r="W7" i="363" s="1"/>
  <c r="V29" i="363"/>
  <c r="W29" i="363" s="1"/>
  <c r="V12" i="363"/>
  <c r="W12" i="363" s="1"/>
  <c r="V22" i="363"/>
  <c r="W22" i="363" s="1"/>
  <c r="V37" i="363"/>
  <c r="W37" i="363" s="1"/>
  <c r="V39" i="363"/>
  <c r="W39" i="363" s="1"/>
  <c r="V50" i="363"/>
  <c r="W50" i="363" s="1"/>
  <c r="V30" i="363"/>
  <c r="W30" i="363" s="1"/>
  <c r="V31" i="363"/>
  <c r="W31" i="363" s="1"/>
  <c r="V45" i="363"/>
  <c r="W45" i="363" s="1"/>
  <c r="V15" i="363"/>
  <c r="W15" i="363" s="1"/>
  <c r="V42" i="363"/>
  <c r="W42" i="363" s="1"/>
  <c r="V11" i="363"/>
  <c r="W11" i="363" s="1"/>
  <c r="V17" i="363"/>
  <c r="W17" i="363" s="1"/>
  <c r="V14" i="363"/>
  <c r="W14" i="363" s="1"/>
  <c r="V25" i="363"/>
  <c r="W25" i="363" s="1"/>
  <c r="V28" i="363"/>
  <c r="W28" i="363" s="1"/>
  <c r="V26" i="363"/>
  <c r="W26" i="363" s="1"/>
  <c r="V27" i="363"/>
  <c r="W27" i="363" s="1"/>
  <c r="V23" i="363"/>
  <c r="W23" i="363" s="1"/>
  <c r="AC11" i="545"/>
  <c r="J13" i="363"/>
  <c r="Q13" i="363"/>
  <c r="L13" i="363"/>
  <c r="C14" i="363"/>
  <c r="F14" i="20"/>
  <c r="H14" i="20" s="1"/>
  <c r="AA7" i="363"/>
  <c r="AA8" i="363" s="1"/>
  <c r="F3" i="20"/>
  <c r="H3" i="20" s="1"/>
  <c r="F12" i="20" s="1"/>
  <c r="E14" i="363"/>
  <c r="N14" i="363"/>
  <c r="O14" i="363"/>
  <c r="I14" i="363"/>
  <c r="R14" i="363"/>
  <c r="D14" i="363"/>
  <c r="K14" i="363"/>
  <c r="M14" i="363"/>
  <c r="G14" i="363"/>
  <c r="H14" i="363"/>
  <c r="F14" i="363"/>
  <c r="P14" i="363"/>
  <c r="H6" i="20" l="1"/>
  <c r="H12" i="20"/>
  <c r="J14" i="363"/>
  <c r="L14" i="363"/>
  <c r="Q14" i="363"/>
  <c r="C15" i="363"/>
  <c r="H4" i="416"/>
  <c r="H11" i="416" s="1"/>
  <c r="H5" i="20"/>
  <c r="H7" i="20"/>
  <c r="E15" i="363"/>
  <c r="N15" i="363"/>
  <c r="O15" i="363"/>
  <c r="D15" i="363"/>
  <c r="R15" i="363"/>
  <c r="H15" i="363"/>
  <c r="M15" i="363"/>
  <c r="G15" i="363"/>
  <c r="I15" i="363"/>
  <c r="K15" i="363"/>
  <c r="P15" i="363"/>
  <c r="F15" i="363"/>
  <c r="J15" i="363" l="1"/>
  <c r="Q15" i="363"/>
  <c r="L15" i="363"/>
  <c r="C16" i="363"/>
  <c r="S4" i="363"/>
  <c r="S15" i="363" s="1"/>
  <c r="T15" i="363" s="1"/>
  <c r="H8" i="20"/>
  <c r="H10" i="20" s="1"/>
  <c r="H15" i="20" s="1"/>
  <c r="H16" i="20" s="1"/>
  <c r="H18" i="20" s="1"/>
  <c r="O16" i="363"/>
  <c r="E16" i="363"/>
  <c r="N16" i="363"/>
  <c r="D16" i="363"/>
  <c r="I16" i="363"/>
  <c r="R16" i="363"/>
  <c r="G16" i="363"/>
  <c r="H16" i="363"/>
  <c r="M16" i="363"/>
  <c r="K16" i="363"/>
  <c r="P16" i="363"/>
  <c r="F16" i="363"/>
  <c r="S13" i="363" l="1"/>
  <c r="T13" i="363" s="1"/>
  <c r="S8" i="363"/>
  <c r="T8" i="363" s="1"/>
  <c r="S9" i="363"/>
  <c r="T9" i="363" s="1"/>
  <c r="S6" i="363"/>
  <c r="T6" i="363" s="1"/>
  <c r="S11" i="363"/>
  <c r="T11" i="363" s="1"/>
  <c r="S12" i="363"/>
  <c r="T12" i="363" s="1"/>
  <c r="S7" i="363"/>
  <c r="T7" i="363" s="1"/>
  <c r="S10" i="363"/>
  <c r="T10" i="363" s="1"/>
  <c r="S14" i="363"/>
  <c r="T14" i="363" s="1"/>
  <c r="Q16" i="363"/>
  <c r="L16" i="363"/>
  <c r="J16" i="363"/>
  <c r="C17" i="363"/>
  <c r="S16" i="363"/>
  <c r="T16" i="363" s="1"/>
  <c r="H17" i="20"/>
  <c r="H26" i="20"/>
  <c r="H28" i="20" s="1"/>
  <c r="F17" i="363"/>
  <c r="K17" i="363"/>
  <c r="P17" i="363"/>
  <c r="N17" i="363"/>
  <c r="O17" i="363"/>
  <c r="E17" i="363"/>
  <c r="H17" i="363"/>
  <c r="R17" i="363"/>
  <c r="D17" i="363"/>
  <c r="I17" i="363"/>
  <c r="G17" i="363"/>
  <c r="M17" i="363"/>
  <c r="L4" i="20" l="1"/>
  <c r="L3" i="20" s="1"/>
  <c r="M3" i="20" s="1"/>
  <c r="H35" i="20"/>
  <c r="J17" i="363"/>
  <c r="S17" i="363"/>
  <c r="T17" i="363" s="1"/>
  <c r="Q17" i="363"/>
  <c r="L17" i="363"/>
  <c r="C18" i="363"/>
  <c r="E18" i="363"/>
  <c r="N18" i="363"/>
  <c r="O18" i="363"/>
  <c r="I18" i="363"/>
  <c r="R18" i="363"/>
  <c r="F18" i="363"/>
  <c r="P18" i="363"/>
  <c r="N36" i="544"/>
  <c r="P36" i="544"/>
  <c r="D18" i="363"/>
  <c r="K18" i="363"/>
  <c r="I36" i="544"/>
  <c r="M18" i="363"/>
  <c r="G18" i="363"/>
  <c r="H18" i="363"/>
  <c r="O36" i="544"/>
  <c r="L2" i="20" l="1"/>
  <c r="M2" i="20" s="1"/>
  <c r="M4" i="20"/>
  <c r="J18" i="363"/>
  <c r="S18" i="363"/>
  <c r="T18" i="363" s="1"/>
  <c r="L18" i="363"/>
  <c r="Q18" i="363"/>
  <c r="C19" i="363"/>
  <c r="L36" i="544"/>
  <c r="F36" i="544"/>
  <c r="P19" i="363"/>
  <c r="F19" i="363"/>
  <c r="K19" i="363"/>
  <c r="E19" i="363"/>
  <c r="N19" i="363"/>
  <c r="O19" i="363"/>
  <c r="N32" i="544"/>
  <c r="P32" i="544"/>
  <c r="F32" i="544"/>
  <c r="M36" i="544"/>
  <c r="K36" i="544"/>
  <c r="I32" i="544"/>
  <c r="G36" i="544"/>
  <c r="E36" i="544"/>
  <c r="D19" i="363"/>
  <c r="I19" i="363"/>
  <c r="R19" i="363"/>
  <c r="H36" i="544"/>
  <c r="J36" i="544"/>
  <c r="H19" i="363"/>
  <c r="M19" i="363"/>
  <c r="G19" i="363"/>
  <c r="K32" i="544"/>
  <c r="H32" i="544"/>
  <c r="G32" i="544"/>
  <c r="J19" i="363" l="1"/>
  <c r="S19" i="363"/>
  <c r="T19" i="363" s="1"/>
  <c r="L19" i="363"/>
  <c r="Q19" i="363"/>
  <c r="C20" i="363"/>
  <c r="E32" i="544"/>
  <c r="M32" i="544"/>
  <c r="K20" i="363"/>
  <c r="P20" i="363"/>
  <c r="F28" i="544"/>
  <c r="N20" i="363"/>
  <c r="L28" i="544"/>
  <c r="J32" i="544"/>
  <c r="O32" i="544"/>
  <c r="D20" i="363"/>
  <c r="I20" i="363"/>
  <c r="R20" i="363"/>
  <c r="N28" i="544"/>
  <c r="I28" i="544"/>
  <c r="P28" i="544"/>
  <c r="L32" i="544"/>
  <c r="G20" i="363"/>
  <c r="H20" i="363"/>
  <c r="M20" i="363"/>
  <c r="O28" i="544"/>
  <c r="J28" i="544"/>
  <c r="E28" i="544"/>
  <c r="F20" i="363"/>
  <c r="K28" i="544"/>
  <c r="H28" i="544"/>
  <c r="O20" i="363"/>
  <c r="E20" i="363"/>
  <c r="G28" i="544"/>
  <c r="M28" i="544"/>
  <c r="S20" i="363" l="1"/>
  <c r="T20" i="363" s="1"/>
  <c r="Q20" i="363"/>
  <c r="L20" i="363"/>
  <c r="J20" i="363"/>
  <c r="C21" i="363"/>
  <c r="R21" i="363"/>
  <c r="D21" i="363"/>
  <c r="I21" i="363"/>
  <c r="H35" i="544"/>
  <c r="N35" i="544"/>
  <c r="I35" i="544"/>
  <c r="O26" i="544"/>
  <c r="J26" i="544"/>
  <c r="E30" i="544"/>
  <c r="O30" i="544"/>
  <c r="J30" i="544"/>
  <c r="H27" i="544"/>
  <c r="N27" i="544"/>
  <c r="I27" i="544"/>
  <c r="F25" i="544"/>
  <c r="P25" i="544"/>
  <c r="K25" i="544"/>
  <c r="F33" i="544"/>
  <c r="P33" i="544"/>
  <c r="K33" i="544"/>
  <c r="E34" i="544"/>
  <c r="O34" i="544"/>
  <c r="J34" i="544"/>
  <c r="H31" i="544"/>
  <c r="N31" i="544"/>
  <c r="O33" i="544"/>
  <c r="K34" i="544"/>
  <c r="O31" i="544"/>
  <c r="M31" i="544"/>
  <c r="G21" i="363"/>
  <c r="H21" i="363"/>
  <c r="M21" i="363"/>
  <c r="O35" i="544"/>
  <c r="J35" i="544"/>
  <c r="M35" i="544"/>
  <c r="P26" i="544"/>
  <c r="K26" i="544"/>
  <c r="N26" i="544"/>
  <c r="M29" i="544"/>
  <c r="L29" i="544"/>
  <c r="O29" i="544"/>
  <c r="P30" i="544"/>
  <c r="K30" i="544"/>
  <c r="N30" i="544"/>
  <c r="O27" i="544"/>
  <c r="J27" i="544"/>
  <c r="M27" i="544"/>
  <c r="M25" i="544"/>
  <c r="L25" i="544"/>
  <c r="O25" i="544"/>
  <c r="M33" i="544"/>
  <c r="F21" i="363"/>
  <c r="K21" i="363"/>
  <c r="P21" i="363"/>
  <c r="M30" i="544"/>
  <c r="L30" i="544"/>
  <c r="G30" i="544"/>
  <c r="P27" i="544"/>
  <c r="K27" i="544"/>
  <c r="F27" i="544"/>
  <c r="M34" i="544"/>
  <c r="L34" i="544"/>
  <c r="G34" i="544"/>
  <c r="P31" i="544"/>
  <c r="K31" i="544"/>
  <c r="F31" i="544"/>
  <c r="N21" i="363"/>
  <c r="O21" i="363"/>
  <c r="E21" i="363"/>
  <c r="L35" i="544"/>
  <c r="G35" i="544"/>
  <c r="E35" i="544"/>
  <c r="I26" i="544"/>
  <c r="H26" i="544"/>
  <c r="F26" i="544"/>
  <c r="J29" i="544"/>
  <c r="E29" i="544"/>
  <c r="G29" i="544"/>
  <c r="I30" i="544"/>
  <c r="H30" i="544"/>
  <c r="F30" i="544"/>
  <c r="L27" i="544"/>
  <c r="G27" i="544"/>
  <c r="E27" i="544"/>
  <c r="J25" i="544"/>
  <c r="E25" i="544"/>
  <c r="G25" i="544"/>
  <c r="J33" i="544"/>
  <c r="E33" i="544"/>
  <c r="G33" i="544"/>
  <c r="I34" i="544"/>
  <c r="H34" i="544"/>
  <c r="F34" i="544"/>
  <c r="L31" i="544"/>
  <c r="G31" i="544"/>
  <c r="E31" i="544"/>
  <c r="I31" i="544"/>
  <c r="L33" i="544"/>
  <c r="P34" i="544"/>
  <c r="N34" i="544"/>
  <c r="J31" i="544"/>
  <c r="P35" i="544"/>
  <c r="N25" i="544"/>
  <c r="N33" i="544"/>
  <c r="E26" i="544"/>
  <c r="F29" i="544"/>
  <c r="J21" i="363" l="1"/>
  <c r="S21" i="363"/>
  <c r="T21" i="363" s="1"/>
  <c r="Q21" i="363"/>
  <c r="L21" i="363"/>
  <c r="C22" i="363"/>
  <c r="H33" i="544"/>
  <c r="H29" i="544"/>
  <c r="L26" i="544"/>
  <c r="K29" i="544"/>
  <c r="I22" i="363"/>
  <c r="R22" i="363"/>
  <c r="D22" i="363"/>
  <c r="N22" i="363"/>
  <c r="I33" i="544"/>
  <c r="I29" i="544"/>
  <c r="M26" i="544"/>
  <c r="P29" i="544"/>
  <c r="M22" i="363"/>
  <c r="G22" i="363"/>
  <c r="H22" i="363"/>
  <c r="E22" i="363"/>
  <c r="O22" i="363"/>
  <c r="H25" i="544"/>
  <c r="N29" i="544"/>
  <c r="F35" i="544"/>
  <c r="F22" i="363"/>
  <c r="K22" i="363"/>
  <c r="P22" i="363"/>
  <c r="I25" i="544"/>
  <c r="G26" i="544"/>
  <c r="K35" i="544"/>
  <c r="J22" i="363" l="1"/>
  <c r="S22" i="363"/>
  <c r="T22" i="363" s="1"/>
  <c r="L22" i="363"/>
  <c r="Q22" i="363"/>
  <c r="C23" i="363"/>
  <c r="E23" i="363"/>
  <c r="N23" i="363"/>
  <c r="O23" i="363"/>
  <c r="D23" i="363"/>
  <c r="I23" i="363"/>
  <c r="R23" i="363"/>
  <c r="H23" i="363"/>
  <c r="M23" i="363"/>
  <c r="P23" i="363"/>
  <c r="F23" i="363"/>
  <c r="G23" i="363"/>
  <c r="K23" i="363"/>
  <c r="J23" i="363" l="1"/>
  <c r="S23" i="363"/>
  <c r="T23" i="363" s="1"/>
  <c r="Q23" i="363"/>
  <c r="L23" i="363"/>
  <c r="C24" i="363"/>
  <c r="K24" i="363"/>
  <c r="P24" i="363"/>
  <c r="F24" i="363"/>
  <c r="O24" i="363"/>
  <c r="E24" i="363"/>
  <c r="N24" i="363"/>
  <c r="D24" i="363"/>
  <c r="I24" i="363"/>
  <c r="R24" i="363"/>
  <c r="G24" i="363"/>
  <c r="H24" i="363"/>
  <c r="M24" i="363"/>
  <c r="S24" i="363" l="1"/>
  <c r="T24" i="363" s="1"/>
  <c r="Q24" i="363"/>
  <c r="L24" i="363"/>
  <c r="J24" i="363"/>
  <c r="C25" i="363"/>
  <c r="F25" i="363"/>
  <c r="K25" i="363"/>
  <c r="P25" i="363"/>
  <c r="O25" i="363"/>
  <c r="E25" i="363"/>
  <c r="N25" i="363"/>
  <c r="R25" i="363"/>
  <c r="D25" i="363"/>
  <c r="I25" i="363"/>
  <c r="G25" i="363"/>
  <c r="H25" i="363"/>
  <c r="M25" i="363"/>
  <c r="J25" i="363" l="1"/>
  <c r="S25" i="363"/>
  <c r="T25" i="363" s="1"/>
  <c r="L25" i="363"/>
  <c r="Q25" i="363"/>
  <c r="C26" i="363"/>
  <c r="F26" i="363"/>
  <c r="K26" i="363"/>
  <c r="N26" i="363"/>
  <c r="I26" i="363"/>
  <c r="R26" i="363"/>
  <c r="D26" i="363"/>
  <c r="M26" i="363"/>
  <c r="G26" i="363"/>
  <c r="H26" i="363"/>
  <c r="P26" i="363"/>
  <c r="E26" i="363"/>
  <c r="O26" i="363"/>
  <c r="J26" i="363" l="1"/>
  <c r="S26" i="363"/>
  <c r="T26" i="363" s="1"/>
  <c r="Q26" i="363"/>
  <c r="L26" i="363"/>
  <c r="C27" i="363"/>
  <c r="E27" i="363"/>
  <c r="N27" i="363"/>
  <c r="O27" i="363"/>
  <c r="D27" i="363"/>
  <c r="I27" i="363"/>
  <c r="R27" i="363"/>
  <c r="F27" i="363"/>
  <c r="K27" i="363"/>
  <c r="H27" i="363"/>
  <c r="M27" i="363"/>
  <c r="G27" i="363"/>
  <c r="P27" i="363"/>
  <c r="J27" i="363" l="1"/>
  <c r="S27" i="363"/>
  <c r="T27" i="363" s="1"/>
  <c r="Q27" i="363"/>
  <c r="L27" i="363"/>
  <c r="C28" i="363"/>
  <c r="K28" i="363"/>
  <c r="P28" i="363"/>
  <c r="F28" i="363"/>
  <c r="O28" i="363"/>
  <c r="E28" i="363"/>
  <c r="N28" i="363"/>
  <c r="D28" i="363"/>
  <c r="I28" i="363"/>
  <c r="R28" i="363"/>
  <c r="G28" i="363"/>
  <c r="H28" i="363"/>
  <c r="M28" i="363"/>
  <c r="S28" i="363" l="1"/>
  <c r="T28" i="363" s="1"/>
  <c r="Q28" i="363"/>
  <c r="L28" i="363"/>
  <c r="J28" i="363"/>
  <c r="C29" i="363"/>
  <c r="F29" i="363"/>
  <c r="K29" i="363"/>
  <c r="P29" i="363"/>
  <c r="R29" i="363"/>
  <c r="D29" i="363"/>
  <c r="I29" i="363"/>
  <c r="H29" i="363"/>
  <c r="M29" i="363"/>
  <c r="N29" i="363"/>
  <c r="O29" i="363"/>
  <c r="E29" i="363"/>
  <c r="G29" i="363"/>
  <c r="J29" i="363" l="1"/>
  <c r="S29" i="363"/>
  <c r="T29" i="363" s="1"/>
  <c r="Q29" i="363"/>
  <c r="L29" i="363"/>
  <c r="C30" i="363"/>
  <c r="F30" i="363"/>
  <c r="K30" i="363"/>
  <c r="P30" i="363"/>
  <c r="E30" i="363"/>
  <c r="N30" i="363"/>
  <c r="O30" i="363"/>
  <c r="I30" i="363"/>
  <c r="R30" i="363"/>
  <c r="D30" i="363"/>
  <c r="M30" i="363"/>
  <c r="G30" i="363"/>
  <c r="H30" i="363"/>
  <c r="J30" i="363" l="1"/>
  <c r="S30" i="363"/>
  <c r="T30" i="363" s="1"/>
  <c r="L30" i="363"/>
  <c r="Q30" i="363"/>
  <c r="C31" i="363"/>
  <c r="E31" i="363"/>
  <c r="N31" i="363"/>
  <c r="I31" i="363"/>
  <c r="D31" i="363"/>
  <c r="H31" i="363"/>
  <c r="M31" i="363"/>
  <c r="G31" i="363"/>
  <c r="P31" i="363"/>
  <c r="F31" i="363"/>
  <c r="K31" i="363"/>
  <c r="O31" i="363"/>
  <c r="R31" i="363"/>
  <c r="J31" i="363" l="1"/>
  <c r="S31" i="363"/>
  <c r="T31" i="363" s="1"/>
  <c r="Q31" i="363"/>
  <c r="L31" i="363"/>
  <c r="C32" i="363"/>
  <c r="M32" i="363"/>
  <c r="K32" i="363"/>
  <c r="P32" i="363"/>
  <c r="F32" i="363"/>
  <c r="O32" i="363"/>
  <c r="E32" i="363"/>
  <c r="N32" i="363"/>
  <c r="D32" i="363"/>
  <c r="I32" i="363"/>
  <c r="R32" i="363"/>
  <c r="G32" i="363"/>
  <c r="H32" i="363"/>
  <c r="S32" i="363" l="1"/>
  <c r="T32" i="363" s="1"/>
  <c r="L32" i="363"/>
  <c r="Q32" i="363"/>
  <c r="J32" i="363"/>
  <c r="C33" i="363"/>
  <c r="F33" i="363"/>
  <c r="O33" i="363"/>
  <c r="E33" i="363"/>
  <c r="G33" i="363"/>
  <c r="H33" i="363"/>
  <c r="K33" i="363"/>
  <c r="P33" i="363"/>
  <c r="N33" i="363"/>
  <c r="D33" i="363"/>
  <c r="I33" i="363"/>
  <c r="M33" i="363"/>
  <c r="R33" i="363"/>
  <c r="S33" i="363" l="1"/>
  <c r="T33" i="363" s="1"/>
  <c r="J33" i="363"/>
  <c r="Q33" i="363"/>
  <c r="L33" i="363"/>
  <c r="C34" i="363"/>
  <c r="G34" i="363"/>
  <c r="D34" i="363"/>
  <c r="P34" i="363"/>
  <c r="K34" i="363"/>
  <c r="R34" i="363"/>
  <c r="O34" i="363"/>
  <c r="E34" i="363"/>
  <c r="H34" i="363"/>
  <c r="F34" i="363"/>
  <c r="I34" i="363"/>
  <c r="N34" i="363"/>
  <c r="M34" i="363"/>
  <c r="J34" i="363" l="1"/>
  <c r="Q34" i="363"/>
  <c r="L34" i="363"/>
  <c r="S34" i="363"/>
  <c r="T34" i="363" s="1"/>
  <c r="C35" i="363"/>
  <c r="M35" i="363"/>
  <c r="F35" i="363"/>
  <c r="R35" i="363"/>
  <c r="O35" i="363"/>
  <c r="I35" i="363"/>
  <c r="G35" i="363"/>
  <c r="N35" i="363"/>
  <c r="H35" i="363"/>
  <c r="E35" i="363"/>
  <c r="P35" i="363"/>
  <c r="K35" i="363"/>
  <c r="D35" i="363"/>
  <c r="L35" i="363" l="1"/>
  <c r="Q35" i="363"/>
  <c r="S35" i="363"/>
  <c r="T35" i="363" s="1"/>
  <c r="J35" i="363"/>
  <c r="C36" i="363"/>
  <c r="H36" i="363"/>
  <c r="I36" i="363"/>
  <c r="O36" i="363"/>
  <c r="E36" i="363"/>
  <c r="M36" i="363"/>
  <c r="P36" i="363"/>
  <c r="R36" i="363"/>
  <c r="G36" i="363"/>
  <c r="K36" i="363"/>
  <c r="N36" i="363"/>
  <c r="D36" i="363"/>
  <c r="F36" i="363"/>
  <c r="J36" i="363" l="1"/>
  <c r="Q36" i="363"/>
  <c r="L36" i="363"/>
  <c r="S36" i="363"/>
  <c r="T36" i="363" s="1"/>
  <c r="C37" i="363"/>
  <c r="I37" i="363"/>
  <c r="P37" i="363"/>
  <c r="F37" i="363"/>
  <c r="O37" i="363"/>
  <c r="G37" i="363"/>
  <c r="N37" i="363"/>
  <c r="E37" i="363"/>
  <c r="H37" i="363"/>
  <c r="R37" i="363"/>
  <c r="D37" i="363"/>
  <c r="K37" i="363"/>
  <c r="M37" i="363"/>
  <c r="S37" i="363" l="1"/>
  <c r="T37" i="363" s="1"/>
  <c r="L37" i="363"/>
  <c r="Q37" i="363"/>
  <c r="J37" i="363"/>
  <c r="C38" i="363"/>
  <c r="G38" i="363"/>
  <c r="H38" i="363"/>
  <c r="F38" i="363"/>
  <c r="R38" i="363"/>
  <c r="N38" i="363"/>
  <c r="K38" i="363"/>
  <c r="E38" i="363"/>
  <c r="D38" i="363"/>
  <c r="P38" i="363"/>
  <c r="O38" i="363"/>
  <c r="M38" i="363"/>
  <c r="I38" i="363"/>
  <c r="S38" i="363" l="1"/>
  <c r="T38" i="363" s="1"/>
  <c r="J38" i="363"/>
  <c r="Q38" i="363"/>
  <c r="L38" i="363"/>
  <c r="C39" i="363"/>
  <c r="G39" i="363"/>
  <c r="N39" i="363"/>
  <c r="K39" i="363"/>
  <c r="M39" i="363"/>
  <c r="E39" i="363"/>
  <c r="D39" i="363"/>
  <c r="R39" i="363"/>
  <c r="O39" i="363"/>
  <c r="H39" i="363"/>
  <c r="I39" i="363"/>
  <c r="F39" i="363"/>
  <c r="P39" i="363"/>
  <c r="J39" i="363" l="1"/>
  <c r="L39" i="363"/>
  <c r="Q39" i="363"/>
  <c r="S39" i="363"/>
  <c r="T39" i="363" s="1"/>
  <c r="C40" i="363"/>
  <c r="F40" i="363"/>
  <c r="D40" i="363"/>
  <c r="P40" i="363"/>
  <c r="O40" i="363"/>
  <c r="H40" i="363"/>
  <c r="I40" i="363"/>
  <c r="G40" i="363"/>
  <c r="M40" i="363"/>
  <c r="N40" i="363"/>
  <c r="K40" i="363"/>
  <c r="R40" i="363"/>
  <c r="E40" i="363"/>
  <c r="J40" i="363" l="1"/>
  <c r="Q40" i="363"/>
  <c r="L40" i="363"/>
  <c r="S40" i="363"/>
  <c r="T40" i="363" s="1"/>
  <c r="C41" i="363"/>
  <c r="G41" i="363"/>
  <c r="I41" i="363"/>
  <c r="R41" i="363"/>
  <c r="P41" i="363"/>
  <c r="D41" i="363"/>
  <c r="E41" i="363"/>
  <c r="H41" i="363"/>
  <c r="O41" i="363"/>
  <c r="K41" i="363"/>
  <c r="M41" i="363"/>
  <c r="F41" i="363"/>
  <c r="N41" i="363"/>
  <c r="S41" i="363" l="1"/>
  <c r="T41" i="363" s="1"/>
  <c r="Q41" i="363"/>
  <c r="L41" i="363"/>
  <c r="J41" i="363"/>
  <c r="C42" i="363"/>
  <c r="D42" i="363"/>
  <c r="P42" i="363"/>
  <c r="N42" i="363"/>
  <c r="O42" i="363"/>
  <c r="G42" i="363"/>
  <c r="E42" i="363"/>
  <c r="F42" i="363"/>
  <c r="R42" i="363"/>
  <c r="I42" i="363"/>
  <c r="K42" i="363"/>
  <c r="H42" i="363"/>
  <c r="M42" i="363"/>
  <c r="Q42" i="363" l="1"/>
  <c r="L42" i="363"/>
  <c r="S42" i="363"/>
  <c r="T42" i="363" s="1"/>
  <c r="J42" i="363"/>
  <c r="C43" i="363"/>
  <c r="O43" i="363"/>
  <c r="M43" i="363"/>
  <c r="P43" i="363"/>
  <c r="R43" i="363"/>
  <c r="K43" i="363"/>
  <c r="I43" i="363"/>
  <c r="F43" i="363"/>
  <c r="D43" i="363"/>
  <c r="E43" i="363"/>
  <c r="H43" i="363"/>
  <c r="N43" i="363"/>
  <c r="G43" i="363"/>
  <c r="S43" i="363" l="1"/>
  <c r="T43" i="363" s="1"/>
  <c r="J43" i="363"/>
  <c r="Q43" i="363"/>
  <c r="L43" i="363"/>
  <c r="C44" i="363"/>
  <c r="M44" i="363"/>
  <c r="N44" i="363"/>
  <c r="G44" i="363"/>
  <c r="R44" i="363"/>
  <c r="E44" i="363"/>
  <c r="K44" i="363"/>
  <c r="D44" i="363"/>
  <c r="P44" i="363"/>
  <c r="O44" i="363"/>
  <c r="H44" i="363"/>
  <c r="I44" i="363"/>
  <c r="F44" i="363"/>
  <c r="J44" i="363" l="1"/>
  <c r="L44" i="363"/>
  <c r="Q44" i="363"/>
  <c r="S44" i="363"/>
  <c r="T44" i="363" s="1"/>
  <c r="C45" i="363"/>
  <c r="G45" i="363"/>
  <c r="I45" i="363"/>
  <c r="P45" i="363"/>
  <c r="M45" i="363"/>
  <c r="N45" i="363"/>
  <c r="D45" i="363"/>
  <c r="R45" i="363"/>
  <c r="H45" i="363"/>
  <c r="O45" i="363"/>
  <c r="F45" i="363"/>
  <c r="E45" i="363"/>
  <c r="K45" i="363"/>
  <c r="S45" i="363" l="1"/>
  <c r="T45" i="363" s="1"/>
  <c r="Q45" i="363"/>
  <c r="L45" i="363"/>
  <c r="J45" i="363"/>
  <c r="C46" i="363"/>
  <c r="G46" i="363"/>
  <c r="D46" i="363"/>
  <c r="M46" i="363"/>
  <c r="R46" i="363"/>
  <c r="K46" i="363"/>
  <c r="H46" i="363"/>
  <c r="E46" i="363"/>
  <c r="P46" i="363"/>
  <c r="N46" i="363"/>
  <c r="I46" i="363"/>
  <c r="F46" i="363"/>
  <c r="O46" i="363"/>
  <c r="Q46" i="363" l="1"/>
  <c r="L46" i="363"/>
  <c r="S46" i="363"/>
  <c r="T46" i="363" s="1"/>
  <c r="J46" i="363"/>
  <c r="C47" i="363"/>
  <c r="I47" i="363"/>
  <c r="E47" i="363"/>
  <c r="G47" i="363"/>
  <c r="N47" i="363"/>
  <c r="F47" i="363"/>
  <c r="H47" i="363"/>
  <c r="K47" i="363"/>
  <c r="O47" i="363"/>
  <c r="M47" i="363"/>
  <c r="D47" i="363"/>
  <c r="R47" i="363"/>
  <c r="P47" i="363"/>
  <c r="L47" i="363" l="1"/>
  <c r="Q47" i="363"/>
  <c r="S47" i="363"/>
  <c r="T47" i="363" s="1"/>
  <c r="J47" i="363"/>
  <c r="C48" i="363"/>
  <c r="D48" i="363"/>
  <c r="P48" i="363"/>
  <c r="R48" i="363"/>
  <c r="F48" i="363"/>
  <c r="G48" i="363"/>
  <c r="N48" i="363"/>
  <c r="K48" i="363"/>
  <c r="M48" i="363"/>
  <c r="I48" i="363"/>
  <c r="H48" i="363"/>
  <c r="E48" i="363"/>
  <c r="O48" i="363"/>
  <c r="J48" i="363" l="1"/>
  <c r="S48" i="363"/>
  <c r="T48" i="363" s="1"/>
  <c r="Q48" i="363"/>
  <c r="L48" i="363"/>
  <c r="C49" i="363"/>
  <c r="I49" i="363"/>
  <c r="M49" i="363"/>
  <c r="E49" i="363"/>
  <c r="F49" i="363"/>
  <c r="D49" i="363"/>
  <c r="K49" i="363"/>
  <c r="N49" i="363"/>
  <c r="P49" i="363"/>
  <c r="R49" i="363"/>
  <c r="H49" i="363"/>
  <c r="O49" i="363"/>
  <c r="G49" i="363"/>
  <c r="S49" i="363" l="1"/>
  <c r="T49" i="363" s="1"/>
  <c r="Q49" i="363"/>
  <c r="L49" i="363"/>
  <c r="J49" i="363"/>
  <c r="C50" i="363"/>
  <c r="G50" i="363"/>
  <c r="D50" i="363"/>
  <c r="P50" i="363"/>
  <c r="K50" i="363"/>
  <c r="R50" i="363"/>
  <c r="O50" i="363"/>
  <c r="E50" i="363"/>
  <c r="H50" i="363"/>
  <c r="F50" i="363"/>
  <c r="I50" i="363"/>
  <c r="N50" i="363"/>
  <c r="M50" i="363"/>
  <c r="J50" i="363" l="1"/>
  <c r="Q50" i="363"/>
  <c r="L50" i="363"/>
  <c r="S50" i="363"/>
  <c r="T50" i="363" s="1"/>
  <c r="C51" i="363"/>
  <c r="F51" i="363"/>
  <c r="R51" i="363"/>
  <c r="O51" i="363"/>
  <c r="M51" i="363"/>
  <c r="P51" i="363"/>
  <c r="K51" i="363"/>
  <c r="I51" i="363"/>
  <c r="D51" i="363"/>
  <c r="G51" i="363"/>
  <c r="N51" i="363"/>
  <c r="H51" i="363"/>
  <c r="E51" i="363"/>
  <c r="Q51" i="363" l="1"/>
  <c r="L51" i="363"/>
  <c r="S51" i="363"/>
  <c r="T51" i="363" s="1"/>
  <c r="U51" i="363" s="1"/>
  <c r="V51" i="363" s="1"/>
  <c r="W51" i="363" s="1"/>
  <c r="J51" i="363"/>
  <c r="C52" i="363"/>
  <c r="P52" i="363"/>
  <c r="K52" i="363"/>
  <c r="M52" i="363"/>
  <c r="N52" i="363"/>
  <c r="E52" i="363"/>
  <c r="H52" i="363"/>
  <c r="G52" i="363"/>
  <c r="F52" i="363"/>
  <c r="R52" i="363"/>
  <c r="O52" i="363"/>
  <c r="D52" i="363"/>
  <c r="I52" i="363"/>
  <c r="J52" i="363" l="1"/>
  <c r="S52" i="363"/>
  <c r="T52" i="363" s="1"/>
  <c r="U52" i="363" s="1"/>
  <c r="V52" i="363" s="1"/>
  <c r="W52" i="363" s="1"/>
  <c r="Q52" i="363"/>
  <c r="L52" i="363"/>
  <c r="C53" i="363"/>
  <c r="M53" i="363"/>
  <c r="N53" i="363"/>
  <c r="P53" i="363"/>
  <c r="I53" i="363"/>
  <c r="G53" i="363"/>
  <c r="R53" i="363"/>
  <c r="K53" i="363"/>
  <c r="O53" i="363"/>
  <c r="D53" i="363"/>
  <c r="E53" i="363"/>
  <c r="F53" i="363"/>
  <c r="H53" i="363"/>
  <c r="S53" i="363" l="1"/>
  <c r="T53" i="363" s="1"/>
  <c r="U53" i="363" s="1"/>
  <c r="V53" i="363" s="1"/>
  <c r="W53" i="363" s="1"/>
  <c r="Q53" i="363"/>
  <c r="L53" i="363"/>
  <c r="J53" i="363"/>
  <c r="C54" i="363"/>
  <c r="D54" i="363"/>
  <c r="I54" i="363"/>
  <c r="R54" i="363"/>
  <c r="H54" i="363"/>
  <c r="M54" i="363"/>
  <c r="G54" i="363"/>
  <c r="P54" i="363"/>
  <c r="F54" i="363"/>
  <c r="K54" i="363"/>
  <c r="E54" i="363"/>
  <c r="N54" i="363"/>
  <c r="O54" i="363"/>
  <c r="J54" i="363" l="1"/>
  <c r="S54" i="363"/>
  <c r="T54" i="363" s="1"/>
  <c r="U54" i="363" s="1"/>
  <c r="V54" i="363" s="1"/>
  <c r="W54" i="363" s="1"/>
  <c r="Q54" i="363"/>
  <c r="L54" i="363"/>
  <c r="C55" i="363"/>
  <c r="K55" i="363"/>
  <c r="P55" i="363"/>
  <c r="F55" i="363"/>
  <c r="O55" i="363"/>
  <c r="E55" i="363"/>
  <c r="N55" i="363"/>
  <c r="D55" i="363"/>
  <c r="I55" i="363"/>
  <c r="R55" i="363"/>
  <c r="G55" i="363"/>
  <c r="H55" i="363"/>
  <c r="M55" i="363"/>
  <c r="S55" i="363" l="1"/>
  <c r="T55" i="363" s="1"/>
  <c r="U55" i="363" s="1"/>
  <c r="V55" i="363" s="1"/>
  <c r="W55" i="363" s="1"/>
  <c r="Q55" i="363"/>
  <c r="L55" i="363"/>
  <c r="J55" i="363"/>
  <c r="C56" i="363"/>
  <c r="F56" i="363"/>
  <c r="K56" i="363"/>
  <c r="P56" i="363"/>
  <c r="N56" i="363"/>
  <c r="O56" i="363"/>
  <c r="E56" i="363"/>
  <c r="R56" i="363"/>
  <c r="D56" i="363"/>
  <c r="I56" i="363"/>
  <c r="G56" i="363"/>
  <c r="H56" i="363"/>
  <c r="M56" i="363"/>
  <c r="J56" i="363" l="1"/>
  <c r="S56" i="363"/>
  <c r="T56" i="363" s="1"/>
  <c r="U56" i="363" s="1"/>
  <c r="V56" i="363" s="1"/>
  <c r="W56" i="363" s="1"/>
  <c r="Q56" i="363"/>
  <c r="L56" i="363"/>
  <c r="C57" i="363"/>
  <c r="I57" i="363"/>
  <c r="R57" i="363"/>
  <c r="D57" i="363"/>
  <c r="M57" i="363"/>
  <c r="G57" i="363"/>
  <c r="H57" i="363"/>
  <c r="F57" i="363"/>
  <c r="K57" i="363"/>
  <c r="P57" i="363"/>
  <c r="E57" i="363"/>
  <c r="N57" i="363"/>
  <c r="O57" i="363"/>
  <c r="J57" i="363" l="1"/>
  <c r="S57" i="363"/>
  <c r="T57" i="363" s="1"/>
  <c r="U57" i="363" s="1"/>
  <c r="V57" i="363" s="1"/>
  <c r="W57" i="363" s="1"/>
  <c r="L57" i="363"/>
  <c r="Q57" i="363"/>
  <c r="C58" i="363"/>
  <c r="E58" i="363"/>
  <c r="H58" i="363"/>
  <c r="M58" i="363"/>
  <c r="G58" i="363"/>
  <c r="P58" i="363"/>
  <c r="F58" i="363"/>
  <c r="K58" i="363"/>
  <c r="N58" i="363"/>
  <c r="O58" i="363"/>
  <c r="D58" i="363"/>
  <c r="I58" i="363"/>
  <c r="R58" i="363"/>
  <c r="J58" i="363" l="1"/>
  <c r="S58" i="363"/>
  <c r="T58" i="363" s="1"/>
  <c r="U58" i="363" s="1"/>
  <c r="V58" i="363" s="1"/>
  <c r="W58" i="363" s="1"/>
  <c r="Q58" i="363"/>
  <c r="L58" i="363"/>
  <c r="C59" i="363"/>
  <c r="K59" i="363"/>
  <c r="P59" i="363"/>
  <c r="F59" i="363"/>
  <c r="O59" i="363"/>
  <c r="E59" i="363"/>
  <c r="N59" i="363"/>
  <c r="D59" i="363"/>
  <c r="I59" i="363"/>
  <c r="R59" i="363"/>
  <c r="G59" i="363"/>
  <c r="H59" i="363"/>
  <c r="M59" i="363"/>
  <c r="S59" i="363" l="1"/>
  <c r="T59" i="363" s="1"/>
  <c r="U59" i="363" s="1"/>
  <c r="V59" i="363" s="1"/>
  <c r="W59" i="363" s="1"/>
  <c r="Q59" i="363"/>
  <c r="L59" i="363"/>
  <c r="J59" i="363"/>
  <c r="C60" i="363"/>
  <c r="K60" i="363"/>
  <c r="P60" i="363"/>
  <c r="F60" i="363"/>
  <c r="N60" i="363"/>
  <c r="O60" i="363"/>
  <c r="E60" i="363"/>
  <c r="R60" i="363"/>
  <c r="D60" i="363"/>
  <c r="I60" i="363"/>
  <c r="G60" i="363"/>
  <c r="H60" i="363"/>
  <c r="M60" i="363"/>
  <c r="J60" i="363" l="1"/>
  <c r="S60" i="363"/>
  <c r="T60" i="363" s="1"/>
  <c r="U60" i="363" s="1"/>
  <c r="V60" i="363" s="1"/>
  <c r="W60" i="363" s="1"/>
  <c r="L60" i="363"/>
  <c r="Q60" i="363"/>
  <c r="C61" i="363"/>
  <c r="F61" i="363"/>
  <c r="E61" i="363"/>
  <c r="N61" i="363"/>
  <c r="O61" i="363"/>
  <c r="I61" i="363"/>
  <c r="R61" i="363"/>
  <c r="D61" i="363"/>
  <c r="M61" i="363"/>
  <c r="G61" i="363"/>
  <c r="H61" i="363"/>
  <c r="K61" i="363"/>
  <c r="P61" i="363"/>
  <c r="J61" i="363" l="1"/>
  <c r="S61" i="363"/>
  <c r="T61" i="363" s="1"/>
  <c r="U61" i="363" s="1"/>
  <c r="V61" i="363" s="1"/>
  <c r="W61" i="363" s="1"/>
  <c r="L61" i="363"/>
  <c r="Q61" i="363"/>
  <c r="C62" i="363"/>
  <c r="E62" i="363"/>
  <c r="N62" i="363"/>
  <c r="O62" i="363"/>
  <c r="D62" i="363"/>
  <c r="I62" i="363"/>
  <c r="P62" i="363"/>
  <c r="K62" i="363"/>
  <c r="R62" i="363"/>
  <c r="H62" i="363"/>
  <c r="M62" i="363"/>
  <c r="G62" i="363"/>
  <c r="F62" i="363"/>
  <c r="J62" i="363" l="1"/>
  <c r="S62" i="363"/>
  <c r="T62" i="363" s="1"/>
  <c r="U62" i="363" s="1"/>
  <c r="V62" i="363" s="1"/>
  <c r="W62" i="363" s="1"/>
  <c r="Q62" i="363"/>
  <c r="L62" i="363"/>
  <c r="C63" i="363"/>
  <c r="D63" i="363"/>
  <c r="I63" i="363"/>
  <c r="R63" i="363"/>
  <c r="M63" i="363"/>
  <c r="P63" i="363"/>
  <c r="E63" i="363"/>
  <c r="G63" i="363"/>
  <c r="H63" i="363"/>
  <c r="K63" i="363"/>
  <c r="F63" i="363"/>
  <c r="O63" i="363"/>
  <c r="N63" i="363"/>
  <c r="S63" i="363" l="1"/>
  <c r="T63" i="363" s="1"/>
  <c r="U63" i="363" s="1"/>
  <c r="V63" i="363" s="1"/>
  <c r="W63" i="363" s="1"/>
  <c r="Q63" i="363"/>
  <c r="L63" i="363"/>
  <c r="J63" i="363"/>
  <c r="C64" i="363"/>
  <c r="G64" i="363"/>
  <c r="H64" i="363"/>
  <c r="F64" i="363"/>
  <c r="K64" i="363"/>
  <c r="P64" i="363"/>
  <c r="N64" i="363"/>
  <c r="O64" i="363"/>
  <c r="E64" i="363"/>
  <c r="D64" i="363"/>
  <c r="M64" i="363"/>
  <c r="R64" i="363"/>
  <c r="I64" i="363"/>
  <c r="J64" i="363" l="1"/>
  <c r="S64" i="363"/>
  <c r="T64" i="363" s="1"/>
  <c r="U64" i="363" s="1"/>
  <c r="V64" i="363" s="1"/>
  <c r="W64" i="363" s="1"/>
  <c r="Q64" i="363"/>
  <c r="L64" i="363"/>
  <c r="C65" i="363"/>
  <c r="P65" i="363"/>
  <c r="E65" i="363"/>
  <c r="N65" i="363"/>
  <c r="O65" i="363"/>
  <c r="M65" i="363"/>
  <c r="G65" i="363"/>
  <c r="H65" i="363"/>
  <c r="F65" i="363"/>
  <c r="K65" i="363"/>
  <c r="I65" i="363"/>
  <c r="R65" i="363"/>
  <c r="D65" i="363"/>
  <c r="J65" i="363" l="1"/>
  <c r="S65" i="363"/>
  <c r="T65" i="363" s="1"/>
  <c r="U65" i="363" s="1"/>
  <c r="V65" i="363" s="1"/>
  <c r="W65" i="363" s="1"/>
  <c r="L65" i="363"/>
  <c r="Q65" i="363"/>
  <c r="C66" i="363"/>
  <c r="E66" i="363"/>
  <c r="N66" i="363"/>
  <c r="O66" i="363"/>
  <c r="R66" i="363"/>
  <c r="H66" i="363"/>
  <c r="M66" i="363"/>
  <c r="G66" i="363"/>
  <c r="P66" i="363"/>
  <c r="F66" i="363"/>
  <c r="K66" i="363"/>
  <c r="D66" i="363"/>
  <c r="I66" i="363"/>
  <c r="J66" i="363" l="1"/>
  <c r="S66" i="363"/>
  <c r="T66" i="363" s="1"/>
  <c r="U66" i="363" s="1"/>
  <c r="V66" i="363" s="1"/>
  <c r="W66" i="363" s="1"/>
  <c r="L66" i="363"/>
  <c r="Q66" i="363"/>
  <c r="C67" i="363"/>
  <c r="D67" i="363"/>
  <c r="I67" i="363"/>
  <c r="R67" i="363"/>
  <c r="G67" i="363"/>
  <c r="H67" i="363"/>
  <c r="M67" i="363"/>
  <c r="F67" i="363"/>
  <c r="N67" i="363"/>
  <c r="K67" i="363"/>
  <c r="P67" i="363"/>
  <c r="O67" i="363"/>
  <c r="E67" i="363"/>
  <c r="S67" i="363" l="1"/>
  <c r="T67" i="363" s="1"/>
  <c r="U67" i="363" s="1"/>
  <c r="V67" i="363" s="1"/>
  <c r="W67" i="363" s="1"/>
  <c r="L67" i="363"/>
  <c r="Q67" i="363"/>
  <c r="J67" i="363"/>
  <c r="C68" i="363"/>
  <c r="P68" i="363"/>
  <c r="N68" i="363"/>
  <c r="O68" i="363"/>
  <c r="E68" i="363"/>
  <c r="R68" i="363"/>
  <c r="D68" i="363"/>
  <c r="I68" i="363"/>
  <c r="G68" i="363"/>
  <c r="H68" i="363"/>
  <c r="M68" i="363"/>
  <c r="F68" i="363"/>
  <c r="K68" i="363"/>
  <c r="J68" i="363" l="1"/>
  <c r="S68" i="363"/>
  <c r="T68" i="363" s="1"/>
  <c r="U68" i="363" s="1"/>
  <c r="V68" i="363" s="1"/>
  <c r="W68" i="363" s="1"/>
  <c r="Q68" i="363"/>
  <c r="L68" i="363"/>
  <c r="C69" i="363"/>
  <c r="F69" i="363"/>
  <c r="K69" i="363"/>
  <c r="E69" i="363"/>
  <c r="N69" i="363"/>
  <c r="I69" i="363"/>
  <c r="R69" i="363"/>
  <c r="D69" i="363"/>
  <c r="M69" i="363"/>
  <c r="G69" i="363"/>
  <c r="H69" i="363"/>
  <c r="P69" i="363"/>
  <c r="O69" i="363"/>
  <c r="J69" i="363" l="1"/>
  <c r="S69" i="363"/>
  <c r="T69" i="363" s="1"/>
  <c r="U69" i="363" s="1"/>
  <c r="V69" i="363" s="1"/>
  <c r="W69" i="363" s="1"/>
  <c r="Q69" i="363"/>
  <c r="L69" i="363"/>
  <c r="C70" i="363"/>
  <c r="E70" i="363"/>
  <c r="N70" i="363"/>
  <c r="O70" i="363"/>
  <c r="P70" i="363"/>
  <c r="F70" i="363"/>
  <c r="K70" i="363"/>
  <c r="D70" i="363"/>
  <c r="I70" i="363"/>
  <c r="R70" i="363"/>
  <c r="H70" i="363"/>
  <c r="M70" i="363"/>
  <c r="G70" i="363"/>
  <c r="J70" i="363" l="1"/>
  <c r="S70" i="363"/>
  <c r="T70" i="363" s="1"/>
  <c r="U70" i="363" s="1"/>
  <c r="V70" i="363" s="1"/>
  <c r="W70" i="363" s="1"/>
  <c r="Q70" i="363"/>
  <c r="L70" i="363"/>
  <c r="C71" i="363"/>
  <c r="M71" i="363"/>
  <c r="K71" i="363"/>
  <c r="P71" i="363"/>
  <c r="F71" i="363"/>
  <c r="O71" i="363"/>
  <c r="E71" i="363"/>
  <c r="N71" i="363"/>
  <c r="D71" i="363"/>
  <c r="I71" i="363"/>
  <c r="R71" i="363"/>
  <c r="G71" i="363"/>
  <c r="H71" i="363"/>
  <c r="S71" i="363" l="1"/>
  <c r="T71" i="363" s="1"/>
  <c r="U71" i="363" s="1"/>
  <c r="V71" i="363" s="1"/>
  <c r="W71" i="363" s="1"/>
  <c r="Q71" i="363"/>
  <c r="L71" i="363"/>
  <c r="J71" i="363"/>
  <c r="C72" i="363"/>
  <c r="F72" i="363"/>
  <c r="K72" i="363"/>
  <c r="P72" i="363"/>
  <c r="M72" i="363"/>
  <c r="N72" i="363"/>
  <c r="O72" i="363"/>
  <c r="E72" i="363"/>
  <c r="R72" i="363"/>
  <c r="D72" i="363"/>
  <c r="I72" i="363"/>
  <c r="G72" i="363"/>
  <c r="H72" i="363"/>
  <c r="J72" i="363" l="1"/>
  <c r="S72" i="363"/>
  <c r="T72" i="363" s="1"/>
  <c r="U72" i="363" s="1"/>
  <c r="V72" i="363" s="1"/>
  <c r="W72" i="363" s="1"/>
  <c r="Q72" i="363"/>
  <c r="L72" i="363"/>
  <c r="C73" i="363"/>
  <c r="F73" i="363"/>
  <c r="K73" i="363"/>
  <c r="P73" i="363"/>
  <c r="E73" i="363"/>
  <c r="N73" i="363"/>
  <c r="O73" i="363"/>
  <c r="M73" i="363"/>
  <c r="G73" i="363"/>
  <c r="I73" i="363"/>
  <c r="R73" i="363"/>
  <c r="D73" i="363"/>
  <c r="H73" i="363"/>
  <c r="J73" i="363" l="1"/>
  <c r="S73" i="363"/>
  <c r="T73" i="363" s="1"/>
  <c r="U73" i="363" s="1"/>
  <c r="V73" i="363" s="1"/>
  <c r="W73" i="363" s="1"/>
  <c r="L73" i="363"/>
  <c r="Q73" i="363"/>
  <c r="C74" i="363"/>
  <c r="N74" i="363"/>
  <c r="D74" i="363"/>
  <c r="I74" i="363"/>
  <c r="R74" i="363"/>
  <c r="H74" i="363"/>
  <c r="M74" i="363"/>
  <c r="G74" i="363"/>
  <c r="P74" i="363"/>
  <c r="F74" i="363"/>
  <c r="K74" i="363"/>
  <c r="E74" i="363"/>
  <c r="O74" i="363"/>
  <c r="J74" i="363" l="1"/>
  <c r="S74" i="363"/>
  <c r="T74" i="363" s="1"/>
  <c r="U74" i="363" s="1"/>
  <c r="V74" i="363" s="1"/>
  <c r="W74" i="363" s="1"/>
  <c r="Q74" i="363"/>
  <c r="L74" i="363"/>
  <c r="C75" i="363"/>
  <c r="G75" i="363"/>
  <c r="H75" i="363"/>
  <c r="M75" i="363"/>
  <c r="K75" i="363"/>
  <c r="P75" i="363"/>
  <c r="F75" i="363"/>
  <c r="O75" i="363"/>
  <c r="E75" i="363"/>
  <c r="N75" i="363"/>
  <c r="D75" i="363"/>
  <c r="I75" i="363"/>
  <c r="R75" i="363"/>
  <c r="S75" i="363" l="1"/>
  <c r="T75" i="363" s="1"/>
  <c r="U75" i="363" s="1"/>
  <c r="V75" i="363" s="1"/>
  <c r="W75" i="363" s="1"/>
  <c r="Q75" i="363"/>
  <c r="L75" i="363"/>
  <c r="J75" i="363"/>
  <c r="C76" i="363"/>
  <c r="G76" i="363"/>
  <c r="H76" i="363"/>
  <c r="N76" i="363"/>
  <c r="O76" i="363"/>
  <c r="E76" i="363"/>
  <c r="R76" i="363"/>
  <c r="D76" i="363"/>
  <c r="I76" i="363"/>
  <c r="M76" i="363"/>
  <c r="F76" i="363"/>
  <c r="K76" i="363"/>
  <c r="P76" i="363"/>
  <c r="J76" i="363" l="1"/>
  <c r="S76" i="363"/>
  <c r="T76" i="363" s="1"/>
  <c r="U76" i="363" s="1"/>
  <c r="V76" i="363" s="1"/>
  <c r="W76" i="363" s="1"/>
  <c r="L76" i="363"/>
  <c r="Q76" i="363"/>
  <c r="C77" i="363"/>
  <c r="F77" i="363"/>
  <c r="K77" i="363"/>
  <c r="P77" i="363"/>
  <c r="E77" i="363"/>
  <c r="N77" i="363"/>
  <c r="O77" i="363"/>
  <c r="I77" i="363"/>
  <c r="R77" i="363"/>
  <c r="D77" i="363"/>
  <c r="M77" i="363"/>
  <c r="G77" i="363"/>
  <c r="H77" i="363"/>
  <c r="J77" i="363" l="1"/>
  <c r="S77" i="363"/>
  <c r="T77" i="363" s="1"/>
  <c r="U77" i="363" s="1"/>
  <c r="V77" i="363" s="1"/>
  <c r="W77" i="363" s="1"/>
  <c r="L77" i="363"/>
  <c r="Q77" i="363"/>
  <c r="C78" i="363"/>
  <c r="E78" i="363"/>
  <c r="N78" i="363"/>
  <c r="O78" i="363"/>
  <c r="D78" i="363"/>
  <c r="I78" i="363"/>
  <c r="R78" i="363"/>
  <c r="H78" i="363"/>
  <c r="M78" i="363"/>
  <c r="G78" i="363"/>
  <c r="P78" i="363"/>
  <c r="F78" i="363"/>
  <c r="K78" i="363"/>
  <c r="J78" i="363" l="1"/>
  <c r="S78" i="363"/>
  <c r="T78" i="363" s="1"/>
  <c r="U78" i="363" s="1"/>
  <c r="V78" i="363" s="1"/>
  <c r="W78" i="363" s="1"/>
  <c r="Q78" i="363"/>
  <c r="L78" i="363"/>
  <c r="C79" i="363"/>
  <c r="R79" i="363"/>
  <c r="K79" i="363"/>
  <c r="P79" i="363"/>
  <c r="F79" i="363"/>
  <c r="O79" i="363"/>
  <c r="E79" i="363"/>
  <c r="N79" i="363"/>
  <c r="D79" i="363"/>
  <c r="I79" i="363"/>
  <c r="G79" i="363"/>
  <c r="H79" i="363"/>
  <c r="M79" i="363"/>
  <c r="S79" i="363" l="1"/>
  <c r="T79" i="363" s="1"/>
  <c r="U79" i="363" s="1"/>
  <c r="V79" i="363" s="1"/>
  <c r="W79" i="363" s="1"/>
  <c r="Q79" i="363"/>
  <c r="L79" i="363"/>
  <c r="J79" i="363"/>
  <c r="C80" i="363"/>
  <c r="F80" i="363"/>
  <c r="N80" i="363"/>
  <c r="O80" i="363"/>
  <c r="E80" i="363"/>
  <c r="R80" i="363"/>
  <c r="D80" i="363"/>
  <c r="I80" i="363"/>
  <c r="G80" i="363"/>
  <c r="H80" i="363"/>
  <c r="M80" i="363"/>
  <c r="K80" i="363"/>
  <c r="P80" i="363"/>
  <c r="J80" i="363" l="1"/>
  <c r="S80" i="363"/>
  <c r="T80" i="363" s="1"/>
  <c r="U80" i="363" s="1"/>
  <c r="V80" i="363" s="1"/>
  <c r="W80" i="363" s="1"/>
  <c r="Q80" i="363"/>
  <c r="L80" i="363"/>
  <c r="C81" i="363"/>
  <c r="F81" i="363"/>
  <c r="K81" i="363"/>
  <c r="P81" i="363"/>
  <c r="E81" i="363"/>
  <c r="N81" i="363"/>
  <c r="O81" i="363"/>
  <c r="H81" i="363"/>
  <c r="I81" i="363"/>
  <c r="R81" i="363"/>
  <c r="D81" i="363"/>
  <c r="M81" i="363"/>
  <c r="G81" i="363"/>
  <c r="J81" i="363" l="1"/>
  <c r="S81" i="363"/>
  <c r="T81" i="363" s="1"/>
  <c r="U81" i="363" s="1"/>
  <c r="V81" i="363" s="1"/>
  <c r="W81" i="363" s="1"/>
  <c r="L81" i="363"/>
  <c r="Q81" i="363"/>
  <c r="C82" i="363"/>
  <c r="E82" i="363"/>
  <c r="N82" i="363"/>
  <c r="O82" i="363"/>
  <c r="D82" i="363"/>
  <c r="I82" i="363"/>
  <c r="R82" i="363"/>
  <c r="F82" i="363"/>
  <c r="K82" i="363"/>
  <c r="H82" i="363"/>
  <c r="M82" i="363"/>
  <c r="G82" i="363"/>
  <c r="P82" i="363"/>
  <c r="J82" i="363" l="1"/>
  <c r="S82" i="363"/>
  <c r="T82" i="363" s="1"/>
  <c r="U82" i="363" s="1"/>
  <c r="V82" i="363" s="1"/>
  <c r="W82" i="363" s="1"/>
  <c r="L82" i="363"/>
  <c r="Q82" i="363"/>
  <c r="C83" i="363"/>
  <c r="D83" i="363"/>
  <c r="I83" i="363"/>
  <c r="R83" i="363"/>
  <c r="G83" i="363"/>
  <c r="H83" i="363"/>
  <c r="M83" i="363"/>
  <c r="P83" i="363"/>
  <c r="F83" i="363"/>
  <c r="E83" i="363"/>
  <c r="N83" i="363"/>
  <c r="O83" i="363"/>
  <c r="K83" i="363"/>
  <c r="S83" i="363" l="1"/>
  <c r="T83" i="363" s="1"/>
  <c r="U83" i="363" s="1"/>
  <c r="V83" i="363" s="1"/>
  <c r="W83" i="363" s="1"/>
  <c r="L83" i="363"/>
  <c r="Q83" i="363"/>
  <c r="J83" i="363"/>
  <c r="C84" i="363"/>
  <c r="M84" i="363"/>
  <c r="F84" i="363"/>
  <c r="R84" i="363"/>
  <c r="E84" i="363"/>
  <c r="K84" i="363"/>
  <c r="D84" i="363"/>
  <c r="O84" i="363"/>
  <c r="G84" i="363"/>
  <c r="I84" i="363"/>
  <c r="H84" i="363"/>
  <c r="N84" i="363"/>
  <c r="P84" i="363"/>
  <c r="L84" i="363" l="1"/>
  <c r="Q84" i="363"/>
  <c r="S84" i="363"/>
  <c r="T84" i="363" s="1"/>
  <c r="U84" i="363" s="1"/>
  <c r="V84" i="363" s="1"/>
  <c r="W84" i="363" s="1"/>
  <c r="J84" i="363"/>
  <c r="C85" i="363"/>
  <c r="H85" i="363"/>
  <c r="I85" i="363"/>
  <c r="O85" i="363"/>
  <c r="F85" i="363"/>
  <c r="D85" i="363"/>
  <c r="K85" i="363"/>
  <c r="E85" i="363"/>
  <c r="M85" i="363"/>
  <c r="N85" i="363"/>
  <c r="P85" i="363"/>
  <c r="R85" i="363"/>
  <c r="G85" i="363"/>
  <c r="J85" i="363" l="1"/>
  <c r="Q85" i="363"/>
  <c r="L85" i="363"/>
  <c r="S85" i="363"/>
  <c r="T85" i="363" s="1"/>
  <c r="U85" i="363" s="1"/>
  <c r="V85" i="363" s="1"/>
  <c r="W85" i="363" s="1"/>
  <c r="C86" i="363"/>
  <c r="G86" i="363"/>
  <c r="I86" i="363"/>
  <c r="R86" i="363"/>
  <c r="H86" i="363"/>
  <c r="O86" i="363"/>
  <c r="K86" i="363"/>
  <c r="M86" i="363"/>
  <c r="E86" i="363"/>
  <c r="F86" i="363"/>
  <c r="D86" i="363"/>
  <c r="P86" i="363"/>
  <c r="N86" i="363"/>
  <c r="S86" i="363" l="1"/>
  <c r="T86" i="363" s="1"/>
  <c r="U86" i="363" s="1"/>
  <c r="V86" i="363" s="1"/>
  <c r="W86" i="363" s="1"/>
  <c r="Q86" i="363"/>
  <c r="L86" i="363"/>
  <c r="J86" i="363"/>
  <c r="C87" i="363"/>
  <c r="F87" i="363"/>
  <c r="R87" i="363"/>
  <c r="K87" i="363"/>
  <c r="H87" i="363"/>
  <c r="E87" i="363"/>
  <c r="P87" i="363"/>
  <c r="N87" i="363"/>
  <c r="I87" i="363"/>
  <c r="G87" i="363"/>
  <c r="D87" i="363"/>
  <c r="M87" i="363"/>
  <c r="O87" i="363"/>
  <c r="L87" i="363" l="1"/>
  <c r="Q87" i="363"/>
  <c r="S87" i="363"/>
  <c r="T87" i="363" s="1"/>
  <c r="U87" i="363" s="1"/>
  <c r="V87" i="363" s="1"/>
  <c r="W87" i="363" s="1"/>
  <c r="J87" i="363"/>
  <c r="C88" i="363"/>
  <c r="K88" i="363"/>
  <c r="I88" i="363"/>
  <c r="D88" i="363"/>
  <c r="G88" i="363"/>
  <c r="N88" i="363"/>
  <c r="H88" i="363"/>
  <c r="M88" i="363"/>
  <c r="E88" i="363"/>
  <c r="P88" i="363"/>
  <c r="F88" i="363"/>
  <c r="R88" i="363"/>
  <c r="O88" i="363"/>
  <c r="L88" i="363" l="1"/>
  <c r="Q88" i="363"/>
  <c r="S88" i="363"/>
  <c r="T88" i="363" s="1"/>
  <c r="U88" i="363" s="1"/>
  <c r="V88" i="363" s="1"/>
  <c r="W88" i="363" s="1"/>
  <c r="J88" i="363"/>
  <c r="C89" i="363"/>
  <c r="E89" i="363"/>
  <c r="M89" i="363"/>
  <c r="N89" i="363"/>
  <c r="P89" i="363"/>
  <c r="R89" i="363"/>
  <c r="G89" i="363"/>
  <c r="I89" i="363"/>
  <c r="F89" i="363"/>
  <c r="D89" i="363"/>
  <c r="K89" i="363"/>
  <c r="H89" i="363"/>
  <c r="O89" i="363"/>
  <c r="J89" i="363" l="1"/>
  <c r="L89" i="363"/>
  <c r="Q89" i="363"/>
  <c r="S89" i="363"/>
  <c r="T89" i="363" s="1"/>
  <c r="U89" i="363" s="1"/>
  <c r="V89" i="363" s="1"/>
  <c r="W89" i="363" s="1"/>
  <c r="C90" i="363"/>
  <c r="I90" i="363"/>
  <c r="E90" i="363"/>
  <c r="H90" i="363"/>
  <c r="O90" i="363"/>
  <c r="P90" i="363"/>
  <c r="D90" i="363"/>
  <c r="N90" i="363"/>
  <c r="G90" i="363"/>
  <c r="R90" i="363"/>
  <c r="K90" i="363"/>
  <c r="M90" i="363"/>
  <c r="F90" i="363"/>
  <c r="S90" i="363" l="1"/>
  <c r="T90" i="363" s="1"/>
  <c r="U90" i="363" s="1"/>
  <c r="V90" i="363" s="1"/>
  <c r="W90" i="363" s="1"/>
  <c r="Q90" i="363"/>
  <c r="L90" i="363"/>
  <c r="J90" i="363"/>
  <c r="C91" i="363"/>
  <c r="G91" i="363"/>
  <c r="D91" i="363"/>
  <c r="M91" i="363"/>
  <c r="R91" i="363"/>
  <c r="O91" i="363"/>
  <c r="H91" i="363"/>
  <c r="E91" i="363"/>
  <c r="I91" i="363"/>
  <c r="F91" i="363"/>
  <c r="N91" i="363"/>
  <c r="K91" i="363"/>
  <c r="P91" i="363"/>
  <c r="L91" i="363" l="1"/>
  <c r="Q91" i="363"/>
  <c r="S91" i="363"/>
  <c r="T91" i="363" s="1"/>
  <c r="U91" i="363" s="1"/>
  <c r="V91" i="363" s="1"/>
  <c r="W91" i="363" s="1"/>
  <c r="J91" i="363"/>
  <c r="C92" i="363"/>
  <c r="M92" i="363"/>
  <c r="E92" i="363"/>
  <c r="P92" i="363"/>
  <c r="I92" i="363"/>
  <c r="G92" i="363"/>
  <c r="N92" i="363"/>
  <c r="H92" i="363"/>
  <c r="F92" i="363"/>
  <c r="R92" i="363"/>
  <c r="O92" i="363"/>
  <c r="K92" i="363"/>
  <c r="D92" i="363"/>
  <c r="L92" i="363" l="1"/>
  <c r="Q92" i="363"/>
  <c r="S92" i="363"/>
  <c r="T92" i="363" s="1"/>
  <c r="U92" i="363" s="1"/>
  <c r="V92" i="363" s="1"/>
  <c r="W92" i="363" s="1"/>
  <c r="J92" i="363"/>
  <c r="C93" i="363"/>
  <c r="H93" i="363"/>
  <c r="I93" i="363"/>
  <c r="O93" i="363"/>
  <c r="M93" i="363"/>
  <c r="E93" i="363"/>
  <c r="N93" i="363"/>
  <c r="P93" i="363"/>
  <c r="R93" i="363"/>
  <c r="G93" i="363"/>
  <c r="F93" i="363"/>
  <c r="D93" i="363"/>
  <c r="K93" i="363"/>
  <c r="J93" i="363" l="1"/>
  <c r="Q93" i="363"/>
  <c r="L93" i="363"/>
  <c r="S93" i="363"/>
  <c r="T93" i="363" s="1"/>
  <c r="U93" i="363" s="1"/>
  <c r="V93" i="363" s="1"/>
  <c r="W93" i="363" s="1"/>
  <c r="C94" i="363"/>
  <c r="G94" i="363"/>
  <c r="R94" i="363"/>
  <c r="E94" i="363"/>
  <c r="H94" i="363"/>
  <c r="O94" i="363"/>
  <c r="P94" i="363"/>
  <c r="D94" i="363"/>
  <c r="N94" i="363"/>
  <c r="I94" i="363"/>
  <c r="K94" i="363"/>
  <c r="M94" i="363"/>
  <c r="F94" i="363"/>
  <c r="S94" i="363" l="1"/>
  <c r="T94" i="363" s="1"/>
  <c r="U94" i="363" s="1"/>
  <c r="V94" i="363" s="1"/>
  <c r="W94" i="363" s="1"/>
  <c r="Q94" i="363"/>
  <c r="L94" i="363"/>
  <c r="J94" i="363"/>
  <c r="C95" i="363"/>
  <c r="G95" i="363"/>
  <c r="K95" i="363"/>
  <c r="H95" i="363"/>
  <c r="E95" i="363"/>
  <c r="P95" i="363"/>
  <c r="N95" i="363"/>
  <c r="I95" i="363"/>
  <c r="D95" i="363"/>
  <c r="M95" i="363"/>
  <c r="F95" i="363"/>
  <c r="R95" i="363"/>
  <c r="O95" i="363"/>
  <c r="L95" i="363" l="1"/>
  <c r="Q95" i="363"/>
  <c r="S95" i="363"/>
  <c r="T95" i="363" s="1"/>
  <c r="U95" i="363" s="1"/>
  <c r="V95" i="363" s="1"/>
  <c r="W95" i="363" s="1"/>
  <c r="J95" i="363"/>
  <c r="C96" i="363"/>
  <c r="F96" i="363"/>
  <c r="R96" i="363"/>
  <c r="O96" i="363"/>
  <c r="G96" i="363"/>
  <c r="N96" i="363"/>
  <c r="K96" i="363"/>
  <c r="I96" i="363"/>
  <c r="D96" i="363"/>
  <c r="H96" i="363"/>
  <c r="M96" i="363"/>
  <c r="E96" i="363"/>
  <c r="P96" i="363"/>
  <c r="L96" i="363" l="1"/>
  <c r="Q96" i="363"/>
  <c r="S96" i="363"/>
  <c r="T96" i="363" s="1"/>
  <c r="U96" i="363" s="1"/>
  <c r="V96" i="363" s="1"/>
  <c r="W96" i="363" s="1"/>
  <c r="J96" i="363"/>
  <c r="C97" i="363"/>
  <c r="E97" i="363"/>
  <c r="M97" i="363"/>
  <c r="N97" i="363"/>
  <c r="P97" i="363"/>
  <c r="R97" i="363"/>
  <c r="G97" i="363"/>
  <c r="F97" i="363"/>
  <c r="D97" i="363"/>
  <c r="K97" i="363"/>
  <c r="H97" i="363"/>
  <c r="I97" i="363"/>
  <c r="O97" i="363"/>
  <c r="J97" i="363" l="1"/>
  <c r="L97" i="363"/>
  <c r="Q97" i="363"/>
  <c r="S97" i="363"/>
  <c r="T97" i="363" s="1"/>
  <c r="U97" i="363" s="1"/>
  <c r="V97" i="363" s="1"/>
  <c r="W97" i="363" s="1"/>
  <c r="C98" i="363"/>
  <c r="G98" i="363"/>
  <c r="I98" i="363"/>
  <c r="R98" i="363"/>
  <c r="E98" i="363"/>
  <c r="H98" i="363"/>
  <c r="O98" i="363"/>
  <c r="P98" i="363"/>
  <c r="D98" i="363"/>
  <c r="N98" i="363"/>
  <c r="K98" i="363"/>
  <c r="M98" i="363"/>
  <c r="F98" i="363"/>
  <c r="S98" i="363" l="1"/>
  <c r="T98" i="363" s="1"/>
  <c r="U98" i="363" s="1"/>
  <c r="V98" i="363" s="1"/>
  <c r="W98" i="363" s="1"/>
  <c r="L98" i="363"/>
  <c r="Q98" i="363"/>
  <c r="J98" i="363"/>
  <c r="C99" i="363"/>
  <c r="E99" i="363"/>
  <c r="F99" i="363"/>
  <c r="P99" i="363"/>
  <c r="I99" i="363"/>
  <c r="O99" i="363"/>
  <c r="G99" i="363"/>
  <c r="D99" i="363"/>
  <c r="M99" i="363"/>
  <c r="N99" i="363"/>
  <c r="R99" i="363"/>
  <c r="K99" i="363"/>
  <c r="H99" i="363"/>
  <c r="J99" i="363" l="1"/>
  <c r="S99" i="363"/>
  <c r="T99" i="363" s="1"/>
  <c r="U99" i="363" s="1"/>
  <c r="V99" i="363" s="1"/>
  <c r="W99" i="363" s="1"/>
  <c r="Q99" i="363"/>
  <c r="L99" i="363"/>
  <c r="C100" i="363"/>
  <c r="K100" i="363"/>
  <c r="H100" i="363"/>
  <c r="R100" i="363"/>
  <c r="E100" i="363"/>
  <c r="P100" i="363"/>
  <c r="M100" i="363"/>
  <c r="F100" i="363"/>
  <c r="N100" i="363"/>
  <c r="G100" i="363"/>
  <c r="D100" i="363"/>
  <c r="O100" i="363"/>
  <c r="I100" i="363"/>
  <c r="S100" i="363" l="1"/>
  <c r="T100" i="363" s="1"/>
  <c r="U100" i="363" s="1"/>
  <c r="V100" i="363" s="1"/>
  <c r="W100" i="363" s="1"/>
  <c r="L100" i="363"/>
  <c r="Q100" i="363"/>
  <c r="J100" i="363"/>
  <c r="C101" i="363"/>
  <c r="D101" i="363"/>
  <c r="K101" i="363"/>
  <c r="M101" i="363"/>
  <c r="H101" i="363"/>
  <c r="F101" i="363"/>
  <c r="O101" i="363"/>
  <c r="R101" i="363"/>
  <c r="G101" i="363"/>
  <c r="I101" i="363"/>
  <c r="P101" i="363"/>
  <c r="N101" i="363"/>
  <c r="E101" i="363"/>
  <c r="J101" i="363" l="1"/>
  <c r="Q101" i="363"/>
  <c r="L101" i="363"/>
  <c r="S101" i="363"/>
  <c r="T101" i="363" s="1"/>
  <c r="U101" i="363" s="1"/>
  <c r="V101" i="363" s="1"/>
  <c r="W101" i="363" s="1"/>
  <c r="C102" i="363"/>
  <c r="G102" i="363"/>
  <c r="N102" i="363"/>
  <c r="P102" i="363"/>
  <c r="K102" i="363"/>
  <c r="O102" i="363"/>
  <c r="R102" i="363"/>
  <c r="E102" i="363"/>
  <c r="I102" i="363"/>
  <c r="D102" i="363"/>
  <c r="F102" i="363"/>
  <c r="M102" i="363"/>
  <c r="H102" i="363"/>
  <c r="S102" i="363" l="1"/>
  <c r="T102" i="363" s="1"/>
  <c r="U102" i="363" s="1"/>
  <c r="V102" i="363" s="1"/>
  <c r="W102" i="363" s="1"/>
  <c r="L102" i="363"/>
  <c r="Q102" i="363"/>
  <c r="J102" i="363"/>
  <c r="C103" i="363"/>
  <c r="H103" i="363"/>
  <c r="I103" i="363"/>
  <c r="O103" i="363"/>
  <c r="D103" i="363"/>
  <c r="P103" i="363"/>
  <c r="M103" i="363"/>
  <c r="N103" i="363"/>
  <c r="E103" i="363"/>
  <c r="K103" i="363"/>
  <c r="F103" i="363"/>
  <c r="R103" i="363"/>
  <c r="G103" i="363"/>
  <c r="J103" i="363" l="1"/>
  <c r="S103" i="363"/>
  <c r="T103" i="363" s="1"/>
  <c r="U103" i="363" s="1"/>
  <c r="V103" i="363" s="1"/>
  <c r="W103" i="363" s="1"/>
  <c r="Q103" i="363"/>
  <c r="L103" i="363"/>
  <c r="C104" i="363"/>
  <c r="O104" i="363"/>
  <c r="M104" i="363"/>
  <c r="F104" i="363"/>
  <c r="I104" i="363"/>
  <c r="D104" i="363"/>
  <c r="N104" i="363"/>
  <c r="K104" i="363"/>
  <c r="H104" i="363"/>
  <c r="R104" i="363"/>
  <c r="G104" i="363"/>
  <c r="E104" i="363"/>
  <c r="P104" i="363"/>
  <c r="S104" i="363" l="1"/>
  <c r="T104" i="363" s="1"/>
  <c r="U104" i="363" s="1"/>
  <c r="V104" i="363" s="1"/>
  <c r="W104" i="363" s="1"/>
  <c r="Q104" i="363"/>
  <c r="L104" i="363"/>
  <c r="J104" i="363"/>
  <c r="C105" i="363"/>
  <c r="P105" i="363"/>
  <c r="R105" i="363"/>
  <c r="G105" i="363"/>
  <c r="E105" i="363"/>
  <c r="D105" i="363"/>
  <c r="K105" i="363"/>
  <c r="I105" i="363"/>
  <c r="F105" i="363"/>
  <c r="O105" i="363"/>
  <c r="M105" i="363"/>
  <c r="H105" i="363"/>
  <c r="N105" i="363"/>
  <c r="J105" i="363" l="1"/>
  <c r="L105" i="363"/>
  <c r="Q105" i="363"/>
  <c r="S105" i="363"/>
  <c r="T105" i="363" s="1"/>
  <c r="U105" i="363" s="1"/>
  <c r="V105" i="363" s="1"/>
  <c r="W105" i="363" s="1"/>
  <c r="C106" i="363"/>
  <c r="F106" i="363"/>
  <c r="K106" i="363"/>
  <c r="P106" i="363"/>
  <c r="I106" i="363"/>
  <c r="N106" i="363"/>
  <c r="O106" i="363"/>
  <c r="E106" i="363"/>
  <c r="G106" i="363"/>
  <c r="M106" i="363"/>
  <c r="R106" i="363"/>
  <c r="D106" i="363"/>
  <c r="H106" i="363"/>
  <c r="J106" i="363" l="1"/>
  <c r="S106" i="363"/>
  <c r="T106" i="363" s="1"/>
  <c r="U106" i="363" s="1"/>
  <c r="V106" i="363" s="1"/>
  <c r="W106" i="363" s="1"/>
  <c r="L106" i="363"/>
  <c r="Q106" i="363"/>
  <c r="C107" i="363"/>
  <c r="E107" i="363"/>
  <c r="N107" i="363"/>
  <c r="O107" i="363"/>
  <c r="G107" i="363"/>
  <c r="H107" i="363"/>
  <c r="P107" i="363"/>
  <c r="I107" i="363"/>
  <c r="R107" i="363"/>
  <c r="D107" i="363"/>
  <c r="M107" i="363"/>
  <c r="F107" i="363"/>
  <c r="K107" i="363"/>
  <c r="J107" i="363" l="1"/>
  <c r="S107" i="363"/>
  <c r="T107" i="363" s="1"/>
  <c r="U107" i="363" s="1"/>
  <c r="V107" i="363" s="1"/>
  <c r="W107" i="363" s="1"/>
  <c r="L107" i="363"/>
  <c r="Q107" i="363"/>
  <c r="C108" i="363"/>
  <c r="R108" i="363"/>
  <c r="K108" i="363"/>
  <c r="H108" i="363"/>
  <c r="M108" i="363"/>
  <c r="O108" i="363"/>
  <c r="P108" i="363"/>
  <c r="F108" i="363"/>
  <c r="G108" i="363"/>
  <c r="E108" i="363"/>
  <c r="N108" i="363"/>
  <c r="D108" i="363"/>
  <c r="I108" i="363"/>
  <c r="S108" i="363" l="1"/>
  <c r="T108" i="363" s="1"/>
  <c r="U108" i="363" s="1"/>
  <c r="V108" i="363" s="1"/>
  <c r="W108" i="363" s="1"/>
  <c r="Q108" i="363"/>
  <c r="L108" i="363"/>
  <c r="J108" i="363"/>
  <c r="C109" i="363"/>
  <c r="D109" i="363"/>
  <c r="R109" i="363"/>
  <c r="G109" i="363"/>
  <c r="H109" i="363"/>
  <c r="M109" i="363"/>
  <c r="O109" i="363"/>
  <c r="E109" i="363"/>
  <c r="N109" i="363"/>
  <c r="I109" i="363"/>
  <c r="K109" i="363"/>
  <c r="P109" i="363"/>
  <c r="F109" i="363"/>
  <c r="S109" i="363" l="1"/>
  <c r="T109" i="363" s="1"/>
  <c r="U109" i="363" s="1"/>
  <c r="V109" i="363" s="1"/>
  <c r="W109" i="363" s="1"/>
  <c r="Q109" i="363"/>
  <c r="L109" i="363"/>
  <c r="J109" i="363"/>
  <c r="C110" i="363"/>
  <c r="F110" i="363"/>
  <c r="K110" i="363"/>
  <c r="P110" i="363"/>
  <c r="N110" i="363"/>
  <c r="O110" i="363"/>
  <c r="E110" i="363"/>
  <c r="D110" i="363"/>
  <c r="I110" i="363"/>
  <c r="H110" i="363"/>
  <c r="M110" i="363"/>
  <c r="R110" i="363"/>
  <c r="G110" i="363"/>
  <c r="J110" i="363" l="1"/>
  <c r="S110" i="363"/>
  <c r="T110" i="363" s="1"/>
  <c r="U110" i="363" s="1"/>
  <c r="V110" i="363" s="1"/>
  <c r="W110" i="363" s="1"/>
  <c r="Q110" i="363"/>
  <c r="L110" i="363"/>
  <c r="C111" i="363"/>
  <c r="F111" i="363"/>
  <c r="K111" i="363"/>
  <c r="P111" i="363"/>
  <c r="E111" i="363"/>
  <c r="N111" i="363"/>
  <c r="O111" i="363"/>
  <c r="M111" i="363"/>
  <c r="H111" i="363"/>
  <c r="G111" i="363"/>
  <c r="I111" i="363"/>
  <c r="R111" i="363"/>
  <c r="D111" i="363"/>
  <c r="J111" i="363" l="1"/>
  <c r="S111" i="363"/>
  <c r="T111" i="363" s="1"/>
  <c r="U111" i="363" s="1"/>
  <c r="V111" i="363" s="1"/>
  <c r="W111" i="363" s="1"/>
  <c r="L111" i="363"/>
  <c r="Q111" i="363"/>
  <c r="C112" i="363"/>
  <c r="I112" i="363"/>
  <c r="H112" i="363"/>
  <c r="M112" i="363"/>
  <c r="G112" i="363"/>
  <c r="P112" i="363"/>
  <c r="F112" i="363"/>
  <c r="K112" i="363"/>
  <c r="E112" i="363"/>
  <c r="N112" i="363"/>
  <c r="O112" i="363"/>
  <c r="D112" i="363"/>
  <c r="R112" i="363"/>
  <c r="J112" i="363" l="1"/>
  <c r="S112" i="363"/>
  <c r="T112" i="363" s="1"/>
  <c r="U112" i="363" s="1"/>
  <c r="V112" i="363" s="1"/>
  <c r="W112" i="363" s="1"/>
  <c r="Q112" i="363"/>
  <c r="L112" i="363"/>
  <c r="C113" i="363"/>
  <c r="I113" i="363"/>
  <c r="G113" i="363"/>
  <c r="K113" i="363"/>
  <c r="P113" i="363"/>
  <c r="F113" i="363"/>
  <c r="O113" i="363"/>
  <c r="E113" i="363"/>
  <c r="N113" i="363"/>
  <c r="D113" i="363"/>
  <c r="R113" i="363"/>
  <c r="H113" i="363"/>
  <c r="M113" i="363"/>
  <c r="S113" i="363" l="1"/>
  <c r="T113" i="363" s="1"/>
  <c r="U113" i="363" s="1"/>
  <c r="V113" i="363" s="1"/>
  <c r="W113" i="363" s="1"/>
  <c r="L113" i="363"/>
  <c r="Q113" i="363"/>
  <c r="J113" i="363"/>
  <c r="C114" i="363"/>
  <c r="M114" i="363"/>
  <c r="N114" i="363"/>
  <c r="O114" i="363"/>
  <c r="E114" i="363"/>
  <c r="R114" i="363"/>
  <c r="D114" i="363"/>
  <c r="I114" i="363"/>
  <c r="G114" i="363"/>
  <c r="H114" i="363"/>
  <c r="F114" i="363"/>
  <c r="K114" i="363"/>
  <c r="P114" i="363"/>
  <c r="J114" i="363" l="1"/>
  <c r="S114" i="363"/>
  <c r="T114" i="363" s="1"/>
  <c r="U114" i="363" s="1"/>
  <c r="V114" i="363" s="1"/>
  <c r="W114" i="363" s="1"/>
  <c r="L114" i="363"/>
  <c r="Q114" i="363"/>
  <c r="C115" i="363"/>
  <c r="R115" i="363"/>
  <c r="E115" i="363"/>
  <c r="H115" i="363"/>
  <c r="I115" i="363"/>
  <c r="P115" i="363"/>
  <c r="M115" i="363"/>
  <c r="O115" i="363"/>
  <c r="G115" i="363"/>
  <c r="N115" i="363"/>
  <c r="F115" i="363"/>
  <c r="D115" i="363"/>
  <c r="K115" i="363"/>
  <c r="S115" i="363" l="1"/>
  <c r="T115" i="363" s="1"/>
  <c r="U115" i="363" s="1"/>
  <c r="V115" i="363" s="1"/>
  <c r="W115" i="363" s="1"/>
  <c r="Q115" i="363"/>
  <c r="L115" i="363"/>
  <c r="J115" i="363"/>
  <c r="C116" i="363"/>
  <c r="K116" i="363"/>
  <c r="H116" i="363"/>
  <c r="M116" i="363"/>
  <c r="O116" i="363"/>
  <c r="G116" i="363"/>
  <c r="E116" i="363"/>
  <c r="F116" i="363"/>
  <c r="R116" i="363"/>
  <c r="I116" i="363"/>
  <c r="D116" i="363"/>
  <c r="P116" i="363"/>
  <c r="N116" i="363"/>
  <c r="Q116" i="363" l="1"/>
  <c r="L116" i="363"/>
  <c r="S116" i="363"/>
  <c r="T116" i="363" s="1"/>
  <c r="U116" i="363" s="1"/>
  <c r="V116" i="363" s="1"/>
  <c r="W116" i="363" s="1"/>
  <c r="J116" i="363"/>
  <c r="C117" i="363"/>
  <c r="E117" i="363"/>
  <c r="G117" i="363"/>
  <c r="N117" i="363"/>
  <c r="O117" i="363"/>
  <c r="M117" i="363"/>
  <c r="D117" i="363"/>
  <c r="F117" i="363"/>
  <c r="R117" i="363"/>
  <c r="H117" i="363"/>
  <c r="K117" i="363"/>
  <c r="I117" i="363"/>
  <c r="P117" i="363"/>
  <c r="Q117" i="363" l="1"/>
  <c r="L117" i="363"/>
  <c r="S117" i="363"/>
  <c r="T117" i="363" s="1"/>
  <c r="U117" i="363" s="1"/>
  <c r="V117" i="363" s="1"/>
  <c r="W117" i="363" s="1"/>
  <c r="J117" i="363"/>
  <c r="C118" i="363"/>
  <c r="E118" i="363"/>
  <c r="M118" i="363"/>
  <c r="O118" i="363"/>
  <c r="D118" i="363"/>
  <c r="P118" i="363"/>
  <c r="R118" i="363"/>
  <c r="I118" i="363"/>
  <c r="F118" i="363"/>
  <c r="G118" i="363"/>
  <c r="N118" i="363"/>
  <c r="H118" i="363"/>
  <c r="K118" i="363"/>
  <c r="J118" i="363" l="1"/>
  <c r="S118" i="363"/>
  <c r="T118" i="363" s="1"/>
  <c r="U118" i="363" s="1"/>
  <c r="V118" i="363" s="1"/>
  <c r="W118" i="363" s="1"/>
  <c r="Q118" i="363"/>
  <c r="L118" i="363"/>
  <c r="C119" i="363"/>
  <c r="E119" i="363"/>
  <c r="D119" i="363"/>
  <c r="K119" i="363"/>
  <c r="M119" i="363"/>
  <c r="I119" i="363"/>
  <c r="P119" i="363"/>
  <c r="F119" i="363"/>
  <c r="O119" i="363"/>
  <c r="G119" i="363"/>
  <c r="N119" i="363"/>
  <c r="H119" i="363"/>
  <c r="R119" i="363"/>
  <c r="S119" i="363" l="1"/>
  <c r="T119" i="363" s="1"/>
  <c r="U119" i="363" s="1"/>
  <c r="V119" i="363" s="1"/>
  <c r="W119" i="363" s="1"/>
  <c r="L119" i="363"/>
  <c r="Q119" i="363"/>
  <c r="J119" i="363"/>
  <c r="C120" i="363"/>
  <c r="K120" i="363"/>
  <c r="H120" i="363"/>
  <c r="M120" i="363"/>
  <c r="D120" i="363"/>
  <c r="N120" i="363"/>
  <c r="O120" i="363"/>
  <c r="G120" i="363"/>
  <c r="E120" i="363"/>
  <c r="F120" i="363"/>
  <c r="R120" i="363"/>
  <c r="P120" i="363"/>
  <c r="I120" i="363"/>
  <c r="Q120" i="363" l="1"/>
  <c r="L120" i="363"/>
  <c r="S120" i="363"/>
  <c r="T120" i="363" s="1"/>
  <c r="U120" i="363" s="1"/>
  <c r="V120" i="363" s="1"/>
  <c r="W120" i="363" s="1"/>
  <c r="J120" i="363"/>
  <c r="C121" i="363"/>
  <c r="K121" i="363"/>
  <c r="I121" i="363"/>
  <c r="P121" i="363"/>
  <c r="E121" i="363"/>
  <c r="G121" i="363"/>
  <c r="N121" i="363"/>
  <c r="O121" i="363"/>
  <c r="M121" i="363"/>
  <c r="D121" i="363"/>
  <c r="F121" i="363"/>
  <c r="R121" i="363"/>
  <c r="H121" i="363"/>
  <c r="Q121" i="363" l="1"/>
  <c r="L121" i="363"/>
  <c r="S121" i="363"/>
  <c r="T121" i="363" s="1"/>
  <c r="U121" i="363" s="1"/>
  <c r="V121" i="363" s="1"/>
  <c r="W121" i="363" s="1"/>
  <c r="J121" i="363"/>
  <c r="C122" i="363"/>
  <c r="E122" i="363"/>
  <c r="M122" i="363"/>
  <c r="O122" i="363"/>
  <c r="D122" i="363"/>
  <c r="P122" i="363"/>
  <c r="R122" i="363"/>
  <c r="I122" i="363"/>
  <c r="F122" i="363"/>
  <c r="G122" i="363"/>
  <c r="N122" i="363"/>
  <c r="H122" i="363"/>
  <c r="K122" i="363"/>
  <c r="J122" i="363" l="1"/>
  <c r="S122" i="363"/>
  <c r="T122" i="363" s="1"/>
  <c r="U122" i="363" s="1"/>
  <c r="V122" i="363" s="1"/>
  <c r="W122" i="363" s="1"/>
  <c r="L122" i="363"/>
  <c r="Q122" i="363"/>
  <c r="C123" i="363"/>
  <c r="D123" i="363"/>
  <c r="O123" i="363"/>
  <c r="M123" i="363"/>
  <c r="K123" i="363"/>
  <c r="I123" i="363"/>
  <c r="F123" i="363"/>
  <c r="E123" i="363"/>
  <c r="P123" i="363"/>
  <c r="N123" i="363"/>
  <c r="G123" i="363"/>
  <c r="H123" i="363"/>
  <c r="R123" i="363"/>
  <c r="S123" i="363" l="1"/>
  <c r="T123" i="363" s="1"/>
  <c r="U123" i="363" s="1"/>
  <c r="V123" i="363" s="1"/>
  <c r="W123" i="363" s="1"/>
  <c r="L123" i="363"/>
  <c r="Q123" i="363"/>
  <c r="J123" i="363"/>
  <c r="C124" i="363"/>
  <c r="M124" i="363"/>
  <c r="P124" i="363"/>
  <c r="G124" i="363"/>
  <c r="N124" i="363"/>
  <c r="D124" i="363"/>
  <c r="O124" i="363"/>
  <c r="E124" i="363"/>
  <c r="K124" i="363"/>
  <c r="R124" i="363"/>
  <c r="I124" i="363"/>
  <c r="F124" i="363"/>
  <c r="H124" i="363"/>
  <c r="Q124" i="363" l="1"/>
  <c r="L124" i="363"/>
  <c r="S124" i="363"/>
  <c r="T124" i="363" s="1"/>
  <c r="U124" i="363" s="1"/>
  <c r="V124" i="363" s="1"/>
  <c r="W124" i="363" s="1"/>
  <c r="J124" i="363"/>
  <c r="C125" i="363"/>
  <c r="K125" i="363"/>
  <c r="I125" i="363"/>
  <c r="P125" i="363"/>
  <c r="O125" i="363"/>
  <c r="M125" i="363"/>
  <c r="E125" i="363"/>
  <c r="G125" i="363"/>
  <c r="N125" i="363"/>
  <c r="D125" i="363"/>
  <c r="F125" i="363"/>
  <c r="R125" i="363"/>
  <c r="H125" i="363"/>
  <c r="L125" i="363" l="1"/>
  <c r="Q125" i="363"/>
  <c r="S125" i="363"/>
  <c r="T125" i="363" s="1"/>
  <c r="U125" i="363" s="1"/>
  <c r="V125" i="363" s="1"/>
  <c r="W125" i="363" s="1"/>
  <c r="J125" i="363"/>
  <c r="C126" i="363"/>
  <c r="D126" i="363"/>
  <c r="I126" i="363"/>
  <c r="R126" i="363"/>
  <c r="N126" i="363"/>
  <c r="F126" i="363"/>
  <c r="G126" i="363"/>
  <c r="E126" i="363"/>
  <c r="H126" i="363"/>
  <c r="K126" i="363"/>
  <c r="P126" i="363"/>
  <c r="M126" i="363"/>
  <c r="O126" i="363"/>
  <c r="J126" i="363" l="1"/>
  <c r="S126" i="363"/>
  <c r="T126" i="363" s="1"/>
  <c r="U126" i="363" s="1"/>
  <c r="V126" i="363" s="1"/>
  <c r="W126" i="363" s="1"/>
  <c r="Q126" i="363"/>
  <c r="L126" i="363"/>
  <c r="C127" i="363"/>
  <c r="I127" i="363"/>
  <c r="E127" i="363"/>
  <c r="M127" i="363"/>
  <c r="K127" i="363"/>
  <c r="P127" i="363"/>
  <c r="F127" i="363"/>
  <c r="D127" i="363"/>
  <c r="G127" i="363"/>
  <c r="N127" i="363"/>
  <c r="O127" i="363"/>
  <c r="H127" i="363"/>
  <c r="R127" i="363"/>
  <c r="S127" i="363" l="1"/>
  <c r="T127" i="363" s="1"/>
  <c r="U127" i="363" s="1"/>
  <c r="V127" i="363" s="1"/>
  <c r="W127" i="363" s="1"/>
  <c r="Q127" i="363"/>
  <c r="L127" i="363"/>
  <c r="J127" i="363"/>
  <c r="C128" i="363"/>
  <c r="D128" i="363"/>
  <c r="F128" i="363"/>
  <c r="O128" i="363"/>
  <c r="N128" i="363"/>
  <c r="P128" i="363"/>
  <c r="G128" i="363"/>
  <c r="E128" i="363"/>
  <c r="K128" i="363"/>
  <c r="R128" i="363"/>
  <c r="I128" i="363"/>
  <c r="H128" i="363"/>
  <c r="M128" i="363"/>
  <c r="Q128" i="363" l="1"/>
  <c r="L128" i="363"/>
  <c r="S128" i="363"/>
  <c r="T128" i="363" s="1"/>
  <c r="U128" i="363" s="1"/>
  <c r="V128" i="363" s="1"/>
  <c r="W128" i="363" s="1"/>
  <c r="J128" i="363"/>
  <c r="C129" i="363"/>
  <c r="K129" i="363"/>
  <c r="E129" i="363"/>
  <c r="G129" i="363"/>
  <c r="N129" i="363"/>
  <c r="O129" i="363"/>
  <c r="M129" i="363"/>
  <c r="D129" i="363"/>
  <c r="F129" i="363"/>
  <c r="R129" i="363"/>
  <c r="H129" i="363"/>
  <c r="I129" i="363"/>
  <c r="P129" i="363"/>
  <c r="L129" i="363" l="1"/>
  <c r="Q129" i="363"/>
  <c r="S129" i="363"/>
  <c r="T129" i="363" s="1"/>
  <c r="U129" i="363" s="1"/>
  <c r="V129" i="363" s="1"/>
  <c r="W129" i="363" s="1"/>
  <c r="J129" i="363"/>
  <c r="C130" i="363"/>
  <c r="E130" i="363"/>
  <c r="M130" i="363"/>
  <c r="O130" i="363"/>
  <c r="I130" i="363"/>
  <c r="G130" i="363"/>
  <c r="N130" i="363"/>
  <c r="K130" i="363"/>
  <c r="D130" i="363"/>
  <c r="P130" i="363"/>
  <c r="R130" i="363"/>
  <c r="F130" i="363"/>
  <c r="H130" i="363"/>
  <c r="J130" i="363" l="1"/>
  <c r="S130" i="363"/>
  <c r="T130" i="363" s="1"/>
  <c r="U130" i="363" s="1"/>
  <c r="V130" i="363" s="1"/>
  <c r="W130" i="363" s="1"/>
  <c r="L130" i="363"/>
  <c r="Q130" i="363"/>
  <c r="C131" i="363"/>
  <c r="E131" i="363"/>
  <c r="H131" i="363"/>
  <c r="R131" i="363"/>
  <c r="O131" i="363"/>
  <c r="K131" i="363"/>
  <c r="M131" i="363"/>
  <c r="D131" i="363"/>
  <c r="P131" i="363"/>
  <c r="F131" i="363"/>
  <c r="I131" i="363"/>
  <c r="G131" i="363"/>
  <c r="N131" i="363"/>
  <c r="S131" i="363" l="1"/>
  <c r="T131" i="363" s="1"/>
  <c r="U131" i="363" s="1"/>
  <c r="V131" i="363" s="1"/>
  <c r="W131" i="363" s="1"/>
  <c r="Q131" i="363"/>
  <c r="L131" i="363"/>
  <c r="J131" i="363"/>
  <c r="C132" i="363"/>
  <c r="K132" i="363"/>
  <c r="H132" i="363"/>
  <c r="M132" i="363"/>
  <c r="O132" i="363"/>
  <c r="P132" i="363"/>
  <c r="N132" i="363"/>
  <c r="D132" i="363"/>
  <c r="G132" i="363"/>
  <c r="E132" i="363"/>
  <c r="F132" i="363"/>
  <c r="R132" i="363"/>
  <c r="I132" i="363"/>
  <c r="Q132" i="363" l="1"/>
  <c r="L132" i="363"/>
  <c r="S132" i="363"/>
  <c r="T132" i="363" s="1"/>
  <c r="U132" i="363" s="1"/>
  <c r="V132" i="363" s="1"/>
  <c r="W132" i="363" s="1"/>
  <c r="J132" i="363"/>
  <c r="C133" i="363"/>
  <c r="P133" i="363"/>
  <c r="E133" i="363"/>
  <c r="G133" i="363"/>
  <c r="N133" i="363"/>
  <c r="O133" i="363"/>
  <c r="M133" i="363"/>
  <c r="D133" i="363"/>
  <c r="F133" i="363"/>
  <c r="R133" i="363"/>
  <c r="H133" i="363"/>
  <c r="K133" i="363"/>
  <c r="I133" i="363"/>
  <c r="L133" i="363" l="1"/>
  <c r="Q133" i="363"/>
  <c r="S133" i="363"/>
  <c r="T133" i="363" s="1"/>
  <c r="U133" i="363" s="1"/>
  <c r="V133" i="363" s="1"/>
  <c r="W133" i="363" s="1"/>
  <c r="J133" i="363"/>
  <c r="C134" i="363"/>
  <c r="E134" i="363"/>
  <c r="M134" i="363"/>
  <c r="O134" i="363"/>
  <c r="F134" i="363"/>
  <c r="G134" i="363"/>
  <c r="K134" i="363"/>
  <c r="D134" i="363"/>
  <c r="P134" i="363"/>
  <c r="R134" i="363"/>
  <c r="I134" i="363"/>
  <c r="N134" i="363"/>
  <c r="H134" i="363"/>
  <c r="J134" i="363" l="1"/>
  <c r="S134" i="363"/>
  <c r="T134" i="363" s="1"/>
  <c r="U134" i="363" s="1"/>
  <c r="V134" i="363" s="1"/>
  <c r="W134" i="363" s="1"/>
  <c r="Q134" i="363"/>
  <c r="L134" i="363"/>
  <c r="C135" i="363"/>
  <c r="E135" i="363"/>
  <c r="H135" i="363"/>
  <c r="R135" i="363"/>
  <c r="O135" i="363"/>
  <c r="K135" i="363"/>
  <c r="M135" i="363"/>
  <c r="P135" i="363"/>
  <c r="N135" i="363"/>
  <c r="D135" i="363"/>
  <c r="F135" i="363"/>
  <c r="I135" i="363"/>
  <c r="G135" i="363"/>
  <c r="S135" i="363" l="1"/>
  <c r="T135" i="363" s="1"/>
  <c r="U135" i="363" s="1"/>
  <c r="V135" i="363" s="1"/>
  <c r="W135" i="363" s="1"/>
  <c r="L135" i="363"/>
  <c r="Q135" i="363"/>
  <c r="J135" i="363"/>
  <c r="C136" i="363"/>
  <c r="H136" i="363"/>
  <c r="M136" i="363"/>
  <c r="O136" i="363"/>
  <c r="P136" i="363"/>
  <c r="N136" i="363"/>
  <c r="D136" i="363"/>
  <c r="G136" i="363"/>
  <c r="E136" i="363"/>
  <c r="F136" i="363"/>
  <c r="R136" i="363"/>
  <c r="I136" i="363"/>
  <c r="K136" i="363"/>
  <c r="Q136" i="363" l="1"/>
  <c r="L136" i="363"/>
  <c r="S136" i="363"/>
  <c r="T136" i="363" s="1"/>
  <c r="U136" i="363" s="1"/>
  <c r="V136" i="363" s="1"/>
  <c r="W136" i="363" s="1"/>
  <c r="J136" i="363"/>
  <c r="C137" i="363"/>
  <c r="K137" i="363"/>
  <c r="I137" i="363"/>
  <c r="P137" i="363"/>
  <c r="G137" i="363"/>
  <c r="N137" i="363"/>
  <c r="O137" i="363"/>
  <c r="M137" i="363"/>
  <c r="R137" i="363"/>
  <c r="E137" i="363"/>
  <c r="D137" i="363"/>
  <c r="F137" i="363"/>
  <c r="H137" i="363"/>
  <c r="L137" i="363" l="1"/>
  <c r="Q137" i="363"/>
  <c r="S137" i="363"/>
  <c r="T137" i="363" s="1"/>
  <c r="U137" i="363" s="1"/>
  <c r="V137" i="363" s="1"/>
  <c r="W137" i="363" s="1"/>
  <c r="J137" i="363"/>
  <c r="C138" i="363"/>
  <c r="E138" i="363"/>
  <c r="M138" i="363"/>
  <c r="O138" i="363"/>
  <c r="D138" i="363"/>
  <c r="P138" i="363"/>
  <c r="R138" i="363"/>
  <c r="K138" i="363"/>
  <c r="I138" i="363"/>
  <c r="F138" i="363"/>
  <c r="G138" i="363"/>
  <c r="N138" i="363"/>
  <c r="H138" i="363"/>
  <c r="J138" i="363" l="1"/>
  <c r="S138" i="363"/>
  <c r="T138" i="363" s="1"/>
  <c r="U138" i="363" s="1"/>
  <c r="V138" i="363" s="1"/>
  <c r="W138" i="363" s="1"/>
  <c r="L138" i="363"/>
  <c r="Q138" i="363"/>
  <c r="C139" i="363"/>
  <c r="E139" i="363"/>
  <c r="R139" i="363"/>
  <c r="M139" i="363"/>
  <c r="P139" i="363"/>
  <c r="I139" i="363"/>
  <c r="G139" i="363"/>
  <c r="N139" i="363"/>
  <c r="H139" i="363"/>
  <c r="O139" i="363"/>
  <c r="K139" i="363"/>
  <c r="D139" i="363"/>
  <c r="F139" i="363"/>
  <c r="S139" i="363" l="1"/>
  <c r="T139" i="363" s="1"/>
  <c r="U139" i="363" s="1"/>
  <c r="V139" i="363" s="1"/>
  <c r="W139" i="363" s="1"/>
  <c r="L139" i="363"/>
  <c r="Q139" i="363"/>
  <c r="J139" i="363"/>
  <c r="C140" i="363"/>
  <c r="P140" i="363"/>
  <c r="F140" i="363"/>
  <c r="R140" i="363"/>
  <c r="I140" i="363"/>
  <c r="K140" i="363"/>
  <c r="H140" i="363"/>
  <c r="M140" i="363"/>
  <c r="O140" i="363"/>
  <c r="N140" i="363"/>
  <c r="D140" i="363"/>
  <c r="G140" i="363"/>
  <c r="E140" i="363"/>
  <c r="Q140" i="363" l="1"/>
  <c r="L140" i="363"/>
  <c r="S140" i="363"/>
  <c r="T140" i="363" s="1"/>
  <c r="U140" i="363" s="1"/>
  <c r="V140" i="363" s="1"/>
  <c r="W140" i="363" s="1"/>
  <c r="J140" i="363"/>
  <c r="C141" i="363"/>
  <c r="K141" i="363"/>
  <c r="I141" i="363"/>
  <c r="P141" i="363"/>
  <c r="E141" i="363"/>
  <c r="G141" i="363"/>
  <c r="F141" i="363"/>
  <c r="R141" i="363"/>
  <c r="H141" i="363"/>
  <c r="N141" i="363"/>
  <c r="O141" i="363"/>
  <c r="M141" i="363"/>
  <c r="D141" i="363"/>
  <c r="L141" i="363" l="1"/>
  <c r="Q141" i="363"/>
  <c r="S141" i="363"/>
  <c r="T141" i="363" s="1"/>
  <c r="U141" i="363" s="1"/>
  <c r="V141" i="363" s="1"/>
  <c r="W141" i="363" s="1"/>
  <c r="J141" i="363"/>
  <c r="C142" i="363"/>
  <c r="F142" i="363"/>
  <c r="I142" i="363"/>
  <c r="O142" i="363"/>
  <c r="D142" i="363"/>
  <c r="H142" i="363"/>
  <c r="N142" i="363"/>
  <c r="E142" i="363"/>
  <c r="M142" i="363"/>
  <c r="P142" i="363"/>
  <c r="R142" i="363"/>
  <c r="K142" i="363"/>
  <c r="G142" i="363"/>
  <c r="J142" i="363" l="1"/>
  <c r="Q142" i="363"/>
  <c r="L142" i="363"/>
  <c r="S142" i="363"/>
  <c r="T142" i="363" s="1"/>
  <c r="U142" i="363" s="1"/>
  <c r="V142" i="363" s="1"/>
  <c r="W142" i="363" s="1"/>
  <c r="C143" i="363"/>
  <c r="G143" i="363"/>
  <c r="I143" i="363"/>
  <c r="R143" i="363"/>
  <c r="E143" i="363"/>
  <c r="O143" i="363"/>
  <c r="F143" i="363"/>
  <c r="H143" i="363"/>
  <c r="P143" i="363"/>
  <c r="D143" i="363"/>
  <c r="N143" i="363"/>
  <c r="K143" i="363"/>
  <c r="M143" i="363"/>
  <c r="S143" i="363" l="1"/>
  <c r="T143" i="363" s="1"/>
  <c r="U143" i="363" s="1"/>
  <c r="V143" i="363" s="1"/>
  <c r="W143" i="363" s="1"/>
  <c r="Q143" i="363"/>
  <c r="L143" i="363"/>
  <c r="J143" i="363"/>
  <c r="C144" i="363"/>
  <c r="H144" i="363"/>
  <c r="P144" i="363"/>
  <c r="N144" i="363"/>
  <c r="I144" i="363"/>
  <c r="G144" i="363"/>
  <c r="D144" i="363"/>
  <c r="M144" i="363"/>
  <c r="F144" i="363"/>
  <c r="R144" i="363"/>
  <c r="O144" i="363"/>
  <c r="K144" i="363"/>
  <c r="E144" i="363"/>
  <c r="Q144" i="363" l="1"/>
  <c r="L144" i="363"/>
  <c r="S144" i="363"/>
  <c r="T144" i="363" s="1"/>
  <c r="U144" i="363" s="1"/>
  <c r="V144" i="363" s="1"/>
  <c r="W144" i="363" s="1"/>
  <c r="J144" i="363"/>
  <c r="C145" i="363"/>
  <c r="M145" i="363"/>
  <c r="K145" i="363"/>
  <c r="H145" i="363"/>
  <c r="N145" i="363"/>
  <c r="G145" i="363"/>
  <c r="E145" i="363"/>
  <c r="P145" i="363"/>
  <c r="O145" i="363"/>
  <c r="R145" i="363"/>
  <c r="F145" i="363"/>
  <c r="I145" i="363"/>
  <c r="D145" i="363"/>
  <c r="S145" i="363" l="1"/>
  <c r="T145" i="363" s="1"/>
  <c r="U145" i="363" s="1"/>
  <c r="V145" i="363" s="1"/>
  <c r="W145" i="363" s="1"/>
  <c r="L145" i="363"/>
  <c r="Q145" i="363"/>
  <c r="J145" i="363"/>
  <c r="C146" i="363"/>
  <c r="N146" i="363"/>
  <c r="M146" i="363"/>
  <c r="O146" i="363"/>
  <c r="P146" i="363"/>
  <c r="H146" i="363"/>
  <c r="F146" i="363"/>
  <c r="G146" i="363"/>
  <c r="I146" i="363"/>
  <c r="K146" i="363"/>
  <c r="R146" i="363"/>
  <c r="D146" i="363"/>
  <c r="E146" i="363"/>
  <c r="J146" i="363" l="1"/>
  <c r="Q146" i="363"/>
  <c r="L146" i="363"/>
  <c r="S146" i="363"/>
  <c r="T146" i="363" s="1"/>
  <c r="U146" i="363" s="1"/>
  <c r="V146" i="363" s="1"/>
  <c r="W146" i="363" s="1"/>
  <c r="C147" i="363"/>
  <c r="O147" i="363"/>
  <c r="E147" i="363"/>
  <c r="I147" i="363"/>
  <c r="R147" i="363"/>
  <c r="M147" i="363"/>
  <c r="K147" i="363"/>
  <c r="D147" i="363"/>
  <c r="G147" i="363"/>
  <c r="F147" i="363"/>
  <c r="H147" i="363"/>
  <c r="N147" i="363"/>
  <c r="P147" i="363"/>
  <c r="S147" i="363" l="1"/>
  <c r="T147" i="363" s="1"/>
  <c r="U147" i="363" s="1"/>
  <c r="V147" i="363" s="1"/>
  <c r="W147" i="363" s="1"/>
  <c r="L147" i="363"/>
  <c r="Q147" i="363"/>
  <c r="J147" i="363"/>
  <c r="C148" i="363"/>
  <c r="F148" i="363"/>
  <c r="R148" i="363"/>
  <c r="N148" i="363"/>
  <c r="D148" i="363"/>
  <c r="H148" i="363"/>
  <c r="E148" i="363"/>
  <c r="K148" i="363"/>
  <c r="P148" i="363"/>
  <c r="I148" i="363"/>
  <c r="O148" i="363"/>
  <c r="M148" i="363"/>
  <c r="G148" i="363"/>
  <c r="J148" i="363" l="1"/>
  <c r="S148" i="363"/>
  <c r="T148" i="363" s="1"/>
  <c r="U148" i="363" s="1"/>
  <c r="V148" i="363" s="1"/>
  <c r="W148" i="363" s="1"/>
  <c r="Q148" i="363"/>
  <c r="L148" i="363"/>
  <c r="C149" i="363"/>
  <c r="N149" i="363"/>
  <c r="M149" i="363"/>
  <c r="P149" i="363"/>
  <c r="I149" i="363"/>
  <c r="G149" i="363"/>
  <c r="R149" i="363"/>
  <c r="K149" i="363"/>
  <c r="D149" i="363"/>
  <c r="E149" i="363"/>
  <c r="H149" i="363"/>
  <c r="O149" i="363"/>
  <c r="F149" i="363"/>
  <c r="S149" i="363" l="1"/>
  <c r="T149" i="363" s="1"/>
  <c r="U149" i="363" s="1"/>
  <c r="V149" i="363" s="1"/>
  <c r="W149" i="363" s="1"/>
  <c r="L149" i="363"/>
  <c r="Q149" i="363"/>
  <c r="J149" i="363"/>
  <c r="C150" i="363"/>
  <c r="E150" i="363"/>
  <c r="I150" i="363"/>
  <c r="H150" i="363"/>
  <c r="P150" i="363"/>
  <c r="G150" i="363"/>
  <c r="R150" i="363"/>
  <c r="F150" i="363"/>
  <c r="M150" i="363"/>
  <c r="D150" i="363"/>
  <c r="K150" i="363"/>
  <c r="O150" i="363"/>
  <c r="N150" i="363"/>
  <c r="J150" i="363" l="1"/>
  <c r="Q150" i="363"/>
  <c r="L150" i="363"/>
  <c r="S150" i="363"/>
  <c r="T150" i="363" s="1"/>
  <c r="U150" i="363" s="1"/>
  <c r="V150" i="363" s="1"/>
  <c r="W150" i="363" s="1"/>
  <c r="C151" i="363"/>
  <c r="F151" i="363"/>
  <c r="M151" i="363"/>
  <c r="O151" i="363"/>
  <c r="I151" i="363"/>
  <c r="N151" i="363"/>
  <c r="R151" i="363"/>
  <c r="P151" i="363"/>
  <c r="D151" i="363"/>
  <c r="G151" i="363"/>
  <c r="H151" i="363"/>
  <c r="K151" i="363"/>
  <c r="E151" i="363"/>
  <c r="J151" i="363" l="1"/>
  <c r="S151" i="363"/>
  <c r="T151" i="363" s="1"/>
  <c r="U151" i="363" s="1"/>
  <c r="V151" i="363" s="1"/>
  <c r="W151" i="363" s="1"/>
  <c r="L151" i="363"/>
  <c r="Q151" i="363"/>
  <c r="C152" i="363"/>
  <c r="R152" i="363"/>
  <c r="O152" i="363"/>
  <c r="F152" i="363"/>
  <c r="I152" i="363"/>
  <c r="D152" i="363"/>
  <c r="P152" i="363"/>
  <c r="N152" i="363"/>
  <c r="G152" i="363"/>
  <c r="H152" i="363"/>
  <c r="K152" i="363"/>
  <c r="E152" i="363"/>
  <c r="M152" i="363"/>
  <c r="S152" i="363" l="1"/>
  <c r="T152" i="363" s="1"/>
  <c r="U152" i="363" s="1"/>
  <c r="V152" i="363" s="1"/>
  <c r="W152" i="363" s="1"/>
  <c r="Q152" i="363"/>
  <c r="L152" i="363"/>
  <c r="J152" i="363"/>
  <c r="C153" i="363"/>
  <c r="P153" i="363"/>
  <c r="R153" i="363"/>
  <c r="N153" i="363"/>
  <c r="F153" i="363"/>
  <c r="G153" i="363"/>
  <c r="D153" i="363"/>
  <c r="O153" i="363"/>
  <c r="I153" i="363"/>
  <c r="K153" i="363"/>
  <c r="H153" i="363"/>
  <c r="M153" i="363"/>
  <c r="E153" i="363"/>
  <c r="Q153" i="363" l="1"/>
  <c r="L153" i="363"/>
  <c r="S153" i="363"/>
  <c r="T153" i="363" s="1"/>
  <c r="U153" i="363" s="1"/>
  <c r="V153" i="363" s="1"/>
  <c r="W153" i="363" s="1"/>
  <c r="J153" i="363"/>
  <c r="C154" i="363"/>
  <c r="K154" i="363"/>
  <c r="I154" i="363"/>
  <c r="P154" i="363"/>
  <c r="O154" i="363"/>
  <c r="N154" i="363"/>
  <c r="E154" i="363"/>
  <c r="R154" i="363"/>
  <c r="F154" i="363"/>
  <c r="G154" i="363"/>
  <c r="M154" i="363"/>
  <c r="H154" i="363"/>
  <c r="D154" i="363"/>
  <c r="Q154" i="363" l="1"/>
  <c r="L154" i="363"/>
  <c r="J154" i="363"/>
  <c r="S154" i="363"/>
  <c r="T154" i="363" s="1"/>
  <c r="U154" i="363" s="1"/>
  <c r="V154" i="363" s="1"/>
  <c r="W154" i="363" s="1"/>
  <c r="C155" i="363"/>
  <c r="F155" i="363"/>
  <c r="M155" i="363"/>
  <c r="O155" i="363"/>
  <c r="N155" i="363"/>
  <c r="R155" i="363"/>
  <c r="E155" i="363"/>
  <c r="I155" i="363"/>
  <c r="P155" i="363"/>
  <c r="D155" i="363"/>
  <c r="G155" i="363"/>
  <c r="H155" i="363"/>
  <c r="K155" i="363"/>
  <c r="J155" i="363" l="1"/>
  <c r="S155" i="363"/>
  <c r="T155" i="363" s="1"/>
  <c r="U155" i="363" s="1"/>
  <c r="V155" i="363" s="1"/>
  <c r="W155" i="363" s="1"/>
  <c r="Q155" i="363"/>
  <c r="L155" i="363"/>
  <c r="C156" i="363"/>
  <c r="G156" i="363"/>
  <c r="M156" i="363"/>
  <c r="P156" i="363"/>
  <c r="K156" i="363"/>
  <c r="F156" i="363"/>
  <c r="I156" i="363"/>
  <c r="D156" i="363"/>
  <c r="N156" i="363"/>
  <c r="H156" i="363"/>
  <c r="R156" i="363"/>
  <c r="O156" i="363"/>
  <c r="E156" i="363"/>
  <c r="S156" i="363" l="1"/>
  <c r="T156" i="363" s="1"/>
  <c r="U156" i="363" s="1"/>
  <c r="V156" i="363" s="1"/>
  <c r="W156" i="363" s="1"/>
  <c r="L156" i="363"/>
  <c r="Q156" i="363"/>
  <c r="J156" i="363"/>
  <c r="C157" i="363"/>
  <c r="R157" i="363"/>
  <c r="H157" i="363"/>
  <c r="G157" i="363"/>
  <c r="I157" i="363"/>
  <c r="F157" i="363"/>
  <c r="K157" i="363"/>
  <c r="M157" i="363"/>
  <c r="N157" i="363"/>
  <c r="P157" i="363"/>
  <c r="O157" i="363"/>
  <c r="D157" i="363"/>
  <c r="E157" i="363"/>
  <c r="J157" i="363" l="1"/>
  <c r="S157" i="363"/>
  <c r="T157" i="363" s="1"/>
  <c r="U157" i="363" s="1"/>
  <c r="V157" i="363" s="1"/>
  <c r="W157" i="363" s="1"/>
  <c r="Q157" i="363"/>
  <c r="L157" i="363"/>
  <c r="C158" i="363"/>
  <c r="M158" i="363"/>
  <c r="R158" i="363"/>
  <c r="D158" i="363"/>
  <c r="G158" i="363"/>
  <c r="E158" i="363"/>
  <c r="F158" i="363"/>
  <c r="H158" i="363"/>
  <c r="K158" i="363"/>
  <c r="N158" i="363"/>
  <c r="P158" i="363"/>
  <c r="I158" i="363"/>
  <c r="O158" i="363"/>
  <c r="S158" i="363" l="1"/>
  <c r="T158" i="363" s="1"/>
  <c r="U158" i="363" s="1"/>
  <c r="V158" i="363" s="1"/>
  <c r="W158" i="363" s="1"/>
  <c r="L158" i="363"/>
  <c r="Q158" i="363"/>
  <c r="J158" i="363"/>
  <c r="C159" i="363"/>
  <c r="M159" i="363"/>
  <c r="G159" i="363"/>
  <c r="D159" i="363"/>
  <c r="E159" i="363"/>
  <c r="K159" i="363"/>
  <c r="N159" i="363"/>
  <c r="I159" i="363"/>
  <c r="O159" i="363"/>
  <c r="R159" i="363"/>
  <c r="H159" i="363"/>
  <c r="F159" i="363"/>
  <c r="P159" i="363"/>
  <c r="J159" i="363" l="1"/>
  <c r="L159" i="363"/>
  <c r="Q159" i="363"/>
  <c r="S159" i="363"/>
  <c r="T159" i="363" s="1"/>
  <c r="U159" i="363" s="1"/>
  <c r="V159" i="363" s="1"/>
  <c r="W159" i="363" s="1"/>
  <c r="C160" i="363"/>
  <c r="M160" i="363"/>
  <c r="H160" i="363"/>
  <c r="R160" i="363"/>
  <c r="E160" i="363"/>
  <c r="G160" i="363"/>
  <c r="P160" i="363"/>
  <c r="I160" i="363"/>
  <c r="K160" i="363"/>
  <c r="F160" i="363"/>
  <c r="O160" i="363"/>
  <c r="D160" i="363"/>
  <c r="N160" i="363"/>
  <c r="S160" i="363" l="1"/>
  <c r="T160" i="363" s="1"/>
  <c r="U160" i="363" s="1"/>
  <c r="V160" i="363" s="1"/>
  <c r="W160" i="363" s="1"/>
  <c r="Q160" i="363"/>
  <c r="L160" i="363"/>
  <c r="J160" i="363"/>
  <c r="C161" i="363"/>
  <c r="F161" i="363"/>
  <c r="K161" i="363"/>
  <c r="P161" i="363"/>
  <c r="E161" i="363"/>
  <c r="R161" i="363"/>
  <c r="G161" i="363"/>
  <c r="I161" i="363"/>
  <c r="M161" i="363"/>
  <c r="H161" i="363"/>
  <c r="O161" i="363"/>
  <c r="N161" i="363"/>
  <c r="D161" i="363"/>
  <c r="J161" i="363" l="1"/>
  <c r="S161" i="363"/>
  <c r="T161" i="363" s="1"/>
  <c r="U161" i="363" s="1"/>
  <c r="V161" i="363" s="1"/>
  <c r="W161" i="363" s="1"/>
  <c r="L161" i="363"/>
  <c r="Q161" i="363"/>
  <c r="C162" i="363"/>
  <c r="E162" i="363"/>
  <c r="I162" i="363"/>
  <c r="G162" i="363"/>
  <c r="M162" i="363"/>
  <c r="K162" i="363"/>
  <c r="F162" i="363"/>
  <c r="H162" i="363"/>
  <c r="N162" i="363"/>
  <c r="P162" i="363"/>
  <c r="R162" i="363"/>
  <c r="O162" i="363"/>
  <c r="D162" i="363"/>
  <c r="S162" i="363" l="1"/>
  <c r="T162" i="363" s="1"/>
  <c r="U162" i="363" s="1"/>
  <c r="V162" i="363" s="1"/>
  <c r="W162" i="363" s="1"/>
  <c r="Q162" i="363"/>
  <c r="L162" i="363"/>
  <c r="J162" i="363"/>
  <c r="C163" i="363"/>
  <c r="F163" i="363"/>
  <c r="P163" i="363"/>
  <c r="D163" i="363"/>
  <c r="E163" i="363"/>
  <c r="K163" i="363"/>
  <c r="N163" i="363"/>
  <c r="I163" i="363"/>
  <c r="O163" i="363"/>
  <c r="H163" i="363"/>
  <c r="M163" i="363"/>
  <c r="R163" i="363"/>
  <c r="G163" i="363"/>
  <c r="J163" i="363" l="1"/>
  <c r="Q163" i="363"/>
  <c r="L163" i="363"/>
  <c r="S163" i="363"/>
  <c r="T163" i="363" s="1"/>
  <c r="U163" i="363" s="1"/>
  <c r="V163" i="363" s="1"/>
  <c r="W163" i="363" s="1"/>
  <c r="C164" i="363"/>
  <c r="E164" i="363"/>
  <c r="F164" i="363"/>
  <c r="I164" i="363"/>
  <c r="D164" i="363"/>
  <c r="N164" i="363"/>
  <c r="G164" i="363"/>
  <c r="H164" i="363"/>
  <c r="R164" i="363"/>
  <c r="O164" i="363"/>
  <c r="M164" i="363"/>
  <c r="P164" i="363"/>
  <c r="K164" i="363"/>
  <c r="S164" i="363" l="1"/>
  <c r="T164" i="363" s="1"/>
  <c r="U164" i="363" s="1"/>
  <c r="V164" i="363" s="1"/>
  <c r="W164" i="363" s="1"/>
  <c r="Q164" i="363"/>
  <c r="L164" i="363"/>
  <c r="J164" i="363"/>
  <c r="C165" i="363"/>
  <c r="N165" i="363"/>
  <c r="D165" i="363"/>
  <c r="H165" i="363"/>
  <c r="G165" i="363"/>
  <c r="I165" i="363"/>
  <c r="F165" i="363"/>
  <c r="K165" i="363"/>
  <c r="M165" i="363"/>
  <c r="P165" i="363"/>
  <c r="O165" i="363"/>
  <c r="R165" i="363"/>
  <c r="E165" i="363"/>
  <c r="J165" i="363" l="1"/>
  <c r="S165" i="363"/>
  <c r="T165" i="363" s="1"/>
  <c r="U165" i="363" s="1"/>
  <c r="V165" i="363" s="1"/>
  <c r="W165" i="363" s="1"/>
  <c r="Q165" i="363"/>
  <c r="L165" i="363"/>
  <c r="C166" i="363"/>
  <c r="R166" i="363"/>
  <c r="O166" i="363"/>
  <c r="D166" i="363"/>
  <c r="E166" i="363"/>
  <c r="F166" i="363"/>
  <c r="H166" i="363"/>
  <c r="K166" i="363"/>
  <c r="N166" i="363"/>
  <c r="P166" i="363"/>
  <c r="M166" i="363"/>
  <c r="G166" i="363"/>
  <c r="I166" i="363"/>
  <c r="S166" i="363" l="1"/>
  <c r="T166" i="363" s="1"/>
  <c r="U166" i="363" s="1"/>
  <c r="V166" i="363" s="1"/>
  <c r="W166" i="363" s="1"/>
  <c r="Q166" i="363"/>
  <c r="L166" i="363"/>
  <c r="J166" i="363"/>
  <c r="C167" i="363"/>
  <c r="F167" i="363"/>
  <c r="G167" i="363"/>
  <c r="D167" i="363"/>
  <c r="E167" i="363"/>
  <c r="K167" i="363"/>
  <c r="N167" i="363"/>
  <c r="I167" i="363"/>
  <c r="O167" i="363"/>
  <c r="R167" i="363"/>
  <c r="H167" i="363"/>
  <c r="M167" i="363"/>
  <c r="P167" i="363"/>
  <c r="J167" i="363" l="1"/>
  <c r="L167" i="363"/>
  <c r="Q167" i="363"/>
  <c r="S167" i="363"/>
  <c r="T167" i="363" s="1"/>
  <c r="U167" i="363" s="1"/>
  <c r="V167" i="363" s="1"/>
  <c r="W167" i="363" s="1"/>
  <c r="C168" i="363"/>
  <c r="M168" i="363"/>
  <c r="R168" i="363"/>
  <c r="P168" i="363"/>
  <c r="F168" i="363"/>
  <c r="E168" i="363"/>
  <c r="K168" i="363"/>
  <c r="O168" i="363"/>
  <c r="D168" i="363"/>
  <c r="N168" i="363"/>
  <c r="H168" i="363"/>
  <c r="G168" i="363"/>
  <c r="I168" i="363"/>
  <c r="S168" i="363" l="1"/>
  <c r="T168" i="363" s="1"/>
  <c r="U168" i="363" s="1"/>
  <c r="V168" i="363" s="1"/>
  <c r="W168" i="363" s="1"/>
  <c r="L168" i="363"/>
  <c r="Q168" i="363"/>
  <c r="J168" i="363"/>
  <c r="C169" i="363"/>
  <c r="N169" i="363"/>
  <c r="R169" i="363"/>
  <c r="G169" i="363"/>
  <c r="I169" i="363"/>
  <c r="F169" i="363"/>
  <c r="K169" i="363"/>
  <c r="M169" i="363"/>
  <c r="H169" i="363"/>
  <c r="P169" i="363"/>
  <c r="O169" i="363"/>
  <c r="D169" i="363"/>
  <c r="E169" i="363"/>
  <c r="J169" i="363" l="1"/>
  <c r="S169" i="363"/>
  <c r="T169" i="363" s="1"/>
  <c r="U169" i="363" s="1"/>
  <c r="V169" i="363" s="1"/>
  <c r="W169" i="363" s="1"/>
  <c r="Q169" i="363"/>
  <c r="L169" i="363"/>
  <c r="C170" i="363"/>
  <c r="D170" i="363"/>
  <c r="K170" i="363"/>
  <c r="F170" i="363"/>
  <c r="H170" i="363"/>
  <c r="E170" i="363"/>
  <c r="N170" i="363"/>
  <c r="P170" i="363"/>
  <c r="I170" i="363"/>
  <c r="G170" i="363"/>
  <c r="R170" i="363"/>
  <c r="M170" i="363"/>
  <c r="O170" i="363"/>
  <c r="S170" i="363" l="1"/>
  <c r="T170" i="363" s="1"/>
  <c r="U170" i="363" s="1"/>
  <c r="V170" i="363" s="1"/>
  <c r="W170" i="363" s="1"/>
  <c r="L170" i="363"/>
  <c r="Q170" i="363"/>
  <c r="J170" i="363"/>
  <c r="C171" i="363"/>
  <c r="I171" i="363"/>
  <c r="O171" i="363"/>
  <c r="F171" i="363"/>
  <c r="H171" i="363"/>
  <c r="M171" i="363"/>
  <c r="R171" i="363"/>
  <c r="P171" i="363"/>
  <c r="G171" i="363"/>
  <c r="D171" i="363"/>
  <c r="E171" i="363"/>
  <c r="K171" i="363"/>
  <c r="N171" i="363"/>
  <c r="J171" i="363" l="1"/>
  <c r="L171" i="363"/>
  <c r="Q171" i="363"/>
  <c r="S171" i="363"/>
  <c r="T171" i="363" s="1"/>
  <c r="U171" i="363" s="1"/>
  <c r="V171" i="363" s="1"/>
  <c r="W171" i="363" s="1"/>
  <c r="C172" i="363"/>
  <c r="O172" i="363"/>
  <c r="M172" i="363"/>
  <c r="P172" i="363"/>
  <c r="E172" i="363"/>
  <c r="K172" i="363"/>
  <c r="F172" i="363"/>
  <c r="N172" i="363"/>
  <c r="R172" i="363"/>
  <c r="G172" i="363"/>
  <c r="I172" i="363"/>
  <c r="D172" i="363"/>
  <c r="H172" i="363"/>
  <c r="S172" i="363" l="1"/>
  <c r="T172" i="363" s="1"/>
  <c r="U172" i="363" s="1"/>
  <c r="V172" i="363" s="1"/>
  <c r="W172" i="363" s="1"/>
  <c r="L172" i="363"/>
  <c r="Q172" i="363"/>
  <c r="J172" i="363"/>
  <c r="C173" i="363"/>
  <c r="R173" i="363"/>
  <c r="H173" i="363"/>
  <c r="G173" i="363"/>
  <c r="I173" i="363"/>
  <c r="F173" i="363"/>
  <c r="K173" i="363"/>
  <c r="M173" i="363"/>
  <c r="N173" i="363"/>
  <c r="P173" i="363"/>
  <c r="O173" i="363"/>
  <c r="D173" i="363"/>
  <c r="E173" i="363"/>
  <c r="J173" i="363" l="1"/>
  <c r="S173" i="363"/>
  <c r="T173" i="363" s="1"/>
  <c r="U173" i="363" s="1"/>
  <c r="V173" i="363" s="1"/>
  <c r="W173" i="363" s="1"/>
  <c r="Q173" i="363"/>
  <c r="L173" i="363"/>
  <c r="C174" i="363"/>
  <c r="K174" i="363"/>
  <c r="N174" i="363"/>
  <c r="E174" i="363"/>
  <c r="F174" i="363"/>
  <c r="H174" i="363"/>
  <c r="P174" i="363"/>
  <c r="M174" i="363"/>
  <c r="G174" i="363"/>
  <c r="R174" i="363"/>
  <c r="I174" i="363"/>
  <c r="O174" i="363"/>
  <c r="D174" i="363"/>
  <c r="S174" i="363" l="1"/>
  <c r="T174" i="363" s="1"/>
  <c r="U174" i="363" s="1"/>
  <c r="V174" i="363" s="1"/>
  <c r="W174" i="363" s="1"/>
  <c r="L174" i="363"/>
  <c r="Q174" i="363"/>
  <c r="J174" i="363"/>
  <c r="C175" i="363"/>
  <c r="I175" i="363"/>
  <c r="H175" i="363"/>
  <c r="F175" i="363"/>
  <c r="G175" i="363"/>
  <c r="D175" i="363"/>
  <c r="E175" i="363"/>
  <c r="K175" i="363"/>
  <c r="N175" i="363"/>
  <c r="O175" i="363"/>
  <c r="R175" i="363"/>
  <c r="M175" i="363"/>
  <c r="P175" i="363"/>
  <c r="J175" i="363" l="1"/>
  <c r="Q175" i="363"/>
  <c r="L175" i="363"/>
  <c r="S175" i="363"/>
  <c r="T175" i="363" s="1"/>
  <c r="U175" i="363" s="1"/>
  <c r="V175" i="363" s="1"/>
  <c r="W175" i="363" s="1"/>
  <c r="C176" i="363"/>
  <c r="M176" i="363"/>
  <c r="H176" i="363"/>
  <c r="R176" i="363"/>
  <c r="G176" i="363"/>
  <c r="F176" i="363"/>
  <c r="D176" i="363"/>
  <c r="E176" i="363"/>
  <c r="P176" i="363"/>
  <c r="I176" i="363"/>
  <c r="K176" i="363"/>
  <c r="O176" i="363"/>
  <c r="N176" i="363"/>
  <c r="S176" i="363" l="1"/>
  <c r="T176" i="363" s="1"/>
  <c r="U176" i="363" s="1"/>
  <c r="V176" i="363" s="1"/>
  <c r="W176" i="363" s="1"/>
  <c r="Q176" i="363"/>
  <c r="L176" i="363"/>
  <c r="J176" i="363"/>
  <c r="C177" i="363"/>
  <c r="F177" i="363"/>
  <c r="K177" i="363"/>
  <c r="M177" i="363"/>
  <c r="D177" i="363"/>
  <c r="I177" i="363"/>
  <c r="H177" i="363"/>
  <c r="P177" i="363"/>
  <c r="O177" i="363"/>
  <c r="N177" i="363"/>
  <c r="E177" i="363"/>
  <c r="R177" i="363"/>
  <c r="G177" i="363"/>
  <c r="J177" i="363" l="1"/>
  <c r="S177" i="363"/>
  <c r="T177" i="363" s="1"/>
  <c r="U177" i="363" s="1"/>
  <c r="V177" i="363" s="1"/>
  <c r="W177" i="363" s="1"/>
  <c r="L177" i="363"/>
  <c r="Q177" i="363"/>
  <c r="C178" i="363"/>
  <c r="G178" i="363"/>
  <c r="N178" i="363"/>
  <c r="K178" i="363"/>
  <c r="R178" i="363"/>
  <c r="I178" i="363"/>
  <c r="E178" i="363"/>
  <c r="F178" i="363"/>
  <c r="H178" i="363"/>
  <c r="P178" i="363"/>
  <c r="O178" i="363"/>
  <c r="M178" i="363"/>
  <c r="D178" i="363"/>
  <c r="S178" i="363" l="1"/>
  <c r="T178" i="363" s="1"/>
  <c r="U178" i="363" s="1"/>
  <c r="V178" i="363" s="1"/>
  <c r="W178" i="363" s="1"/>
  <c r="Q178" i="363"/>
  <c r="L178" i="363"/>
  <c r="J178" i="363"/>
  <c r="C179" i="363"/>
  <c r="G179" i="363"/>
  <c r="F179" i="363"/>
  <c r="P179" i="363"/>
  <c r="M179" i="363"/>
  <c r="D179" i="363"/>
  <c r="E179" i="363"/>
  <c r="K179" i="363"/>
  <c r="H179" i="363"/>
  <c r="I179" i="363"/>
  <c r="O179" i="363"/>
  <c r="N179" i="363"/>
  <c r="R179" i="363"/>
  <c r="J179" i="363" l="1"/>
  <c r="S179" i="363"/>
  <c r="T179" i="363" s="1"/>
  <c r="U179" i="363" s="1"/>
  <c r="V179" i="363" s="1"/>
  <c r="W179" i="363" s="1"/>
  <c r="Q179" i="363"/>
  <c r="L179" i="363"/>
  <c r="C180" i="363"/>
  <c r="K180" i="363"/>
  <c r="H180" i="363"/>
  <c r="R180" i="363"/>
  <c r="G180" i="363"/>
  <c r="E180" i="363"/>
  <c r="M180" i="363"/>
  <c r="I180" i="363"/>
  <c r="D180" i="363"/>
  <c r="N180" i="363"/>
  <c r="P180" i="363"/>
  <c r="O180" i="363"/>
  <c r="F180" i="363"/>
  <c r="S180" i="363" l="1"/>
  <c r="T180" i="363" s="1"/>
  <c r="U180" i="363" s="1"/>
  <c r="V180" i="363" s="1"/>
  <c r="W180" i="363" s="1"/>
  <c r="Q180" i="363"/>
  <c r="L180" i="363"/>
  <c r="J180" i="363"/>
  <c r="C181" i="363"/>
  <c r="H181" i="363"/>
  <c r="F181" i="363"/>
  <c r="O181" i="363"/>
  <c r="P181" i="363"/>
  <c r="N181" i="363"/>
  <c r="E181" i="363"/>
  <c r="R181" i="363"/>
  <c r="G181" i="363"/>
  <c r="I181" i="363"/>
  <c r="D181" i="363"/>
  <c r="K181" i="363"/>
  <c r="M181" i="363"/>
  <c r="J181" i="363" l="1"/>
  <c r="L181" i="363"/>
  <c r="Q181" i="363"/>
  <c r="S181" i="363"/>
  <c r="T181" i="363" s="1"/>
  <c r="U181" i="363" s="1"/>
  <c r="V181" i="363" s="1"/>
  <c r="W181" i="363" s="1"/>
  <c r="C182" i="363"/>
  <c r="I182" i="363"/>
  <c r="E182" i="363"/>
  <c r="F182" i="363"/>
  <c r="H182" i="363"/>
  <c r="G182" i="363"/>
  <c r="N182" i="363"/>
  <c r="P182" i="363"/>
  <c r="K182" i="363"/>
  <c r="O182" i="363"/>
  <c r="R182" i="363"/>
  <c r="M182" i="363"/>
  <c r="D182" i="363"/>
  <c r="S182" i="363" l="1"/>
  <c r="T182" i="363" s="1"/>
  <c r="U182" i="363" s="1"/>
  <c r="V182" i="363" s="1"/>
  <c r="W182" i="363" s="1"/>
  <c r="Q182" i="363"/>
  <c r="L182" i="363"/>
  <c r="J182" i="363"/>
  <c r="C183" i="363"/>
  <c r="H183" i="363"/>
  <c r="D183" i="363"/>
  <c r="E183" i="363"/>
  <c r="N183" i="363"/>
  <c r="O183" i="363"/>
  <c r="K183" i="363"/>
  <c r="R183" i="363"/>
  <c r="I183" i="363"/>
  <c r="P183" i="363"/>
  <c r="G183" i="363"/>
  <c r="M183" i="363"/>
  <c r="F183" i="363"/>
  <c r="S183" i="363" l="1"/>
  <c r="T183" i="363" s="1"/>
  <c r="U183" i="363" s="1"/>
  <c r="V183" i="363" s="1"/>
  <c r="W183" i="363" s="1"/>
  <c r="Q183" i="363"/>
  <c r="L183" i="363"/>
  <c r="J183" i="363"/>
  <c r="C184" i="363"/>
  <c r="F184" i="363"/>
  <c r="P184" i="363"/>
  <c r="G184" i="363"/>
  <c r="I184" i="363"/>
  <c r="R184" i="363"/>
  <c r="K184" i="363"/>
  <c r="M184" i="363"/>
  <c r="D184" i="363"/>
  <c r="O184" i="363"/>
  <c r="H184" i="363"/>
  <c r="N184" i="363"/>
  <c r="E184" i="363"/>
  <c r="J184" i="363" l="1"/>
  <c r="L184" i="363"/>
  <c r="Q184" i="363"/>
  <c r="S184" i="363"/>
  <c r="T184" i="363" s="1"/>
  <c r="U184" i="363" s="1"/>
  <c r="V184" i="363" s="1"/>
  <c r="W184" i="363" s="1"/>
  <c r="C185" i="363"/>
  <c r="K185" i="363"/>
  <c r="F185" i="363"/>
  <c r="H185" i="363"/>
  <c r="E185" i="363"/>
  <c r="N185" i="363"/>
  <c r="P185" i="363"/>
  <c r="O185" i="363"/>
  <c r="M185" i="363"/>
  <c r="R185" i="363"/>
  <c r="G185" i="363"/>
  <c r="I185" i="363"/>
  <c r="D185" i="363"/>
  <c r="S185" i="363" l="1"/>
  <c r="T185" i="363" s="1"/>
  <c r="U185" i="363" s="1"/>
  <c r="V185" i="363" s="1"/>
  <c r="W185" i="363" s="1"/>
  <c r="L185" i="363"/>
  <c r="Q185" i="363"/>
  <c r="J185" i="363"/>
  <c r="C186" i="363"/>
  <c r="F186" i="363"/>
  <c r="I186" i="363"/>
  <c r="O186" i="363"/>
  <c r="H186" i="363"/>
  <c r="N186" i="363"/>
  <c r="M186" i="363"/>
  <c r="K186" i="363"/>
  <c r="D186" i="363"/>
  <c r="R186" i="363"/>
  <c r="G186" i="363"/>
  <c r="P186" i="363"/>
  <c r="E186" i="363"/>
  <c r="J186" i="363" l="1"/>
  <c r="S186" i="363"/>
  <c r="T186" i="363" s="1"/>
  <c r="U186" i="363" s="1"/>
  <c r="V186" i="363" s="1"/>
  <c r="W186" i="363" s="1"/>
  <c r="Q186" i="363"/>
  <c r="L186" i="363"/>
  <c r="C187" i="363"/>
  <c r="E187" i="363"/>
  <c r="O187" i="363"/>
  <c r="K187" i="363"/>
  <c r="D187" i="363"/>
  <c r="N187" i="363"/>
  <c r="I187" i="363"/>
  <c r="H187" i="363"/>
  <c r="R187" i="363"/>
  <c r="P187" i="363"/>
  <c r="G187" i="363"/>
  <c r="M187" i="363"/>
  <c r="F187" i="363"/>
  <c r="S187" i="363" l="1"/>
  <c r="T187" i="363" s="1"/>
  <c r="U187" i="363" s="1"/>
  <c r="V187" i="363" s="1"/>
  <c r="W187" i="363" s="1"/>
  <c r="Q187" i="363"/>
  <c r="L187" i="363"/>
  <c r="J187" i="363"/>
  <c r="C188" i="363"/>
  <c r="E188" i="363"/>
  <c r="P188" i="363"/>
  <c r="G188" i="363"/>
  <c r="I188" i="363"/>
  <c r="R188" i="363"/>
  <c r="K188" i="363"/>
  <c r="M188" i="363"/>
  <c r="D188" i="363"/>
  <c r="F188" i="363"/>
  <c r="O188" i="363"/>
  <c r="H188" i="363"/>
  <c r="N188" i="363"/>
  <c r="J188" i="363" l="1"/>
  <c r="L188" i="363"/>
  <c r="Q188" i="363"/>
  <c r="S188" i="363"/>
  <c r="T188" i="363" s="1"/>
  <c r="U188" i="363" s="1"/>
  <c r="V188" i="363" s="1"/>
  <c r="W188" i="363" s="1"/>
  <c r="C189" i="363"/>
  <c r="N189" i="363"/>
  <c r="M189" i="363"/>
  <c r="D189" i="363"/>
  <c r="K189" i="363"/>
  <c r="F189" i="363"/>
  <c r="H189" i="363"/>
  <c r="E189" i="363"/>
  <c r="P189" i="363"/>
  <c r="O189" i="363"/>
  <c r="R189" i="363"/>
  <c r="G189" i="363"/>
  <c r="I189" i="363"/>
  <c r="S189" i="363" l="1"/>
  <c r="T189" i="363" s="1"/>
  <c r="U189" i="363" s="1"/>
  <c r="V189" i="363" s="1"/>
  <c r="W189" i="363" s="1"/>
  <c r="Q189" i="363"/>
  <c r="L189" i="363"/>
  <c r="J189" i="363"/>
  <c r="C190" i="363"/>
  <c r="G190" i="363"/>
  <c r="R190" i="363"/>
  <c r="P190" i="363"/>
  <c r="E190" i="363"/>
  <c r="K190" i="363"/>
  <c r="F190" i="363"/>
  <c r="I190" i="363"/>
  <c r="O190" i="363"/>
  <c r="H190" i="363"/>
  <c r="N190" i="363"/>
  <c r="M190" i="363"/>
  <c r="D190" i="363"/>
  <c r="J190" i="363" l="1"/>
  <c r="S190" i="363"/>
  <c r="T190" i="363" s="1"/>
  <c r="U190" i="363" s="1"/>
  <c r="V190" i="363" s="1"/>
  <c r="W190" i="363" s="1"/>
  <c r="L190" i="363"/>
  <c r="Q190" i="363"/>
  <c r="C191" i="363"/>
  <c r="K191" i="363"/>
  <c r="D191" i="363"/>
  <c r="N191" i="363"/>
  <c r="I191" i="363"/>
  <c r="H191" i="363"/>
  <c r="R191" i="363"/>
  <c r="O191" i="363"/>
  <c r="E191" i="363"/>
  <c r="P191" i="363"/>
  <c r="G191" i="363"/>
  <c r="M191" i="363"/>
  <c r="F191" i="363"/>
  <c r="S191" i="363" l="1"/>
  <c r="T191" i="363" s="1"/>
  <c r="U191" i="363" s="1"/>
  <c r="V191" i="363" s="1"/>
  <c r="W191" i="363" s="1"/>
  <c r="L191" i="363"/>
  <c r="Q191" i="363"/>
  <c r="J191" i="363"/>
  <c r="C192" i="363"/>
  <c r="P192" i="363"/>
  <c r="G192" i="363"/>
  <c r="I192" i="363"/>
  <c r="R192" i="363"/>
  <c r="K192" i="363"/>
  <c r="M192" i="363"/>
  <c r="D192" i="363"/>
  <c r="F192" i="363"/>
  <c r="O192" i="363"/>
  <c r="H192" i="363"/>
  <c r="N192" i="363"/>
  <c r="E192" i="363"/>
  <c r="J192" i="363" l="1"/>
  <c r="Q192" i="363"/>
  <c r="L192" i="363"/>
  <c r="S192" i="363"/>
  <c r="T192" i="363" s="1"/>
  <c r="U192" i="363" s="1"/>
  <c r="V192" i="363" s="1"/>
  <c r="W192" i="363" s="1"/>
  <c r="C193" i="363"/>
  <c r="E193" i="363"/>
  <c r="D193" i="363"/>
  <c r="K193" i="363"/>
  <c r="P193" i="363"/>
  <c r="I193" i="363"/>
  <c r="O193" i="363"/>
  <c r="H193" i="363"/>
  <c r="R193" i="363"/>
  <c r="N193" i="363"/>
  <c r="M193" i="363"/>
  <c r="F193" i="363"/>
  <c r="G193" i="363"/>
  <c r="J193" i="363" l="1"/>
  <c r="L193" i="363"/>
  <c r="Q193" i="363"/>
  <c r="S193" i="363"/>
  <c r="T193" i="363" s="1"/>
  <c r="U193" i="363" s="1"/>
  <c r="V193" i="363" s="1"/>
  <c r="W193" i="363" s="1"/>
  <c r="C194" i="363"/>
  <c r="P194" i="363"/>
  <c r="D194" i="363"/>
  <c r="N194" i="363"/>
  <c r="H194" i="363"/>
  <c r="I194" i="363"/>
  <c r="R194" i="363"/>
  <c r="M194" i="363"/>
  <c r="K194" i="363"/>
  <c r="O194" i="363"/>
  <c r="E194" i="363"/>
  <c r="G194" i="363"/>
  <c r="F194" i="363"/>
  <c r="S194" i="363" l="1"/>
  <c r="T194" i="363" s="1"/>
  <c r="U194" i="363" s="1"/>
  <c r="V194" i="363" s="1"/>
  <c r="W194" i="363" s="1"/>
  <c r="Q194" i="363"/>
  <c r="L194" i="363"/>
  <c r="J194" i="363"/>
  <c r="C195" i="363"/>
  <c r="K195" i="363"/>
  <c r="F195" i="363"/>
  <c r="G195" i="363"/>
  <c r="O195" i="363"/>
  <c r="P195" i="363"/>
  <c r="R195" i="363"/>
  <c r="I195" i="363"/>
  <c r="H195" i="363"/>
  <c r="D195" i="363"/>
  <c r="M195" i="363"/>
  <c r="N195" i="363"/>
  <c r="E195" i="363"/>
  <c r="S195" i="363" l="1"/>
  <c r="T195" i="363" s="1"/>
  <c r="U195" i="363" s="1"/>
  <c r="V195" i="363" s="1"/>
  <c r="W195" i="363" s="1"/>
  <c r="J195" i="363"/>
  <c r="Q195" i="363"/>
  <c r="L195" i="363"/>
  <c r="C196" i="363"/>
  <c r="N196" i="363"/>
  <c r="I196" i="363"/>
  <c r="R196" i="363"/>
  <c r="H196" i="363"/>
  <c r="K196" i="363"/>
  <c r="E196" i="363"/>
  <c r="P196" i="363"/>
  <c r="G196" i="363"/>
  <c r="O196" i="363"/>
  <c r="F196" i="363"/>
  <c r="M196" i="363"/>
  <c r="D196" i="363"/>
  <c r="S196" i="363" l="1"/>
  <c r="T196" i="363" s="1"/>
  <c r="U196" i="363" s="1"/>
  <c r="V196" i="363" s="1"/>
  <c r="W196" i="363" s="1"/>
  <c r="J196" i="363"/>
  <c r="L196" i="363"/>
  <c r="Q196" i="363"/>
  <c r="C197" i="363"/>
  <c r="H197" i="363"/>
  <c r="I197" i="363"/>
  <c r="O197" i="363"/>
  <c r="R197" i="363"/>
  <c r="N197" i="363"/>
  <c r="G197" i="363"/>
  <c r="M197" i="363"/>
  <c r="E197" i="363"/>
  <c r="F197" i="363"/>
  <c r="K197" i="363"/>
  <c r="P197" i="363"/>
  <c r="D197" i="363"/>
  <c r="J197" i="363" l="1"/>
  <c r="Q197" i="363"/>
  <c r="L197" i="363"/>
  <c r="S197" i="363"/>
  <c r="T197" i="363" s="1"/>
  <c r="U197" i="363" s="1"/>
  <c r="V197" i="363" s="1"/>
  <c r="W197" i="363" s="1"/>
  <c r="C198" i="363"/>
  <c r="M198" i="363"/>
  <c r="K198" i="363"/>
  <c r="O198" i="363"/>
  <c r="P198" i="363"/>
  <c r="D198" i="363"/>
  <c r="N198" i="363"/>
  <c r="H198" i="363"/>
  <c r="I198" i="363"/>
  <c r="R198" i="363"/>
  <c r="E198" i="363"/>
  <c r="G198" i="363"/>
  <c r="F198" i="363"/>
  <c r="S198" i="363" l="1"/>
  <c r="T198" i="363" s="1"/>
  <c r="U198" i="363" s="1"/>
  <c r="V198" i="363" s="1"/>
  <c r="W198" i="363" s="1"/>
  <c r="Q198" i="363"/>
  <c r="L198" i="363"/>
  <c r="J198" i="363"/>
  <c r="C199" i="363"/>
  <c r="P199" i="363"/>
  <c r="N199" i="363"/>
  <c r="I199" i="363"/>
  <c r="F199" i="363"/>
  <c r="D199" i="363"/>
  <c r="M199" i="363"/>
  <c r="H199" i="363"/>
  <c r="R199" i="363"/>
  <c r="K199" i="363"/>
  <c r="G199" i="363"/>
  <c r="E199" i="363"/>
  <c r="O199" i="363"/>
  <c r="J199" i="363" l="1"/>
  <c r="S199" i="363"/>
  <c r="T199" i="363" s="1"/>
  <c r="U199" i="363" s="1"/>
  <c r="V199" i="363" s="1"/>
  <c r="W199" i="363" s="1"/>
  <c r="L199" i="363"/>
  <c r="Q199" i="363"/>
  <c r="C200" i="363"/>
  <c r="I200" i="363"/>
  <c r="H200" i="363"/>
  <c r="R200" i="363"/>
  <c r="O200" i="363"/>
  <c r="M200" i="363"/>
  <c r="F200" i="363"/>
  <c r="G200" i="363"/>
  <c r="D200" i="363"/>
  <c r="K200" i="363"/>
  <c r="E200" i="363"/>
  <c r="P200" i="363"/>
  <c r="N200" i="363"/>
  <c r="S200" i="363" l="1"/>
  <c r="T200" i="363" s="1"/>
  <c r="U200" i="363" s="1"/>
  <c r="V200" i="363" s="1"/>
  <c r="W200" i="363" s="1"/>
  <c r="Q200" i="363"/>
  <c r="L200" i="363"/>
  <c r="J200" i="363"/>
  <c r="C201" i="363"/>
  <c r="R201" i="363"/>
  <c r="K201" i="363"/>
  <c r="M201" i="363"/>
  <c r="P201" i="363"/>
  <c r="F201" i="363"/>
  <c r="O201" i="363"/>
  <c r="D201" i="363"/>
  <c r="N201" i="363"/>
  <c r="E201" i="363"/>
  <c r="H201" i="363"/>
  <c r="G201" i="363"/>
  <c r="I201" i="363"/>
  <c r="J201" i="363" l="1"/>
  <c r="L201" i="363"/>
  <c r="Q201" i="363"/>
  <c r="S201" i="363"/>
  <c r="T201" i="363" s="1"/>
  <c r="U201" i="363" s="1"/>
  <c r="V201" i="363" s="1"/>
  <c r="W201" i="363" s="1"/>
  <c r="C202" i="363"/>
  <c r="E202" i="363"/>
  <c r="N202" i="363"/>
  <c r="P202" i="363"/>
  <c r="K202" i="363"/>
  <c r="M202" i="363"/>
  <c r="R202" i="363"/>
  <c r="O202" i="363"/>
  <c r="I202" i="363"/>
  <c r="D202" i="363"/>
  <c r="H202" i="363"/>
  <c r="G202" i="363"/>
  <c r="F202" i="363"/>
  <c r="S202" i="363" l="1"/>
  <c r="T202" i="363" s="1"/>
  <c r="U202" i="363" s="1"/>
  <c r="V202" i="363" s="1"/>
  <c r="W202" i="363" s="1"/>
  <c r="Q202" i="363"/>
  <c r="L202" i="363"/>
  <c r="J202" i="363"/>
  <c r="C203" i="363"/>
  <c r="F203" i="363"/>
  <c r="I203" i="363"/>
  <c r="O203" i="363"/>
  <c r="P203" i="363"/>
  <c r="N203" i="363"/>
  <c r="M203" i="363"/>
  <c r="D203" i="363"/>
  <c r="R203" i="363"/>
  <c r="G203" i="363"/>
  <c r="H203" i="363"/>
  <c r="E203" i="363"/>
  <c r="K203" i="363"/>
  <c r="J203" i="363" l="1"/>
  <c r="S203" i="363"/>
  <c r="T203" i="363" s="1"/>
  <c r="U203" i="363" s="1"/>
  <c r="V203" i="363" s="1"/>
  <c r="W203" i="363" s="1"/>
  <c r="Q203" i="363"/>
  <c r="L203" i="363"/>
  <c r="C204" i="363"/>
  <c r="I204" i="363"/>
  <c r="H204" i="363"/>
  <c r="R204" i="363"/>
  <c r="M204" i="363"/>
  <c r="N204" i="363"/>
  <c r="K204" i="363"/>
  <c r="E204" i="363"/>
  <c r="P204" i="363"/>
  <c r="O204" i="363"/>
  <c r="F204" i="363"/>
  <c r="G204" i="363"/>
  <c r="D204" i="363"/>
  <c r="S204" i="363" l="1"/>
  <c r="T204" i="363" s="1"/>
  <c r="U204" i="363" s="1"/>
  <c r="V204" i="363" s="1"/>
  <c r="W204" i="363" s="1"/>
  <c r="Q204" i="363"/>
  <c r="L204" i="363"/>
  <c r="J204" i="363"/>
</calcChain>
</file>

<file path=xl/comments1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2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3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4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5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6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7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8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9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10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11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comments12.xml><?xml version="1.0" encoding="utf-8"?>
<comments xmlns="http://schemas.openxmlformats.org/spreadsheetml/2006/main">
  <authors>
    <author>Goldfarb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Goldfarb:</t>
        </r>
        <r>
          <rPr>
            <sz val="9"/>
            <color indexed="81"/>
            <rFont val="Tahoma"/>
            <family val="2"/>
          </rPr>
          <t xml:space="preserve">
Does not include additional 40% for Quake Zones VIII and Higher</t>
        </r>
      </text>
    </comment>
  </commentList>
</comments>
</file>

<file path=xl/sharedStrings.xml><?xml version="1.0" encoding="utf-8"?>
<sst xmlns="http://schemas.openxmlformats.org/spreadsheetml/2006/main" count="4436" uniqueCount="1081">
  <si>
    <t>Alabama</t>
  </si>
  <si>
    <t>Maine</t>
  </si>
  <si>
    <t>Oklahoma</t>
  </si>
  <si>
    <t>Arizona</t>
  </si>
  <si>
    <t>Maryland</t>
  </si>
  <si>
    <t>Oregon</t>
  </si>
  <si>
    <t>Arkansas</t>
  </si>
  <si>
    <t>Massachusetts</t>
  </si>
  <si>
    <t>Pennsylvania</t>
  </si>
  <si>
    <t>California</t>
  </si>
  <si>
    <t>Michigan</t>
  </si>
  <si>
    <t>Rhode Island</t>
  </si>
  <si>
    <t>Colorado</t>
  </si>
  <si>
    <t>Minnesota</t>
  </si>
  <si>
    <t>South Carolina</t>
  </si>
  <si>
    <t>Connecticut</t>
  </si>
  <si>
    <t>Mississippi</t>
  </si>
  <si>
    <t>South Dakota</t>
  </si>
  <si>
    <t>D.C.</t>
  </si>
  <si>
    <t>Missouri</t>
  </si>
  <si>
    <t>Tennessee</t>
  </si>
  <si>
    <t>Delaware</t>
  </si>
  <si>
    <t>Montana</t>
  </si>
  <si>
    <t>Florida</t>
  </si>
  <si>
    <t>Nebraska</t>
  </si>
  <si>
    <t>Utah</t>
  </si>
  <si>
    <t>Georgia</t>
  </si>
  <si>
    <t>Nevada</t>
  </si>
  <si>
    <t>Vermont</t>
  </si>
  <si>
    <t>Hawaii</t>
  </si>
  <si>
    <t>New Hampshire</t>
  </si>
  <si>
    <t>Idaho</t>
  </si>
  <si>
    <t>New Jersey</t>
  </si>
  <si>
    <t>Washington</t>
  </si>
  <si>
    <t>Illinois</t>
  </si>
  <si>
    <t>New Mexico</t>
  </si>
  <si>
    <t>West Virginia</t>
  </si>
  <si>
    <t>Indiana</t>
  </si>
  <si>
    <t>Wisconsin</t>
  </si>
  <si>
    <t>Iowa</t>
  </si>
  <si>
    <t>Wyoming</t>
  </si>
  <si>
    <t>Kansas</t>
  </si>
  <si>
    <t>North Carolina</t>
  </si>
  <si>
    <t>Kentucky</t>
  </si>
  <si>
    <t>North Dakota</t>
  </si>
  <si>
    <t>Louisiana</t>
  </si>
  <si>
    <t>Ohio</t>
  </si>
  <si>
    <t>Virginia</t>
  </si>
  <si>
    <t>Basic</t>
  </si>
  <si>
    <t>Special</t>
  </si>
  <si>
    <t>Construction Type</t>
  </si>
  <si>
    <t>Rating Factor</t>
  </si>
  <si>
    <t>Deductible</t>
  </si>
  <si>
    <t>From</t>
  </si>
  <si>
    <t>To</t>
  </si>
  <si>
    <t>Class</t>
  </si>
  <si>
    <t>Yes</t>
  </si>
  <si>
    <t>No</t>
  </si>
  <si>
    <t>Limit of Insurance Credit</t>
  </si>
  <si>
    <t>Age of Building Factor</t>
  </si>
  <si>
    <t>Sprinkler Protection Factor</t>
  </si>
  <si>
    <t>Public Protection Factor</t>
  </si>
  <si>
    <t>Occupancy</t>
  </si>
  <si>
    <t>Additional Coverages</t>
  </si>
  <si>
    <t>Insured Limits</t>
  </si>
  <si>
    <t>Coverage</t>
  </si>
  <si>
    <t>Bars &amp; Taverns</t>
  </si>
  <si>
    <t>Occupancy Group</t>
  </si>
  <si>
    <t>Equipment Breakdown</t>
  </si>
  <si>
    <t>Sinkhole</t>
  </si>
  <si>
    <t>Loss History</t>
  </si>
  <si>
    <t>REFER</t>
  </si>
  <si>
    <t>Theft Exclusion</t>
  </si>
  <si>
    <t>Theft of Metal Exclusion</t>
  </si>
  <si>
    <t>State</t>
  </si>
  <si>
    <t>Number of Buildings</t>
  </si>
  <si>
    <t>Year Built</t>
  </si>
  <si>
    <t>Public Protection Class</t>
  </si>
  <si>
    <t>Sprinklered</t>
  </si>
  <si>
    <t>Form</t>
  </si>
  <si>
    <t>AOP Deductible</t>
  </si>
  <si>
    <t>Deductible Factor</t>
  </si>
  <si>
    <t>Public Protection Class Factor</t>
  </si>
  <si>
    <t>Property Enhancement Endorsement</t>
  </si>
  <si>
    <t>ACV or Replacement Cost</t>
  </si>
  <si>
    <t>Base Rate (per $100 of Limit)</t>
  </si>
  <si>
    <t>Final Rate (per $100 of Limit)</t>
  </si>
  <si>
    <t>Metropolitan</t>
  </si>
  <si>
    <t>ISO Sinkhole Rating</t>
  </si>
  <si>
    <t>State Factor</t>
  </si>
  <si>
    <t>Occupancy Group 1</t>
  </si>
  <si>
    <t>Occupancy Group 2</t>
  </si>
  <si>
    <t>Occupancy Group 3</t>
  </si>
  <si>
    <t>0% - 20%</t>
  </si>
  <si>
    <t>21% - 35%</t>
  </si>
  <si>
    <t>36% - 55%</t>
  </si>
  <si>
    <t>56% - 65%</t>
  </si>
  <si>
    <t>Over 65%</t>
  </si>
  <si>
    <t>3-Yr Loss Ratio*</t>
  </si>
  <si>
    <t>Hotel</t>
  </si>
  <si>
    <t>Woodworking</t>
  </si>
  <si>
    <t>Water Parks</t>
  </si>
  <si>
    <t>Warehousing</t>
  </si>
  <si>
    <t>Video Arcades</t>
  </si>
  <si>
    <t>Tennis &amp; Soccer Facilities</t>
  </si>
  <si>
    <t>Tanning Salons</t>
  </si>
  <si>
    <t>Supermarkets</t>
  </si>
  <si>
    <t>Super Stores</t>
  </si>
  <si>
    <t>Strip Malls</t>
  </si>
  <si>
    <t>Spas</t>
  </si>
  <si>
    <t>Shopping Centers</t>
  </si>
  <si>
    <t>Roller Skating Rinks</t>
  </si>
  <si>
    <t>Rehab - Training</t>
  </si>
  <si>
    <t>Rehab - Substance</t>
  </si>
  <si>
    <t>Rehab - Physical</t>
  </si>
  <si>
    <t>Racquet Ball Facilities</t>
  </si>
  <si>
    <t>Public Entities</t>
  </si>
  <si>
    <t>Printers - Quick Print</t>
  </si>
  <si>
    <t>Printers - Commercial</t>
  </si>
  <si>
    <t>Pool Halls</t>
  </si>
  <si>
    <t>Office</t>
  </si>
  <si>
    <t>Nursing Homes</t>
  </si>
  <si>
    <t>Movie Theatres</t>
  </si>
  <si>
    <t>Motels</t>
  </si>
  <si>
    <t>Medical Labs</t>
  </si>
  <si>
    <t>Manufacturing</t>
  </si>
  <si>
    <t>Manufactured Homes - Retail</t>
  </si>
  <si>
    <t>Machine Shops</t>
  </si>
  <si>
    <t>Ice Skating Rinks</t>
  </si>
  <si>
    <t>Hospitals</t>
  </si>
  <si>
    <t>Hospice</t>
  </si>
  <si>
    <t>Health Clubs</t>
  </si>
  <si>
    <t>Gymnastic Facilities</t>
  </si>
  <si>
    <t>Group Homes</t>
  </si>
  <si>
    <t>Golf Centers</t>
  </si>
  <si>
    <t>Gas/Service Stations</t>
  </si>
  <si>
    <t>Equipment Dealers</t>
  </si>
  <si>
    <t>Elder Care Facilities</t>
  </si>
  <si>
    <t>Distribution Centers</t>
  </si>
  <si>
    <t>Department Stores</t>
  </si>
  <si>
    <t>Day Care Centers</t>
  </si>
  <si>
    <t>Conference Centers</t>
  </si>
  <si>
    <t>Condominiums</t>
  </si>
  <si>
    <t>Colleges/Universities</t>
  </si>
  <si>
    <t>Clothing Manufacturing</t>
  </si>
  <si>
    <t>Clinics</t>
  </si>
  <si>
    <t>Civic Clubs</t>
  </si>
  <si>
    <t>Civic Centers</t>
  </si>
  <si>
    <t>Churches &amp; Synagogues</t>
  </si>
  <si>
    <t>Car Washes</t>
  </si>
  <si>
    <t>Camps &amp; Retreats</t>
  </si>
  <si>
    <t>Bowling Centers</t>
  </si>
  <si>
    <t>Bingo Halls</t>
  </si>
  <si>
    <t>Bed &amp; Breakfast</t>
  </si>
  <si>
    <t>Beauty Salons</t>
  </si>
  <si>
    <t>Auto Mechanical Repair</t>
  </si>
  <si>
    <t>Auto Accessory Stores</t>
  </si>
  <si>
    <t>Assisted Living</t>
  </si>
  <si>
    <t>Replacement Cost</t>
  </si>
  <si>
    <t>Rate per $100</t>
  </si>
  <si>
    <t>Full, Central Alarm (ISO 4)</t>
  </si>
  <si>
    <t>TIV &lt; $2.5m</t>
  </si>
  <si>
    <t>TIV $2.5m - $10.0m</t>
  </si>
  <si>
    <t>TIV &gt; $10.0m</t>
  </si>
  <si>
    <t>State Factor Table</t>
  </si>
  <si>
    <t>NYC - Brooklyn</t>
  </si>
  <si>
    <t>NYC - Manhattan</t>
  </si>
  <si>
    <t>NYC - Bronx</t>
  </si>
  <si>
    <t>NYC - Other</t>
  </si>
  <si>
    <t>Texas - Northern</t>
  </si>
  <si>
    <t>Texas - Southern</t>
  </si>
  <si>
    <t>Group</t>
  </si>
  <si>
    <t>Factor</t>
  </si>
  <si>
    <t>Full, Central Alarm</t>
  </si>
  <si>
    <t>Full, No Central Alarm</t>
  </si>
  <si>
    <t>Partial, Central Alarm</t>
  </si>
  <si>
    <t>Partial, No Central Alarm</t>
  </si>
  <si>
    <t>Occupancy Groups</t>
  </si>
  <si>
    <t>Yes/No Validation</t>
  </si>
  <si>
    <t>Description</t>
  </si>
  <si>
    <t>Equipment Breakdown Rates</t>
  </si>
  <si>
    <t>Sinkhole Rates</t>
  </si>
  <si>
    <t>ISO Rating</t>
  </si>
  <si>
    <t>ACV or RC Validation</t>
  </si>
  <si>
    <t>Actual Cash Value</t>
  </si>
  <si>
    <t>Account Summary</t>
  </si>
  <si>
    <t>Submission ID</t>
  </si>
  <si>
    <t>Insured Name</t>
  </si>
  <si>
    <t>Total</t>
  </si>
  <si>
    <t>Rate Modification Factors</t>
  </si>
  <si>
    <t>Final Rate Modification Factor</t>
  </si>
  <si>
    <t>Insurance to Value</t>
  </si>
  <si>
    <t>Ventus Estimate</t>
  </si>
  <si>
    <t>External Estimate</t>
  </si>
  <si>
    <t>Source</t>
  </si>
  <si>
    <t>Year of Gut Renovation, if applicable</t>
  </si>
  <si>
    <t>Building Value</t>
  </si>
  <si>
    <t>Square Footage</t>
  </si>
  <si>
    <t>Building Description</t>
  </si>
  <si>
    <t>Location Number</t>
  </si>
  <si>
    <t>Building Number</t>
  </si>
  <si>
    <t>Code</t>
  </si>
  <si>
    <t>Base Rates by Construction Type - Excluding Expense Loadings</t>
  </si>
  <si>
    <t>Base Rates by Construction Type - Including Expense Loadings</t>
  </si>
  <si>
    <t>Expense Load</t>
  </si>
  <si>
    <t>Ventus Cost per Sq Foot</t>
  </si>
  <si>
    <t>Estimated Value</t>
  </si>
  <si>
    <t>Selected Value</t>
  </si>
  <si>
    <t>ITV Factor</t>
  </si>
  <si>
    <t>Lloyd's Scale - AOP Losses Only</t>
  </si>
  <si>
    <t>% of TIV</t>
  </si>
  <si>
    <t>% of GU Loss</t>
  </si>
  <si>
    <t>Use ITV Adjustment</t>
  </si>
  <si>
    <t>Location Level Exclusions</t>
  </si>
  <si>
    <t>AOP Loss Cost</t>
  </si>
  <si>
    <t>AOP Base Rate</t>
  </si>
  <si>
    <t>Building Information</t>
  </si>
  <si>
    <t>Street Address</t>
  </si>
  <si>
    <t>City</t>
  </si>
  <si>
    <t>Exposure Information</t>
  </si>
  <si>
    <t>Enhancement Endorsement Selected?</t>
  </si>
  <si>
    <t>Coverage A</t>
  </si>
  <si>
    <t>Coverage B</t>
  </si>
  <si>
    <t>Coverage C</t>
  </si>
  <si>
    <t>Blanket B &amp; C</t>
  </si>
  <si>
    <t>Limits</t>
  </si>
  <si>
    <t>Max Limit</t>
  </si>
  <si>
    <t>Effective Building Age</t>
  </si>
  <si>
    <t>Limit</t>
  </si>
  <si>
    <t>Increased Period of Restoration</t>
  </si>
  <si>
    <t>Gut Renovation Credit</t>
  </si>
  <si>
    <t>Additional Properties</t>
  </si>
  <si>
    <t>Machinery &amp; Equipment in the Open</t>
  </si>
  <si>
    <t>Contractor's Equipment</t>
  </si>
  <si>
    <t>Signs (Not Attached)</t>
  </si>
  <si>
    <t>Signs (Attached)</t>
  </si>
  <si>
    <t>Awnings</t>
  </si>
  <si>
    <t>Golf Carts</t>
  </si>
  <si>
    <t>Rate</t>
  </si>
  <si>
    <t>Power Transmission Lines</t>
  </si>
  <si>
    <t>Property Line Walls, Gates, Latticework, Trellises</t>
  </si>
  <si>
    <t>Walkways</t>
  </si>
  <si>
    <t>Canopies</t>
  </si>
  <si>
    <t>Light Poles</t>
  </si>
  <si>
    <t>Tennis, Basketball, Suffleboard Courts</t>
  </si>
  <si>
    <t>Gazeboes, Cabanas, Bars</t>
  </si>
  <si>
    <t>Carports</t>
  </si>
  <si>
    <t>Greenhouses (and Similar)</t>
  </si>
  <si>
    <t>Rate as Building</t>
  </si>
  <si>
    <t>Buildings in Course of Construction</t>
  </si>
  <si>
    <t>Seawalls</t>
  </si>
  <si>
    <t>Refer</t>
  </si>
  <si>
    <t>Type</t>
  </si>
  <si>
    <t>Value</t>
  </si>
  <si>
    <t>Loss Cost</t>
  </si>
  <si>
    <t>Total All Additional Properties</t>
  </si>
  <si>
    <t>Other Buildings and Structures</t>
  </si>
  <si>
    <t>Insured Address</t>
  </si>
  <si>
    <t>Street</t>
  </si>
  <si>
    <t>Zip</t>
  </si>
  <si>
    <t>Broker</t>
  </si>
  <si>
    <t>Summary Information</t>
  </si>
  <si>
    <t>Location</t>
  </si>
  <si>
    <t>Building</t>
  </si>
  <si>
    <t>Building Rate</t>
  </si>
  <si>
    <t>Rate Lookup</t>
  </si>
  <si>
    <t>AOP Summary</t>
  </si>
  <si>
    <t>Model</t>
  </si>
  <si>
    <t>Override</t>
  </si>
  <si>
    <t>Final</t>
  </si>
  <si>
    <t>Additional Properties Summary</t>
  </si>
  <si>
    <t>Terror</t>
  </si>
  <si>
    <t xml:space="preserve">From </t>
  </si>
  <si>
    <t>Credit</t>
  </si>
  <si>
    <t>Other Debits/Credits (% of Building Loss Cost)</t>
  </si>
  <si>
    <t>Spread of Risk Credit (% of Building Loss Cost)</t>
  </si>
  <si>
    <t>Expense Loads</t>
  </si>
  <si>
    <t>MGA Fees</t>
  </si>
  <si>
    <t>Carrier Catastrophe Fronting Fee</t>
  </si>
  <si>
    <t>Catastrophe RI Brokerage</t>
  </si>
  <si>
    <t>Catastrophe Gross Premium</t>
  </si>
  <si>
    <t>Total Premium</t>
  </si>
  <si>
    <t>Basic Coverage Options</t>
  </si>
  <si>
    <t>Account-Level Credits</t>
  </si>
  <si>
    <t>3-Year Loss Ratio</t>
  </si>
  <si>
    <t>Firm Name</t>
  </si>
  <si>
    <t>Office Location</t>
  </si>
  <si>
    <t>Individual Broker Name</t>
  </si>
  <si>
    <t>Premium Summary</t>
  </si>
  <si>
    <t>All Perils Annual Aggregate Loss</t>
  </si>
  <si>
    <t>Net Premium</t>
  </si>
  <si>
    <t>Catastrophe Pricing</t>
  </si>
  <si>
    <t>AAD</t>
  </si>
  <si>
    <t>Reinsured Layer</t>
  </si>
  <si>
    <t>Catastrophe Premium Before Production Expenses</t>
  </si>
  <si>
    <t>Current Building Count</t>
  </si>
  <si>
    <t>Final Charged Premium</t>
  </si>
  <si>
    <t>Competitor Premiums</t>
  </si>
  <si>
    <t>Premium</t>
  </si>
  <si>
    <t>AOPBuilding1</t>
  </si>
  <si>
    <t>Building List</t>
  </si>
  <si>
    <t>Lanai</t>
  </si>
  <si>
    <t>Swimming Pool</t>
  </si>
  <si>
    <t>Misc. $0.25 Rate</t>
  </si>
  <si>
    <t>Misc. $0.10 Rate</t>
  </si>
  <si>
    <t>Misc. Rate as Building</t>
  </si>
  <si>
    <t>Loss History Credit (% of Building &amp; Additional Properties)</t>
  </si>
  <si>
    <t>Maximum Value</t>
  </si>
  <si>
    <t>Ordinance or Law Limits</t>
  </si>
  <si>
    <t>Ordinance or Law Rates - As % of Building Rate</t>
  </si>
  <si>
    <t>Ordinance or Law Limits Included in EE</t>
  </si>
  <si>
    <t>Ordinance or Law Coverage</t>
  </si>
  <si>
    <t>Building Count</t>
  </si>
  <si>
    <t>Zip Code</t>
  </si>
  <si>
    <t>Building Loss Cost</t>
  </si>
  <si>
    <t>Contents and BI Loss Costs</t>
  </si>
  <si>
    <t>Total Loss Costs</t>
  </si>
  <si>
    <t>Spread of Risk - Number of Buildings</t>
  </si>
  <si>
    <t>10+ Stories</t>
  </si>
  <si>
    <t>&lt; 10 Stories</t>
  </si>
  <si>
    <t>Number of Stories</t>
  </si>
  <si>
    <t>Terror Rates</t>
  </si>
  <si>
    <t>Non-Metropolitan</t>
  </si>
  <si>
    <t>Enhancement Endorsement</t>
  </si>
  <si>
    <t>Min Charge per Building</t>
  </si>
  <si>
    <t>Maximum Charge per Policy</t>
  </si>
  <si>
    <t>Extended Period of Indemnity</t>
  </si>
  <si>
    <t>None</t>
  </si>
  <si>
    <t>Building Limit</t>
  </si>
  <si>
    <t>Contents Limit</t>
  </si>
  <si>
    <t>BI Limit</t>
  </si>
  <si>
    <t>Ordinance or Law</t>
  </si>
  <si>
    <t>Coverages B &amp; C</t>
  </si>
  <si>
    <t>Building Age</t>
  </si>
  <si>
    <t>Years Since Renovation, if applicable</t>
  </si>
  <si>
    <t>Catastrophe</t>
  </si>
  <si>
    <t>Input.AOPDeductible</t>
  </si>
  <si>
    <t>Input.AppraisalValue</t>
  </si>
  <si>
    <t>Input.BILimit</t>
  </si>
  <si>
    <t>Input.BldgAddress</t>
  </si>
  <si>
    <t>Input.BldgCity</t>
  </si>
  <si>
    <t>Input.BldgDescription</t>
  </si>
  <si>
    <t>Input.BldgState</t>
  </si>
  <si>
    <t>Input.BldgZipCode</t>
  </si>
  <si>
    <t>Input.BuildingTIV</t>
  </si>
  <si>
    <t>Input.ConstructionType</t>
  </si>
  <si>
    <t>Input.ContentsValue</t>
  </si>
  <si>
    <t>Input.ExtendedIndemnity</t>
  </si>
  <si>
    <t>Input.IncreasedRestoration</t>
  </si>
  <si>
    <t>Input.LocationNumber</t>
  </si>
  <si>
    <t>Input.Metropolitan</t>
  </si>
  <si>
    <t>Input.NumberOfBldgs</t>
  </si>
  <si>
    <t>Input.NumberOfStories</t>
  </si>
  <si>
    <t>Input.Occupancy</t>
  </si>
  <si>
    <t>Input.OrdLawASelected</t>
  </si>
  <si>
    <t>Input.OrdLawBlanketBCLimit</t>
  </si>
  <si>
    <t>Input.OrdLawBlanketBCSelected</t>
  </si>
  <si>
    <t>Input.OrdLawBLimit</t>
  </si>
  <si>
    <t>Input.OrdLawbSelected</t>
  </si>
  <si>
    <t>Input.OrdLawCLimit</t>
  </si>
  <si>
    <t>Input.OrdLawCSelected</t>
  </si>
  <si>
    <t>Input.PPC</t>
  </si>
  <si>
    <t>Input.SinkholeCoverage</t>
  </si>
  <si>
    <t>Input.SinkholeRating</t>
  </si>
  <si>
    <t>Input.Sprinkler</t>
  </si>
  <si>
    <t>Input.SqFeet</t>
  </si>
  <si>
    <t>Input.TheftExclusion</t>
  </si>
  <si>
    <t>Input.TheftOfMetalExclusion</t>
  </si>
  <si>
    <t>Input.UseTIVAdjustment</t>
  </si>
  <si>
    <t>Input.ValuationOverride</t>
  </si>
  <si>
    <t>Input.YearBuilt</t>
  </si>
  <si>
    <t>Input.YearRenovated</t>
  </si>
  <si>
    <t>Range</t>
  </si>
  <si>
    <t>Default</t>
  </si>
  <si>
    <t>Default Input Values - AOP Sheet</t>
  </si>
  <si>
    <t>Carrier Name</t>
  </si>
  <si>
    <t>Allocation of Final Premium</t>
  </si>
  <si>
    <t>AOP</t>
  </si>
  <si>
    <t>NA</t>
  </si>
  <si>
    <t>Limits up to $5m</t>
  </si>
  <si>
    <t>Limits $5m - $10m</t>
  </si>
  <si>
    <t>PPC 1-6</t>
  </si>
  <si>
    <t>PPC 7-8</t>
  </si>
  <si>
    <t>VACANT BUILDING Base Rate by Construction Type, Limit and Public Protection Class - Including Expenses</t>
  </si>
  <si>
    <t>Percent Occupied</t>
  </si>
  <si>
    <t>Base Rates</t>
  </si>
  <si>
    <t>80-100%</t>
  </si>
  <si>
    <t>50-80%</t>
  </si>
  <si>
    <t>25-50%</t>
  </si>
  <si>
    <t>0-25%</t>
  </si>
  <si>
    <t>Amount</t>
  </si>
  <si>
    <t>Input.PctOccupied</t>
  </si>
  <si>
    <t>Version Control</t>
  </si>
  <si>
    <t>Model Version</t>
  </si>
  <si>
    <t>Last Modified Date</t>
  </si>
  <si>
    <t>Last Modified Time</t>
  </si>
  <si>
    <t>Cat Model Run Log</t>
  </si>
  <si>
    <t>Date</t>
  </si>
  <si>
    <t>Time</t>
  </si>
  <si>
    <t>Vacant Buildings Rates - Basic Form</t>
  </si>
  <si>
    <t>Extended Period of BI Indemnity</t>
  </si>
  <si>
    <t>Construction</t>
  </si>
  <si>
    <t>Base Rate</t>
  </si>
  <si>
    <t>Ventus Code</t>
  </si>
  <si>
    <t>ATC Code</t>
  </si>
  <si>
    <t>Ventus Group No.</t>
  </si>
  <si>
    <t>Agricultural</t>
  </si>
  <si>
    <t>General Agricultural</t>
  </si>
  <si>
    <t>V0100</t>
  </si>
  <si>
    <t>Barns or Silos</t>
  </si>
  <si>
    <t>V0101</t>
  </si>
  <si>
    <t>Greenhouses</t>
  </si>
  <si>
    <t>V0102</t>
  </si>
  <si>
    <t>Irrigation Systems</t>
  </si>
  <si>
    <t>V0103</t>
  </si>
  <si>
    <t>Livestock or Growing Crops</t>
  </si>
  <si>
    <t>V0104</t>
  </si>
  <si>
    <t>General Construction</t>
  </si>
  <si>
    <t>V0200</t>
  </si>
  <si>
    <t>Builders Risk</t>
  </si>
  <si>
    <t>V0201</t>
  </si>
  <si>
    <t>Cranes or Other Construction Equipment</t>
  </si>
  <si>
    <t>V0202</t>
  </si>
  <si>
    <t>Installation or Sub-Contractor</t>
  </si>
  <si>
    <t>V0203</t>
  </si>
  <si>
    <t>Rigging</t>
  </si>
  <si>
    <t>V0204</t>
  </si>
  <si>
    <t>Steel or Other Material Erection</t>
  </si>
  <si>
    <t>V0205</t>
  </si>
  <si>
    <t>Consumer</t>
  </si>
  <si>
    <t>General Consumer</t>
  </si>
  <si>
    <t>V0300</t>
  </si>
  <si>
    <t>V0301</t>
  </si>
  <si>
    <t>V0302</t>
  </si>
  <si>
    <t>V0303</t>
  </si>
  <si>
    <t>V0304</t>
  </si>
  <si>
    <t>V0305</t>
  </si>
  <si>
    <t>V0306</t>
  </si>
  <si>
    <t>V0307</t>
  </si>
  <si>
    <t>V0308</t>
  </si>
  <si>
    <t>V0309</t>
  </si>
  <si>
    <t>Education</t>
  </si>
  <si>
    <t>General Education</t>
  </si>
  <si>
    <t>V0400</t>
  </si>
  <si>
    <t>V0401</t>
  </si>
  <si>
    <t>V0402</t>
  </si>
  <si>
    <t>V0403</t>
  </si>
  <si>
    <t>Habitational</t>
  </si>
  <si>
    <t>General Habitational</t>
  </si>
  <si>
    <t>V0500</t>
  </si>
  <si>
    <t>Apartments (4 Stories or Less)</t>
  </si>
  <si>
    <t>V0501</t>
  </si>
  <si>
    <t>Apartments (5 Stories or More)</t>
  </si>
  <si>
    <t>V0502</t>
  </si>
  <si>
    <t>V0503</t>
  </si>
  <si>
    <t>V0504</t>
  </si>
  <si>
    <t>V0505</t>
  </si>
  <si>
    <t>Fraternity or Sorority Houses</t>
  </si>
  <si>
    <t>V0506</t>
  </si>
  <si>
    <t>V0507</t>
  </si>
  <si>
    <t>V0508</t>
  </si>
  <si>
    <t>V0509</t>
  </si>
  <si>
    <t>Rooming or Boarding House</t>
  </si>
  <si>
    <t>V0510</t>
  </si>
  <si>
    <t>Section 8 or Subsidized Housing</t>
  </si>
  <si>
    <t>V0511</t>
  </si>
  <si>
    <t>Student Housing (Not University)</t>
  </si>
  <si>
    <t>V0512</t>
  </si>
  <si>
    <t>Hospitality</t>
  </si>
  <si>
    <t>General Hospitality</t>
  </si>
  <si>
    <t>V0600</t>
  </si>
  <si>
    <t>V0601</t>
  </si>
  <si>
    <t>V0602</t>
  </si>
  <si>
    <t>V0603</t>
  </si>
  <si>
    <t>V0604</t>
  </si>
  <si>
    <t>V0605</t>
  </si>
  <si>
    <t>Nightclubs (Limited Cooking)</t>
  </si>
  <si>
    <t>V0606</t>
  </si>
  <si>
    <t>Nightclubs (No Cooking)</t>
  </si>
  <si>
    <t>V0607</t>
  </si>
  <si>
    <t>Restaurant</t>
  </si>
  <si>
    <t>V0608</t>
  </si>
  <si>
    <t>Industrial</t>
  </si>
  <si>
    <t>General Industrial</t>
  </si>
  <si>
    <t>V0700</t>
  </si>
  <si>
    <t>V0701</t>
  </si>
  <si>
    <t>Energy Related Risks</t>
  </si>
  <si>
    <t>V0702</t>
  </si>
  <si>
    <t>Foundry</t>
  </si>
  <si>
    <t>V0703</t>
  </si>
  <si>
    <t>Industrial or Processing</t>
  </si>
  <si>
    <t>V0704</t>
  </si>
  <si>
    <t>Refinery</t>
  </si>
  <si>
    <t>V0705</t>
  </si>
  <si>
    <t>Tank Farm</t>
  </si>
  <si>
    <t>V0706</t>
  </si>
  <si>
    <t>Leisure</t>
  </si>
  <si>
    <t>General Leisure</t>
  </si>
  <si>
    <t>V0800</t>
  </si>
  <si>
    <t>V0801</t>
  </si>
  <si>
    <t>V0802</t>
  </si>
  <si>
    <t>V0803</t>
  </si>
  <si>
    <t>V0804</t>
  </si>
  <si>
    <t>V0805</t>
  </si>
  <si>
    <t>V0806</t>
  </si>
  <si>
    <t>V0807</t>
  </si>
  <si>
    <t>Museums</t>
  </si>
  <si>
    <t>V0808</t>
  </si>
  <si>
    <t>V0809</t>
  </si>
  <si>
    <t>V0810</t>
  </si>
  <si>
    <t>V0811</t>
  </si>
  <si>
    <t>V0812</t>
  </si>
  <si>
    <t>V0813</t>
  </si>
  <si>
    <t>V0814</t>
  </si>
  <si>
    <t>Lessor Risk</t>
  </si>
  <si>
    <t>Mixed Occupancy Schedule</t>
  </si>
  <si>
    <t>V0901</t>
  </si>
  <si>
    <t>General Manufacturing</t>
  </si>
  <si>
    <t>V1000</t>
  </si>
  <si>
    <t>V1001</t>
  </si>
  <si>
    <t>Hazardous Manufacturing</t>
  </si>
  <si>
    <t>V1002</t>
  </si>
  <si>
    <t>V1003</t>
  </si>
  <si>
    <t>V1004</t>
  </si>
  <si>
    <t>V1005</t>
  </si>
  <si>
    <t>V1006</t>
  </si>
  <si>
    <t>V1007</t>
  </si>
  <si>
    <t>V1101</t>
  </si>
  <si>
    <t>Public Entity</t>
  </si>
  <si>
    <t>General Public Entity</t>
  </si>
  <si>
    <t>V1200</t>
  </si>
  <si>
    <t>V1201</t>
  </si>
  <si>
    <t>V1202</t>
  </si>
  <si>
    <t>V1203</t>
  </si>
  <si>
    <t>Schools</t>
  </si>
  <si>
    <t>V1204</t>
  </si>
  <si>
    <t>Retail</t>
  </si>
  <si>
    <t>General Retail</t>
  </si>
  <si>
    <t>V1300</t>
  </si>
  <si>
    <t>V1301</t>
  </si>
  <si>
    <t>V1302</t>
  </si>
  <si>
    <t>V1303</t>
  </si>
  <si>
    <t>Service</t>
  </si>
  <si>
    <t>General Service</t>
  </si>
  <si>
    <t>V1400</t>
  </si>
  <si>
    <t>V1401</t>
  </si>
  <si>
    <t>V1402</t>
  </si>
  <si>
    <t>V1403</t>
  </si>
  <si>
    <t>V1404</t>
  </si>
  <si>
    <t>V1405</t>
  </si>
  <si>
    <t>V1406</t>
  </si>
  <si>
    <t>V1407</t>
  </si>
  <si>
    <t>V1408</t>
  </si>
  <si>
    <t>V1409</t>
  </si>
  <si>
    <t>V1410</t>
  </si>
  <si>
    <t>New York</t>
  </si>
  <si>
    <t>Texas</t>
  </si>
  <si>
    <t>NY State</t>
  </si>
  <si>
    <t>Exposure Curve</t>
  </si>
  <si>
    <t>Lloyd's Scale</t>
  </si>
  <si>
    <t>PSOLD</t>
  </si>
  <si>
    <t>ISO PSOLD 2008</t>
  </si>
  <si>
    <t>Coverage:</t>
  </si>
  <si>
    <t>Cat-Excl BC</t>
  </si>
  <si>
    <t>Cat-Excl BCTE</t>
  </si>
  <si>
    <t>Perils:</t>
  </si>
  <si>
    <t>All</t>
  </si>
  <si>
    <t>Trend to:</t>
  </si>
  <si>
    <t>Trend Factor:</t>
  </si>
  <si>
    <t>Deductible:</t>
  </si>
  <si>
    <t>Ground up losses</t>
  </si>
  <si>
    <t>States:</t>
  </si>
  <si>
    <t>Rating Group:</t>
  </si>
  <si>
    <t>Mean1</t>
  </si>
  <si>
    <t>Mean2</t>
  </si>
  <si>
    <t>Mean3</t>
  </si>
  <si>
    <t>Mean4</t>
  </si>
  <si>
    <t>Mean5</t>
  </si>
  <si>
    <t>Mean6</t>
  </si>
  <si>
    <t>Mean7</t>
  </si>
  <si>
    <t>Mean8</t>
  </si>
  <si>
    <t>Mean9</t>
  </si>
  <si>
    <t>Mean10</t>
  </si>
  <si>
    <t>Mean11</t>
  </si>
  <si>
    <t>Untrended PSOLD Parameters</t>
  </si>
  <si>
    <t>PSOLD08_ExCAT_BC_ParmA</t>
  </si>
  <si>
    <t>PSOLD08_ExCAT_BCTE_ParmA</t>
  </si>
  <si>
    <t>Trended PSOLD Parameters</t>
  </si>
  <si>
    <t>AOI Group Min</t>
  </si>
  <si>
    <t>AOI Group Max</t>
  </si>
  <si>
    <t>W(1)</t>
  </si>
  <si>
    <t>W(2)</t>
  </si>
  <si>
    <t>W(3)</t>
  </si>
  <si>
    <t>W(4)</t>
  </si>
  <si>
    <t>W(5)</t>
  </si>
  <si>
    <t>W(6)</t>
  </si>
  <si>
    <t>W(7)</t>
  </si>
  <si>
    <t>W(8)</t>
  </si>
  <si>
    <t>W(9)</t>
  </si>
  <si>
    <t>W(10)</t>
  </si>
  <si>
    <t>W(11)</t>
  </si>
  <si>
    <t>PSOLD08_ExCAT_BC_ParmB</t>
  </si>
  <si>
    <t>PSOLD08_ExCAT_BCTE_ParmB</t>
  </si>
  <si>
    <t>Regional Factor</t>
  </si>
  <si>
    <t>Vacant Building?</t>
  </si>
  <si>
    <t>Vacant Building Base Rate</t>
  </si>
  <si>
    <t>Selected Base Rate (per $100 of Limit)</t>
  </si>
  <si>
    <t>Debit if Special Form and Older than 20 Years</t>
  </si>
  <si>
    <t>Credit if Partially Occupied</t>
  </si>
  <si>
    <t>Vacant Building Rate</t>
  </si>
  <si>
    <t>ISO 1 – Brick Veneer</t>
  </si>
  <si>
    <t>ISO 1 – Frame</t>
  </si>
  <si>
    <t>ISO 2 – Joisted Masonry</t>
  </si>
  <si>
    <t>ISO 3 – Metal</t>
  </si>
  <si>
    <t>ISO 3 – Non-Combustible</t>
  </si>
  <si>
    <t>ISO 4 – Masonry Non-Combustible</t>
  </si>
  <si>
    <t>ISO 5 – Modified Fire Resistive</t>
  </si>
  <si>
    <t>ISO 5 – Semi Fire Resistive</t>
  </si>
  <si>
    <t>ISO 6 – Fire Resistive</t>
  </si>
  <si>
    <t>NY/TX Regions</t>
  </si>
  <si>
    <t>Fruits/Vegetables/Nuts Packing or Processing</t>
  </si>
  <si>
    <t>Additional Ord or Law Debit for Selected Occupancies</t>
  </si>
  <si>
    <t>Other</t>
  </si>
  <si>
    <t>Pricing Multiple</t>
  </si>
  <si>
    <t>XS Layer</t>
  </si>
  <si>
    <t>ALAE Load</t>
  </si>
  <si>
    <t>Catastrophe Pricing Factors</t>
  </si>
  <si>
    <t>AAD Multiple</t>
  </si>
  <si>
    <t>Coll. RI Multiple</t>
  </si>
  <si>
    <t>XS Multiple</t>
  </si>
  <si>
    <t>Input.BldgRegion</t>
  </si>
  <si>
    <t>Input.OrdLawALimit</t>
  </si>
  <si>
    <t>Claim Valuation</t>
  </si>
  <si>
    <t>No Sprinklers</t>
  </si>
  <si>
    <t>EB Deductibles</t>
  </si>
  <si>
    <t>V0105</t>
  </si>
  <si>
    <t>TIV</t>
  </si>
  <si>
    <t>Shared and Layered</t>
  </si>
  <si>
    <t>Attachment Point</t>
  </si>
  <si>
    <t>Participation %</t>
  </si>
  <si>
    <t>Total AOP Loss Cost (Ground Up)</t>
  </si>
  <si>
    <t>Layered Program?</t>
  </si>
  <si>
    <t>Layer AOP Loss Costs</t>
  </si>
  <si>
    <t>Expenses</t>
  </si>
  <si>
    <t>Catastrophe Summary (Adjusted for Layer and Participation)</t>
  </si>
  <si>
    <t>Building and Additional Properties Summary (Excluding Terror)</t>
  </si>
  <si>
    <t>Total Building Loss Costs - Excluding Terror and EB</t>
  </si>
  <si>
    <t>Layer Loss Factor</t>
  </si>
  <si>
    <t>AOP Loss Costs (100.0% Participation)</t>
  </si>
  <si>
    <t>XLC</t>
  </si>
  <si>
    <t>Verisk 360 Value</t>
  </si>
  <si>
    <t>MSB</t>
  </si>
  <si>
    <t>Occupancy Class</t>
  </si>
  <si>
    <t>Curve 1</t>
  </si>
  <si>
    <t>Curve 2</t>
  </si>
  <si>
    <t>Curve 4</t>
  </si>
  <si>
    <t>Airplane Hangars and Terminals</t>
  </si>
  <si>
    <t>Apartments and Condos</t>
  </si>
  <si>
    <t>% OF TIV</t>
  </si>
  <si>
    <t>Builders' Risk</t>
  </si>
  <si>
    <t>Hospitals and Nursing Homes</t>
  </si>
  <si>
    <t>Hotels/Motels - no Restaurant</t>
  </si>
  <si>
    <t>Mercantile - Low</t>
  </si>
  <si>
    <t>Offices and Banks</t>
  </si>
  <si>
    <t>Printing</t>
  </si>
  <si>
    <t>Storage</t>
  </si>
  <si>
    <t>Agricultural - Low</t>
  </si>
  <si>
    <t>Churches</t>
  </si>
  <si>
    <t>Emergency Services</t>
  </si>
  <si>
    <t>Entertainment and Recreation</t>
  </si>
  <si>
    <t>Gasoline and Service Stations</t>
  </si>
  <si>
    <t>Governmental Offices</t>
  </si>
  <si>
    <t>Heavy Manufacturing</t>
  </si>
  <si>
    <t>Hotels/Motels - with Restaurant</t>
  </si>
  <si>
    <t>Metalworking</t>
  </si>
  <si>
    <t>Parking and Car Washes</t>
  </si>
  <si>
    <t>Personal Services</t>
  </si>
  <si>
    <t>Pulp and Paper – FR and HP</t>
  </si>
  <si>
    <t>Restaurants and Bars</t>
  </si>
  <si>
    <t>Tobacco</t>
  </si>
  <si>
    <t>Agricultural - Medium</t>
  </si>
  <si>
    <t>Chemicals excluding Hazardous</t>
  </si>
  <si>
    <t>Food Processing – Medium</t>
  </si>
  <si>
    <t>Pulp and Paper – FR, not HP</t>
  </si>
  <si>
    <t>Pulp and Paper – HP, not FR</t>
  </si>
  <si>
    <t>Textiles - Cotton, Leather, Wool</t>
  </si>
  <si>
    <t>Textiles - Silk – FR and HP</t>
  </si>
  <si>
    <t>Wood Manufacturing</t>
  </si>
  <si>
    <t>Auto Repair</t>
  </si>
  <si>
    <t>Dwelling</t>
  </si>
  <si>
    <t>Mercantile - Medium</t>
  </si>
  <si>
    <t>Textiles - Silk – not FR or not HP</t>
  </si>
  <si>
    <t>Agricultural - Severe</t>
  </si>
  <si>
    <t>Chemicals - Hazardous</t>
  </si>
  <si>
    <t>Food Processing - Severe</t>
  </si>
  <si>
    <t>Pulp and Paper – not FR, not HP</t>
  </si>
  <si>
    <t>Textiles - Synthetic Fibers</t>
  </si>
  <si>
    <t>Coal Mining and Processing</t>
  </si>
  <si>
    <t>Petroleum and Gas</t>
  </si>
  <si>
    <t>Power Stations</t>
  </si>
  <si>
    <t>Valuation Sources</t>
  </si>
  <si>
    <t>Exposure Curves</t>
  </si>
  <si>
    <t>XLC Exposure Curves Mapping</t>
  </si>
  <si>
    <t>XLC Group</t>
  </si>
  <si>
    <t>Ventus Lloyd's Scale</t>
  </si>
  <si>
    <t>ISO's PSOLD</t>
  </si>
  <si>
    <t>XLC's Exposure Curves</t>
  </si>
  <si>
    <t>These curves have been rescaled to 1.000 at 100% using XLC's original curves.</t>
  </si>
  <si>
    <t>Deductible Factors</t>
  </si>
  <si>
    <t>Sinkhole Minimum Deductibles</t>
  </si>
  <si>
    <t>1% with $25,000 minimum</t>
  </si>
  <si>
    <t>Vacant Building Base Rate by Construction Type, Limit and Public Protection Class - Excluding Expenses</t>
  </si>
  <si>
    <t>Business Income Limit</t>
  </si>
  <si>
    <t>Catastrophe Net Premium (without Brokerage and Fronting)</t>
  </si>
  <si>
    <t>Catastrophe Net Premium Range</t>
  </si>
  <si>
    <t>Low</t>
  </si>
  <si>
    <t>Mid</t>
  </si>
  <si>
    <t>High</t>
  </si>
  <si>
    <t>Multiple</t>
  </si>
  <si>
    <t>bldg</t>
  </si>
  <si>
    <t>street</t>
  </si>
  <si>
    <t>age_of_build</t>
  </si>
  <si>
    <t>air_aal</t>
  </si>
  <si>
    <t>ap_array</t>
  </si>
  <si>
    <t>bi_limit</t>
  </si>
  <si>
    <t>building_limit</t>
  </si>
  <si>
    <t>building_number</t>
  </si>
  <si>
    <t>building_value</t>
  </si>
  <si>
    <t>calculate_equipment_breakdown</t>
  </si>
  <si>
    <t>calculate_terror_loss</t>
  </si>
  <si>
    <t>construction_type</t>
  </si>
  <si>
    <t>contents_limit</t>
  </si>
  <si>
    <t>deductible</t>
  </si>
  <si>
    <t>effective_date</t>
  </si>
  <si>
    <t>expiration_date</t>
  </si>
  <si>
    <t>extended_period_of_bi_ind</t>
  </si>
  <si>
    <t>fronting_fee</t>
  </si>
  <si>
    <t>is_sinkhole_covered</t>
  </si>
  <si>
    <t>iso_sink_rating</t>
  </si>
  <si>
    <t>location_number</t>
  </si>
  <si>
    <t>metropolitan</t>
  </si>
  <si>
    <t>number_of_stories</t>
  </si>
  <si>
    <t>occupancy_group_ventus_code</t>
  </si>
  <si>
    <t>occurrence_attachment</t>
  </si>
  <si>
    <t>occurrence_limit</t>
  </si>
  <si>
    <t>occurrence_participation</t>
  </si>
  <si>
    <t>ord_law_a_limit</t>
  </si>
  <si>
    <t>ord_law_b_limit</t>
  </si>
  <si>
    <t>ord_law_blanket_bc_limit</t>
  </si>
  <si>
    <t>ord_law_c_limit</t>
  </si>
  <si>
    <t>pct_occupied</t>
  </si>
  <si>
    <t>policy_form</t>
  </si>
  <si>
    <t>policy_is_layered</t>
  </si>
  <si>
    <t>policy_reference</t>
  </si>
  <si>
    <t>ppc</t>
  </si>
  <si>
    <t>prop_enhancement_endorsement</t>
  </si>
  <si>
    <t>ri_brokerage</t>
  </si>
  <si>
    <t>sprinkler</t>
  </si>
  <si>
    <t>state</t>
  </si>
  <si>
    <t>total_appurtenant_structure_value</t>
  </si>
  <si>
    <t>use_itv_adjustment</t>
  </si>
  <si>
    <t>years_since_renovation</t>
  </si>
  <si>
    <t>[]</t>
  </si>
  <si>
    <t>BRICK_VENEER</t>
  </si>
  <si>
    <t>METROPOLITAN</t>
  </si>
  <si>
    <t>SPECIAL</t>
  </si>
  <si>
    <t>PARTIAL_NO_CENTRAL_ALARM</t>
  </si>
  <si>
    <t>LA</t>
  </si>
  <si>
    <t>FRAME</t>
  </si>
  <si>
    <t>NONCOMBUSTIBLE</t>
  </si>
  <si>
    <t>FULL_CENTRAL_ALARM_ISO_4</t>
  </si>
  <si>
    <t>FULL_NO_CENTRAL_ALARM</t>
  </si>
  <si>
    <t>MASONRY_NONCOMBUSTIBLE</t>
  </si>
  <si>
    <t>JOISTED_MASONRY</t>
  </si>
  <si>
    <t>MODIFIED_FIRE_RESISTIVE</t>
  </si>
  <si>
    <t>MS</t>
  </si>
  <si>
    <t>FIRE_RESISTIVE</t>
  </si>
  <si>
    <t>METAL</t>
  </si>
  <si>
    <t>FULL_CENTRAL_ALARM</t>
  </si>
  <si>
    <t>PARTIAL_CENTRAL_ALARM</t>
  </si>
  <si>
    <t>NO_SPRINKLERS</t>
  </si>
  <si>
    <t>Sprinklers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</si>
  <si>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</si>
  <si>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</si>
  <si>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</si>
  <si>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</si>
  <si>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</si>
  <si>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</si>
  <si>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</si>
  <si>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</si>
  <si>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</si>
  <si>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</si>
  <si>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</si>
  <si>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</si>
  <si>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</si>
  <si>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</si>
  <si>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</si>
  <si>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</si>
  <si>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</si>
  <si>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ME</t>
  </si>
  <si>
    <t>MD</t>
  </si>
  <si>
    <t>MA</t>
  </si>
  <si>
    <t>MI</t>
  </si>
  <si>
    <t>MN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</si>
  <si>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</si>
  <si>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</si>
  <si>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</si>
  <si>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</si>
  <si>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</si>
  <si>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</si>
  <si>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</si>
  <si>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</si>
  <si>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</si>
  <si>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</si>
  <si>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</si>
  <si>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</si>
  <si>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</si>
  <si>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</si>
  <si>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</si>
  <si>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</si>
  <si>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</si>
  <si>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</si>
  <si>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</si>
  <si>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</si>
  <si>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</si>
  <si>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</si>
  <si>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</si>
  <si>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</si>
  <si>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</si>
  <si>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</si>
  <si>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Alaska</t>
  </si>
  <si>
    <t>AOPBuildingTemplate</t>
  </si>
  <si>
    <t>B29</t>
  </si>
  <si>
    <t>VIKI Building ID</t>
  </si>
  <si>
    <t>Sheet</t>
  </si>
  <si>
    <t>Cell</t>
  </si>
  <si>
    <t>Import Refrence Cells</t>
  </si>
  <si>
    <t>number_of_buildings</t>
  </si>
  <si>
    <t>BuildingNumber</t>
  </si>
  <si>
    <t>AOPBuilding2</t>
  </si>
  <si>
    <t>AOPBuilding3</t>
  </si>
  <si>
    <t>AOPBuilding4</t>
  </si>
  <si>
    <t>AOPBuilding5</t>
  </si>
  <si>
    <t>AOPBuilding6</t>
  </si>
  <si>
    <t>AOPBuilding7</t>
  </si>
  <si>
    <t>AOPBuilding8</t>
  </si>
  <si>
    <t>AOPBuilding9</t>
  </si>
  <si>
    <t>AOPBuilding10</t>
  </si>
  <si>
    <t>AOPBuilding11</t>
  </si>
  <si>
    <t>AOPBuilding12</t>
  </si>
  <si>
    <t>AOPBuilding13</t>
  </si>
  <si>
    <t>AOPBuilding14</t>
  </si>
  <si>
    <t>AOPBuilding15</t>
  </si>
  <si>
    <t>AOPBuilding16</t>
  </si>
  <si>
    <t>AOPBuilding17</t>
  </si>
  <si>
    <t>AOPBuilding18</t>
  </si>
  <si>
    <t>AOPBuilding19</t>
  </si>
  <si>
    <t>AOPBuilding20</t>
  </si>
  <si>
    <t>AOPBuilding21</t>
  </si>
  <si>
    <t>AOPBuilding22</t>
  </si>
  <si>
    <t>AOPBuilding23</t>
  </si>
  <si>
    <t>AOPBuilding24</t>
  </si>
  <si>
    <t>AOPBuilding25</t>
  </si>
  <si>
    <t>AOPBuilding26</t>
  </si>
  <si>
    <t>AOPBuilding27</t>
  </si>
  <si>
    <t>AOPBuilding28</t>
  </si>
  <si>
    <t>AOPBuilding29</t>
  </si>
  <si>
    <t>AOPBuilding30</t>
  </si>
  <si>
    <t>AOPBuilding31</t>
  </si>
  <si>
    <t>AOPBuilding32</t>
  </si>
  <si>
    <t>AOPBuilding33</t>
  </si>
  <si>
    <t>AOPBuilding34</t>
  </si>
  <si>
    <t>AOPBuilding35</t>
  </si>
  <si>
    <t>AOPBuilding36</t>
  </si>
  <si>
    <t>AOPBuilding37</t>
  </si>
  <si>
    <t>AOPBuilding38</t>
  </si>
  <si>
    <t>AOPBuilding39</t>
  </si>
  <si>
    <t>AOPBuilding40</t>
  </si>
  <si>
    <t>AOPBuilding41</t>
  </si>
  <si>
    <t>AOPBuilding42</t>
  </si>
  <si>
    <t>AOPBuilding43</t>
  </si>
  <si>
    <t>AOPBuilding44</t>
  </si>
  <si>
    <t>AOPBuilding45</t>
  </si>
  <si>
    <t>AOPBuilding46</t>
  </si>
  <si>
    <t>AOPBuilding47</t>
  </si>
  <si>
    <t>AOPBuilding48</t>
  </si>
  <si>
    <t>AOPBuilding49</t>
  </si>
  <si>
    <t>AOPBuilding50</t>
  </si>
  <si>
    <t>AOPBuilding51</t>
  </si>
  <si>
    <t>AOPBuilding52</t>
  </si>
  <si>
    <t>AOPBuilding53</t>
  </si>
  <si>
    <t>AOPBuilding54</t>
  </si>
  <si>
    <t>AOPBuilding55</t>
  </si>
  <si>
    <t>AOPBuilding56</t>
  </si>
  <si>
    <t>AOPBuilding57</t>
  </si>
  <si>
    <t>AOPBuilding58</t>
  </si>
  <si>
    <t>AOPBuilding59</t>
  </si>
  <si>
    <t>AOPBuilding60</t>
  </si>
  <si>
    <t>AOPBuilding61</t>
  </si>
  <si>
    <t>AOPBuilding62</t>
  </si>
  <si>
    <t>AOPBuilding63</t>
  </si>
  <si>
    <t>AOPBuilding64</t>
  </si>
  <si>
    <t>AOPBuilding65</t>
  </si>
  <si>
    <t>AOPBuilding66</t>
  </si>
  <si>
    <t>AOPBuilding67</t>
  </si>
  <si>
    <t>AOPBuilding68</t>
  </si>
  <si>
    <t>AOPBuilding69</t>
  </si>
  <si>
    <t>AOPBuilding70</t>
  </si>
  <si>
    <t>AOPBuilding71</t>
  </si>
  <si>
    <t>AOPBuilding72</t>
  </si>
  <si>
    <t>AOPBuilding73</t>
  </si>
  <si>
    <t>AOPBuilding74</t>
  </si>
  <si>
    <t>AOPBuilding75</t>
  </si>
  <si>
    <t>AOPBuilding76</t>
  </si>
  <si>
    <t>AOPBuilding77</t>
  </si>
  <si>
    <t>AOPBuilding78</t>
  </si>
  <si>
    <t>AOPBuilding79</t>
  </si>
  <si>
    <t>AOPBuilding80</t>
  </si>
  <si>
    <t>AOPBuilding81</t>
  </si>
  <si>
    <t>AOPBuilding82</t>
  </si>
  <si>
    <t>AOPBuilding83</t>
  </si>
  <si>
    <t>AOPBuilding84</t>
  </si>
  <si>
    <t>AOPBuilding85</t>
  </si>
  <si>
    <t>AOPBuilding86</t>
  </si>
  <si>
    <t>AOPBuilding87</t>
  </si>
  <si>
    <t>AOPBuilding88</t>
  </si>
  <si>
    <t>AOPBuilding89</t>
  </si>
  <si>
    <t>AOPBuilding90</t>
  </si>
  <si>
    <t>AOPBuilding91</t>
  </si>
  <si>
    <t>Calculating building number</t>
  </si>
  <si>
    <t>B12</t>
  </si>
  <si>
    <t>B15</t>
  </si>
  <si>
    <t>B17</t>
  </si>
  <si>
    <t>B20</t>
  </si>
  <si>
    <t>B24</t>
  </si>
  <si>
    <t>B25</t>
  </si>
  <si>
    <t>B26</t>
  </si>
  <si>
    <t>E12</t>
  </si>
  <si>
    <t>H30</t>
  </si>
  <si>
    <t>H33</t>
  </si>
  <si>
    <t>H48</t>
  </si>
  <si>
    <t>AOPBuilding</t>
  </si>
  <si>
    <t>Year of Build</t>
  </si>
  <si>
    <t>Sprinkler</t>
  </si>
  <si>
    <t>Building Valuation</t>
  </si>
  <si>
    <t>Rate on TIV (Per $100)</t>
  </si>
  <si>
    <t>PPC</t>
  </si>
  <si>
    <t>B19</t>
  </si>
  <si>
    <t>B31</t>
  </si>
  <si>
    <t>Square Foot</t>
  </si>
  <si>
    <t>E7</t>
  </si>
  <si>
    <t>$ per Sq Ft</t>
  </si>
  <si>
    <t>Cat AAL</t>
  </si>
  <si>
    <t>Net Cat Premium</t>
  </si>
  <si>
    <t>Totals</t>
  </si>
  <si>
    <t>bldg_id</t>
  </si>
  <si>
    <t>BuildingLossCost</t>
  </si>
  <si>
    <t>contentsLossCost</t>
  </si>
  <si>
    <t>BILossCost</t>
  </si>
  <si>
    <t>AOPRate</t>
  </si>
  <si>
    <t>RateMod__gutFactor</t>
  </si>
  <si>
    <t>RateMod__age_of_Building_factor</t>
  </si>
  <si>
    <t>RateMod__Limit_factor</t>
  </si>
  <si>
    <t>RateMod__deductibleFactor</t>
  </si>
  <si>
    <t>RateMod__SprinklerFactor</t>
  </si>
  <si>
    <t>RateMod__rateFactor</t>
  </si>
  <si>
    <t>RateMod__staterFactor</t>
  </si>
  <si>
    <t>RateMod__PPCFactor</t>
  </si>
  <si>
    <t>Total Limit</t>
  </si>
  <si>
    <t>Insurance to Value Diff</t>
  </si>
  <si>
    <t>H24</t>
  </si>
  <si>
    <t>H13</t>
  </si>
  <si>
    <t>H16</t>
  </si>
  <si>
    <t>H18</t>
  </si>
  <si>
    <t>H19</t>
  </si>
  <si>
    <t>H20</t>
  </si>
  <si>
    <t>H21</t>
  </si>
  <si>
    <t>H22</t>
  </si>
  <si>
    <t>H23</t>
  </si>
  <si>
    <t>Gross AOP Premium</t>
  </si>
  <si>
    <t>Gross Cat Premiums</t>
  </si>
  <si>
    <t>Row Labels</t>
  </si>
  <si>
    <t>Grand Total</t>
  </si>
  <si>
    <t>Sum of Total Limit</t>
  </si>
  <si>
    <t>Sum of Gross AOP Premium</t>
  </si>
  <si>
    <t>Sum of Gross Cat Premiums</t>
  </si>
  <si>
    <t>Building ID</t>
  </si>
  <si>
    <t>Enter Cat Range Here</t>
  </si>
  <si>
    <t>Analysis by Construction Class</t>
  </si>
  <si>
    <t>Analysis by Year Built</t>
  </si>
  <si>
    <t>Analysis by Occupancy</t>
  </si>
  <si>
    <t>Insured</t>
  </si>
  <si>
    <t>Daytona FL, 12345</t>
  </si>
  <si>
    <t>Brown &amp; Brown</t>
  </si>
  <si>
    <t>Abbie Post</t>
  </si>
  <si>
    <t>Producer</t>
  </si>
  <si>
    <t>AOP Pricing</t>
  </si>
  <si>
    <t>Base</t>
  </si>
  <si>
    <t xml:space="preserve">Loss Experience </t>
  </si>
  <si>
    <t>Total Cat</t>
  </si>
  <si>
    <t>Account Analysis</t>
  </si>
  <si>
    <t>Name</t>
  </si>
  <si>
    <t>Address</t>
  </si>
  <si>
    <t>12 Test</t>
  </si>
  <si>
    <t>Tampa</t>
  </si>
  <si>
    <t>Future ELT cureves</t>
  </si>
  <si>
    <t>Sheet Metal</t>
  </si>
  <si>
    <t>205 E Pleasure</t>
  </si>
  <si>
    <t>55f5a930-b9e6-44e8-92f5-ae371fc16382</t>
  </si>
  <si>
    <t>206A E Pleasure</t>
  </si>
  <si>
    <t>206 B Pleasure</t>
  </si>
  <si>
    <t>5001 Paris Road</t>
  </si>
  <si>
    <t>5031 Paris Road</t>
  </si>
  <si>
    <t>305 E Pleasure</t>
  </si>
  <si>
    <t>5021 Paris Road</t>
  </si>
  <si>
    <t>property_of_others</t>
  </si>
  <si>
    <t>stock_limit</t>
  </si>
  <si>
    <t>theft_exclusion</t>
  </si>
  <si>
    <t>theft_of_metal_exclusion</t>
  </si>
  <si>
    <t>B4</t>
  </si>
  <si>
    <t>B5</t>
  </si>
  <si>
    <t>Spreadof Risk</t>
  </si>
  <si>
    <t>Debits/Credits</t>
  </si>
  <si>
    <t>Layer Factor</t>
  </si>
  <si>
    <t xml:space="preserve">Total </t>
  </si>
  <si>
    <t>Total AOP</t>
  </si>
  <si>
    <t>final_rate</t>
  </si>
  <si>
    <t>ExtendedBI</t>
  </si>
  <si>
    <t>metalExclusion</t>
  </si>
  <si>
    <t>theftExclusion</t>
  </si>
  <si>
    <t>EquipmentBreakdown</t>
  </si>
  <si>
    <t>coverageBCBlanket</t>
  </si>
  <si>
    <t>coverageA</t>
  </si>
  <si>
    <t>coverageB</t>
  </si>
  <si>
    <t>coverageC</t>
  </si>
  <si>
    <t>PolicyReference</t>
  </si>
  <si>
    <t>LocationNumber</t>
  </si>
  <si>
    <t>sinkHoleLC</t>
  </si>
  <si>
    <t>terror</t>
  </si>
  <si>
    <t>equipBreak</t>
  </si>
  <si>
    <t>additional_property_lost_cost</t>
  </si>
  <si>
    <t>IncreasedPeriodOfRestoration</t>
  </si>
  <si>
    <t>AppStructureLostCosts</t>
  </si>
  <si>
    <t>Nat_Cat_Array</t>
  </si>
  <si>
    <t>H27</t>
  </si>
  <si>
    <t>H42</t>
  </si>
  <si>
    <t>H46</t>
  </si>
  <si>
    <t>H45</t>
  </si>
  <si>
    <t>H51</t>
  </si>
  <si>
    <t>H39</t>
  </si>
  <si>
    <t>H38</t>
  </si>
  <si>
    <t>B2</t>
  </si>
  <si>
    <t>H36</t>
  </si>
  <si>
    <t>H50</t>
  </si>
  <si>
    <t>H40</t>
  </si>
  <si>
    <t>E13</t>
  </si>
  <si>
    <t>Total AOP Loss Cost</t>
  </si>
  <si>
    <t>Building Level Information</t>
  </si>
  <si>
    <t>8  - 17050 Palm Pointe Dr - 3470000</t>
  </si>
  <si>
    <t>Taxes</t>
  </si>
  <si>
    <t>Inspection Fee</t>
  </si>
  <si>
    <t>Policy Issue</t>
  </si>
  <si>
    <t>Stamp Fee</t>
  </si>
  <si>
    <t>Surcharge</t>
  </si>
  <si>
    <t>wind 10</t>
  </si>
  <si>
    <t>primary 10</t>
  </si>
  <si>
    <t>Main Office</t>
  </si>
  <si>
    <t>17474 Old Jefferson Hwy</t>
  </si>
  <si>
    <t>5c8e43e5-ad2f-4a06-8082-b55e301b90c4</t>
  </si>
  <si>
    <t>Structural Shop</t>
  </si>
  <si>
    <t>Mechaninc Shop</t>
  </si>
  <si>
    <t>Pipe Shop</t>
  </si>
  <si>
    <t>Small Tool Shop</t>
  </si>
  <si>
    <t>Vessel Shop</t>
  </si>
  <si>
    <t>Human Resources</t>
  </si>
  <si>
    <t>Estimating Office</t>
  </si>
  <si>
    <t>HR Building</t>
  </si>
  <si>
    <t>2450 Florida Ave</t>
  </si>
  <si>
    <t>Paint Building</t>
  </si>
  <si>
    <t>Out Building</t>
  </si>
  <si>
    <t>157 Holubar 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</si>
</sst>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#,##0.000"/>
    <numFmt numFmtId="165" formatCode="0.0000"/>
    <numFmt numFmtId="166" formatCode="#,##0,,;\-#,##0,,"/>
    <numFmt numFmtId="167" formatCode="0.0%"/>
    <numFmt numFmtId="168" formatCode="_(* #,##0_);_(* \(#,##0\);_(* &quot;-&quot;??_);_(@_)"/>
    <numFmt numFmtId="169" formatCode="0.000"/>
    <numFmt numFmtId="170" formatCode="[$-409]dd\-mmm\-yy;@"/>
    <numFmt numFmtId="171" formatCode="[$-409]h:mm\ AM/PM;@"/>
    <numFmt numFmtId="172" formatCode="_(* #,##0.00_);_(* \(#,##0.00\);_(* &quot;-&quot;??_);_(@_)"/>
    <numFmt numFmtId="173" formatCode="0.000000"/>
    <numFmt numFmtId="174" formatCode="#,##0.000;\-#,##0.000"/>
    <numFmt numFmtId="175" formatCode="0.00000"/>
    <numFmt numFmtId="176" formatCode="#,##0.0;\-#,##0.0"/>
    <numFmt numFmtId="177" formatCode="#,##0.000000;\-#,##0.000000"/>
    <numFmt numFmtId="178" formatCode="#,##0.000_ ;\-#,##0.000\ "/>
    <numFmt numFmtId="179" formatCode="[$-F800]dddd\,\ mmmm\ dd\,\ yyyy"/>
    <numFmt numFmtId="180" formatCode="#,##0.00000;\-#,##0.00000"/>
  </numFmts>
  <fonts count="3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0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C00000"/>
      <name val="Arial"/>
      <family val="2"/>
    </font>
    <font>
      <sz val="10"/>
      <name val="Arial"/>
      <family val="2"/>
    </font>
    <font>
      <sz val="10"/>
      <color rgb="FFC0000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.5"/>
      <name val="MS Sans Serif"/>
      <family val="2"/>
    </font>
    <font>
      <sz val="8"/>
      <color indexed="10"/>
      <name val="Arial"/>
      <family val="2"/>
    </font>
    <font>
      <b/>
      <sz val="10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sz val="11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5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7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19" fillId="0" borderId="0"/>
    <xf numFmtId="0" fontId="19" fillId="0" borderId="0"/>
    <xf numFmtId="0" fontId="1" fillId="0" borderId="0"/>
    <xf numFmtId="17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/>
    <xf numFmtId="2" fontId="3" fillId="0" borderId="0" xfId="0" applyNumberFormat="1" applyFo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3" fontId="3" fillId="0" borderId="0" xfId="0" applyNumberFormat="1" applyFont="1"/>
    <xf numFmtId="9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right"/>
    </xf>
    <xf numFmtId="0" fontId="7" fillId="0" borderId="0" xfId="0" applyFont="1"/>
    <xf numFmtId="0" fontId="3" fillId="0" borderId="0" xfId="0" quotePrefix="1" applyFont="1" applyAlignment="1">
      <alignment horizontal="center"/>
    </xf>
    <xf numFmtId="165" fontId="3" fillId="0" borderId="0" xfId="0" applyNumberFormat="1" applyFont="1"/>
    <xf numFmtId="0" fontId="4" fillId="0" borderId="0" xfId="0" applyFont="1" applyAlignment="1">
      <alignment horizontal="center"/>
    </xf>
    <xf numFmtId="0" fontId="3" fillId="4" borderId="0" xfId="0" applyFont="1" applyFill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0" fontId="3" fillId="0" borderId="0" xfId="0" applyNumberFormat="1" applyFont="1"/>
    <xf numFmtId="10" fontId="14" fillId="0" borderId="0" xfId="0" applyNumberFormat="1" applyFont="1"/>
    <xf numFmtId="37" fontId="3" fillId="0" borderId="0" xfId="8" applyFont="1" applyAlignment="1">
      <alignment horizontal="center"/>
    </xf>
    <xf numFmtId="9" fontId="0" fillId="0" borderId="0" xfId="9" applyFont="1"/>
    <xf numFmtId="0" fontId="13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37" fontId="3" fillId="0" borderId="0" xfId="8" applyFont="1"/>
    <xf numFmtId="9" fontId="3" fillId="0" borderId="0" xfId="0" applyNumberFormat="1" applyFont="1"/>
    <xf numFmtId="167" fontId="3" fillId="0" borderId="0" xfId="0" applyNumberFormat="1" applyFont="1"/>
    <xf numFmtId="37" fontId="4" fillId="0" borderId="0" xfId="8" applyFont="1" applyAlignment="1">
      <alignment horizontal="right"/>
    </xf>
    <xf numFmtId="9" fontId="3" fillId="0" borderId="0" xfId="9" applyFont="1"/>
    <xf numFmtId="0" fontId="3" fillId="0" borderId="0" xfId="0" applyFont="1" applyAlignment="1">
      <alignment horizontal="center"/>
    </xf>
    <xf numFmtId="167" fontId="3" fillId="0" borderId="0" xfId="9" applyNumberFormat="1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4" fontId="3" fillId="0" borderId="0" xfId="0" applyNumberFormat="1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6" borderId="0" xfId="0" applyFont="1" applyFill="1"/>
    <xf numFmtId="2" fontId="3" fillId="6" borderId="0" xfId="0" applyNumberFormat="1" applyFont="1" applyFill="1"/>
    <xf numFmtId="0" fontId="24" fillId="0" borderId="0" xfId="11" applyFont="1"/>
    <xf numFmtId="0" fontId="25" fillId="0" borderId="0" xfId="11" applyFont="1"/>
    <xf numFmtId="0" fontId="19" fillId="0" borderId="0" xfId="12"/>
    <xf numFmtId="0" fontId="25" fillId="0" borderId="0" xfId="11" applyFont="1" applyAlignment="1">
      <alignment horizontal="left"/>
    </xf>
    <xf numFmtId="170" fontId="26" fillId="0" borderId="0" xfId="11" applyNumberFormat="1" applyFont="1" applyAlignment="1">
      <alignment horizontal="left"/>
    </xf>
    <xf numFmtId="0" fontId="26" fillId="0" borderId="0" xfId="11" applyFont="1" applyAlignment="1">
      <alignment horizontal="left"/>
    </xf>
    <xf numFmtId="0" fontId="27" fillId="0" borderId="0" xfId="12" applyFont="1"/>
    <xf numFmtId="0" fontId="25" fillId="0" borderId="0" xfId="11" applyFont="1" applyAlignment="1">
      <alignment horizontal="right"/>
    </xf>
    <xf numFmtId="0" fontId="25" fillId="0" borderId="0" xfId="12" applyFont="1" applyAlignment="1">
      <alignment horizontal="right"/>
    </xf>
    <xf numFmtId="3" fontId="27" fillId="7" borderId="3" xfId="11" applyNumberFormat="1" applyFont="1" applyFill="1" applyBorder="1"/>
    <xf numFmtId="3" fontId="27" fillId="7" borderId="4" xfId="11" applyNumberFormat="1" applyFont="1" applyFill="1" applyBorder="1"/>
    <xf numFmtId="3" fontId="27" fillId="7" borderId="5" xfId="11" applyNumberFormat="1" applyFont="1" applyFill="1" applyBorder="1"/>
    <xf numFmtId="0" fontId="25" fillId="0" borderId="0" xfId="12" applyFont="1"/>
    <xf numFmtId="10" fontId="25" fillId="0" borderId="0" xfId="12" applyNumberFormat="1" applyFont="1" applyAlignment="1">
      <alignment horizontal="right"/>
    </xf>
    <xf numFmtId="0" fontId="28" fillId="0" borderId="0" xfId="11" applyFont="1"/>
    <xf numFmtId="10" fontId="25" fillId="0" borderId="0" xfId="12" applyNumberFormat="1" applyFont="1"/>
    <xf numFmtId="0" fontId="25" fillId="0" borderId="0" xfId="12" applyFont="1" applyAlignment="1">
      <alignment horizontal="left"/>
    </xf>
    <xf numFmtId="3" fontId="27" fillId="7" borderId="7" xfId="11" applyNumberFormat="1" applyFont="1" applyFill="1" applyBorder="1"/>
    <xf numFmtId="3" fontId="27" fillId="7" borderId="13" xfId="11" applyNumberFormat="1" applyFont="1" applyFill="1" applyBorder="1"/>
    <xf numFmtId="4" fontId="27" fillId="7" borderId="13" xfId="11" applyNumberFormat="1" applyFont="1" applyFill="1" applyBorder="1"/>
    <xf numFmtId="4" fontId="27" fillId="7" borderId="8" xfId="11" applyNumberFormat="1" applyFont="1" applyFill="1" applyBorder="1"/>
    <xf numFmtId="3" fontId="27" fillId="7" borderId="9" xfId="11" applyNumberFormat="1" applyFont="1" applyFill="1" applyBorder="1"/>
    <xf numFmtId="3" fontId="27" fillId="7" borderId="0" xfId="11" applyNumberFormat="1" applyFont="1" applyFill="1" applyBorder="1"/>
    <xf numFmtId="4" fontId="27" fillId="7" borderId="0" xfId="11" applyNumberFormat="1" applyFont="1" applyFill="1" applyBorder="1"/>
    <xf numFmtId="4" fontId="27" fillId="7" borderId="10" xfId="11" applyNumberFormat="1" applyFont="1" applyFill="1" applyBorder="1"/>
    <xf numFmtId="3" fontId="27" fillId="7" borderId="11" xfId="11" applyNumberFormat="1" applyFont="1" applyFill="1" applyBorder="1"/>
    <xf numFmtId="3" fontId="27" fillId="7" borderId="14" xfId="11" applyNumberFormat="1" applyFont="1" applyFill="1" applyBorder="1"/>
    <xf numFmtId="4" fontId="27" fillId="7" borderId="14" xfId="11" applyNumberFormat="1" applyFont="1" applyFill="1" applyBorder="1"/>
    <xf numFmtId="4" fontId="27" fillId="7" borderId="12" xfId="11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5" fontId="3" fillId="0" borderId="15" xfId="0" applyNumberFormat="1" applyFont="1" applyBorder="1"/>
    <xf numFmtId="165" fontId="3" fillId="0" borderId="16" xfId="0" applyNumberFormat="1" applyFont="1" applyBorder="1"/>
    <xf numFmtId="165" fontId="3" fillId="0" borderId="17" xfId="0" applyNumberFormat="1" applyFont="1" applyBorder="1"/>
    <xf numFmtId="169" fontId="3" fillId="0" borderId="0" xfId="0" applyNumberFormat="1" applyFont="1"/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/>
    <xf numFmtId="1" fontId="3" fillId="6" borderId="0" xfId="0" applyNumberFormat="1" applyFont="1" applyFill="1"/>
    <xf numFmtId="0" fontId="4" fillId="0" borderId="0" xfId="0" applyFont="1" applyAlignment="1">
      <alignment horizontal="center" vertical="center" wrapText="1"/>
    </xf>
    <xf numFmtId="9" fontId="3" fillId="0" borderId="0" xfId="0" applyNumberFormat="1" applyFont="1" applyAlignment="1">
      <alignment horizontal="right"/>
    </xf>
    <xf numFmtId="39" fontId="3" fillId="0" borderId="0" xfId="0" applyNumberFormat="1" applyFont="1"/>
    <xf numFmtId="171" fontId="3" fillId="0" borderId="0" xfId="0" applyNumberFormat="1" applyFont="1"/>
    <xf numFmtId="11" fontId="3" fillId="0" borderId="0" xfId="0" applyNumberFormat="1" applyFont="1"/>
    <xf numFmtId="0" fontId="2" fillId="3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2" fillId="3" borderId="0" xfId="0" applyFont="1" applyFill="1" applyAlignment="1" applyProtection="1">
      <protection locked="0"/>
    </xf>
    <xf numFmtId="0" fontId="10" fillId="0" borderId="0" xfId="0" applyFont="1" applyAlignment="1" applyProtection="1">
      <alignment horizontal="center"/>
      <protection locked="0"/>
    </xf>
    <xf numFmtId="0" fontId="3" fillId="4" borderId="0" xfId="0" applyFont="1" applyFill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39" fontId="3" fillId="0" borderId="0" xfId="8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37" fontId="18" fillId="0" borderId="0" xfId="8" applyFont="1" applyProtection="1">
      <protection locked="0"/>
    </xf>
    <xf numFmtId="37" fontId="19" fillId="0" borderId="0" xfId="8" applyFont="1" applyAlignment="1" applyProtection="1">
      <alignment horizontal="center"/>
      <protection locked="0"/>
    </xf>
    <xf numFmtId="37" fontId="10" fillId="0" borderId="0" xfId="8" applyFont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37" fontId="3" fillId="0" borderId="0" xfId="8" applyFont="1" applyAlignment="1" applyProtection="1">
      <alignment horizontal="center"/>
      <protection locked="0"/>
    </xf>
    <xf numFmtId="9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3" fillId="2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3" fontId="11" fillId="0" borderId="0" xfId="0" applyNumberFormat="1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4" fillId="2" borderId="0" xfId="0" applyFont="1" applyFill="1" applyProtection="1">
      <protection locked="0"/>
    </xf>
    <xf numFmtId="0" fontId="3" fillId="0" borderId="0" xfId="0" quotePrefix="1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 indent="1"/>
      <protection locked="0"/>
    </xf>
    <xf numFmtId="3" fontId="3" fillId="0" borderId="0" xfId="0" applyNumberFormat="1" applyFont="1" applyProtection="1">
      <protection locked="0"/>
    </xf>
    <xf numFmtId="0" fontId="6" fillId="2" borderId="1" xfId="0" applyFont="1" applyFill="1" applyBorder="1" applyProtection="1">
      <protection locked="0"/>
    </xf>
    <xf numFmtId="0" fontId="13" fillId="4" borderId="3" xfId="0" applyFont="1" applyFill="1" applyBorder="1" applyAlignment="1" applyProtection="1">
      <alignment horizontal="left"/>
      <protection locked="0"/>
    </xf>
    <xf numFmtId="0" fontId="13" fillId="4" borderId="4" xfId="0" applyFont="1" applyFill="1" applyBorder="1" applyProtection="1">
      <protection locked="0"/>
    </xf>
    <xf numFmtId="37" fontId="13" fillId="4" borderId="4" xfId="8" applyFont="1" applyFill="1" applyBorder="1" applyProtection="1">
      <protection locked="0"/>
    </xf>
    <xf numFmtId="0" fontId="4" fillId="4" borderId="0" xfId="0" applyFont="1" applyFill="1" applyProtection="1">
      <protection locked="0"/>
    </xf>
    <xf numFmtId="0" fontId="4" fillId="4" borderId="0" xfId="0" applyFont="1" applyFill="1" applyAlignment="1" applyProtection="1">
      <alignment horizontal="center"/>
      <protection locked="0"/>
    </xf>
    <xf numFmtId="0" fontId="4" fillId="0" borderId="7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37" fontId="3" fillId="0" borderId="0" xfId="0" applyNumberFormat="1" applyFont="1" applyProtection="1">
      <protection locked="0"/>
    </xf>
    <xf numFmtId="9" fontId="3" fillId="0" borderId="0" xfId="9" applyFont="1" applyProtection="1">
      <protection locked="0"/>
    </xf>
    <xf numFmtId="37" fontId="3" fillId="0" borderId="0" xfId="8" applyFont="1" applyProtection="1">
      <protection locked="0"/>
    </xf>
    <xf numFmtId="37" fontId="20" fillId="0" borderId="0" xfId="8" applyFont="1" applyProtection="1">
      <protection locked="0"/>
    </xf>
    <xf numFmtId="0" fontId="3" fillId="0" borderId="9" xfId="0" applyFont="1" applyBorder="1" applyProtection="1">
      <protection locked="0"/>
    </xf>
    <xf numFmtId="37" fontId="3" fillId="0" borderId="10" xfId="8" applyFont="1" applyBorder="1" applyProtection="1">
      <protection locked="0"/>
    </xf>
    <xf numFmtId="167" fontId="20" fillId="0" borderId="0" xfId="9" applyNumberFormat="1" applyFont="1" applyProtection="1">
      <protection locked="0"/>
    </xf>
    <xf numFmtId="0" fontId="3" fillId="0" borderId="0" xfId="0" applyFont="1" applyFill="1" applyAlignment="1" applyProtection="1">
      <protection locked="0"/>
    </xf>
    <xf numFmtId="37" fontId="4" fillId="4" borderId="0" xfId="8" applyFont="1" applyFill="1" applyProtection="1">
      <protection locked="0"/>
    </xf>
    <xf numFmtId="0" fontId="3" fillId="0" borderId="0" xfId="0" applyFont="1" applyAlignment="1" applyProtection="1">
      <protection locked="0"/>
    </xf>
    <xf numFmtId="0" fontId="3" fillId="8" borderId="0" xfId="0" applyFont="1" applyFill="1" applyAlignment="1" applyProtection="1">
      <protection locked="0"/>
    </xf>
    <xf numFmtId="0" fontId="3" fillId="8" borderId="0" xfId="0" applyFont="1" applyFill="1" applyProtection="1">
      <protection locked="0"/>
    </xf>
    <xf numFmtId="0" fontId="4" fillId="4" borderId="0" xfId="0" applyFont="1" applyFill="1" applyAlignment="1" applyProtection="1">
      <protection locked="0"/>
    </xf>
    <xf numFmtId="0" fontId="3" fillId="0" borderId="0" xfId="0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center"/>
      <protection locked="0"/>
    </xf>
    <xf numFmtId="37" fontId="14" fillId="0" borderId="0" xfId="8" applyFont="1" applyFill="1" applyProtection="1">
      <protection locked="0"/>
    </xf>
    <xf numFmtId="0" fontId="3" fillId="0" borderId="11" xfId="0" applyFont="1" applyBorder="1" applyProtection="1">
      <protection locked="0"/>
    </xf>
    <xf numFmtId="37" fontId="3" fillId="0" borderId="12" xfId="8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4" fillId="0" borderId="0" xfId="0" applyFont="1" applyBorder="1" applyProtection="1">
      <protection locked="0"/>
    </xf>
    <xf numFmtId="37" fontId="14" fillId="0" borderId="0" xfId="8" applyFont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4" fillId="2" borderId="6" xfId="0" applyFont="1" applyFill="1" applyBorder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168" fontId="10" fillId="0" borderId="0" xfId="8" applyNumberFormat="1" applyFont="1" applyProtection="1">
      <protection locked="0"/>
    </xf>
    <xf numFmtId="9" fontId="3" fillId="0" borderId="0" xfId="0" applyNumberFormat="1" applyFont="1" applyProtection="1">
      <protection locked="0"/>
    </xf>
    <xf numFmtId="37" fontId="10" fillId="0" borderId="0" xfId="8" applyFont="1" applyProtection="1">
      <protection locked="0"/>
    </xf>
    <xf numFmtId="167" fontId="3" fillId="0" borderId="0" xfId="0" applyNumberFormat="1" applyFont="1" applyProtection="1">
      <protection locked="0"/>
    </xf>
    <xf numFmtId="37" fontId="3" fillId="0" borderId="0" xfId="8" applyFont="1" applyAlignment="1" applyProtection="1">
      <alignment horizontal="center"/>
    </xf>
    <xf numFmtId="37" fontId="3" fillId="0" borderId="0" xfId="0" applyNumberFormat="1" applyFont="1" applyAlignment="1" applyProtection="1">
      <alignment horizontal="center"/>
    </xf>
    <xf numFmtId="37" fontId="4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37" fontId="15" fillId="0" borderId="0" xfId="8" applyFont="1" applyAlignment="1" applyProtection="1">
      <alignment horizontal="center"/>
    </xf>
    <xf numFmtId="3" fontId="3" fillId="0" borderId="0" xfId="0" applyNumberFormat="1" applyFont="1" applyAlignment="1" applyProtection="1">
      <alignment horizontal="center"/>
    </xf>
    <xf numFmtId="169" fontId="3" fillId="0" borderId="0" xfId="0" applyNumberFormat="1" applyFont="1" applyAlignment="1" applyProtection="1">
      <alignment horizontal="center"/>
    </xf>
    <xf numFmtId="0" fontId="3" fillId="0" borderId="0" xfId="0" applyFont="1" applyProtection="1"/>
    <xf numFmtId="169" fontId="3" fillId="2" borderId="0" xfId="0" applyNumberFormat="1" applyFont="1" applyFill="1" applyAlignment="1" applyProtection="1">
      <alignment horizontal="center"/>
    </xf>
    <xf numFmtId="0" fontId="2" fillId="3" borderId="0" xfId="0" applyFont="1" applyFill="1" applyProtection="1"/>
    <xf numFmtId="2" fontId="3" fillId="0" borderId="0" xfId="0" applyNumberFormat="1" applyFont="1" applyAlignment="1" applyProtection="1">
      <alignment horizontal="center"/>
    </xf>
    <xf numFmtId="2" fontId="3" fillId="2" borderId="0" xfId="0" applyNumberFormat="1" applyFont="1" applyFill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4" fontId="3" fillId="0" borderId="0" xfId="0" applyNumberFormat="1" applyFont="1" applyAlignment="1" applyProtection="1">
      <alignment horizontal="center"/>
    </xf>
    <xf numFmtId="3" fontId="3" fillId="4" borderId="0" xfId="0" applyNumberFormat="1" applyFont="1" applyFill="1" applyAlignment="1" applyProtection="1">
      <alignment horizontal="center"/>
    </xf>
    <xf numFmtId="37" fontId="3" fillId="0" borderId="0" xfId="8" applyNumberFormat="1" applyFont="1" applyAlignment="1" applyProtection="1">
      <alignment horizontal="center"/>
    </xf>
    <xf numFmtId="3" fontId="4" fillId="2" borderId="0" xfId="0" applyNumberFormat="1" applyFont="1" applyFill="1" applyAlignment="1" applyProtection="1">
      <alignment horizontal="center"/>
    </xf>
    <xf numFmtId="3" fontId="6" fillId="2" borderId="2" xfId="0" applyNumberFormat="1" applyFont="1" applyFill="1" applyBorder="1" applyAlignment="1" applyProtection="1">
      <alignment horizontal="center"/>
    </xf>
    <xf numFmtId="39" fontId="0" fillId="0" borderId="0" xfId="8" applyNumberFormat="1" applyFont="1" applyAlignment="1" applyProtection="1"/>
    <xf numFmtId="37" fontId="0" fillId="0" borderId="0" xfId="8" applyFont="1" applyProtection="1"/>
    <xf numFmtId="39" fontId="13" fillId="4" borderId="4" xfId="8" applyNumberFormat="1" applyFont="1" applyFill="1" applyBorder="1" applyAlignment="1" applyProtection="1"/>
    <xf numFmtId="37" fontId="13" fillId="4" borderId="5" xfId="8" applyFont="1" applyFill="1" applyBorder="1" applyProtection="1"/>
    <xf numFmtId="37" fontId="13" fillId="4" borderId="4" xfId="8" applyFont="1" applyFill="1" applyBorder="1" applyProtection="1"/>
    <xf numFmtId="37" fontId="3" fillId="0" borderId="0" xfId="8" applyFont="1" applyProtection="1"/>
    <xf numFmtId="37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167" fontId="3" fillId="0" borderId="0" xfId="9" applyNumberFormat="1" applyFont="1" applyAlignment="1" applyProtection="1"/>
    <xf numFmtId="167" fontId="3" fillId="0" borderId="0" xfId="0" applyNumberFormat="1" applyFont="1" applyAlignment="1" applyProtection="1"/>
    <xf numFmtId="0" fontId="3" fillId="0" borderId="0" xfId="0" applyFont="1" applyFill="1" applyAlignment="1" applyProtection="1"/>
    <xf numFmtId="0" fontId="3" fillId="0" borderId="0" xfId="0" applyFont="1" applyFill="1" applyProtection="1"/>
    <xf numFmtId="0" fontId="4" fillId="4" borderId="0" xfId="0" applyFont="1" applyFill="1" applyProtection="1"/>
    <xf numFmtId="0" fontId="3" fillId="0" borderId="0" xfId="0" applyFont="1" applyAlignment="1" applyProtection="1"/>
    <xf numFmtId="0" fontId="3" fillId="0" borderId="0" xfId="0" applyFont="1" applyAlignment="1" applyProtection="1">
      <alignment horizontal="left" indent="1"/>
    </xf>
    <xf numFmtId="37" fontId="3" fillId="0" borderId="0" xfId="8" applyFont="1" applyAlignment="1" applyProtection="1"/>
    <xf numFmtId="0" fontId="3" fillId="8" borderId="0" xfId="0" applyFont="1" applyFill="1" applyAlignment="1" applyProtection="1"/>
    <xf numFmtId="0" fontId="3" fillId="8" borderId="0" xfId="0" applyFont="1" applyFill="1" applyProtection="1"/>
    <xf numFmtId="0" fontId="4" fillId="4" borderId="0" xfId="0" applyFont="1" applyFill="1" applyAlignment="1" applyProtection="1"/>
    <xf numFmtId="0" fontId="4" fillId="4" borderId="0" xfId="0" applyFont="1" applyFill="1" applyAlignment="1" applyProtection="1">
      <alignment horizontal="center"/>
    </xf>
    <xf numFmtId="37" fontId="3" fillId="0" borderId="0" xfId="8" applyFont="1" applyFill="1" applyProtection="1"/>
    <xf numFmtId="37" fontId="4" fillId="4" borderId="0" xfId="8" applyFont="1" applyFill="1" applyProtection="1"/>
    <xf numFmtId="37" fontId="7" fillId="0" borderId="0" xfId="8" applyFont="1" applyProtection="1"/>
    <xf numFmtId="37" fontId="3" fillId="8" borderId="0" xfId="8" applyFont="1" applyFill="1" applyProtection="1"/>
    <xf numFmtId="37" fontId="4" fillId="0" borderId="0" xfId="0" applyNumberFormat="1" applyFont="1" applyBorder="1" applyProtection="1"/>
    <xf numFmtId="37" fontId="4" fillId="2" borderId="2" xfId="0" applyNumberFormat="1" applyFont="1" applyFill="1" applyBorder="1" applyProtection="1"/>
    <xf numFmtId="0" fontId="4" fillId="0" borderId="0" xfId="0" applyFont="1" applyAlignment="1">
      <alignment horizontal="center"/>
    </xf>
    <xf numFmtId="37" fontId="29" fillId="0" borderId="0" xfId="8" applyFont="1" applyAlignment="1" applyProtection="1">
      <alignment horizontal="center"/>
      <protection locked="0"/>
    </xf>
    <xf numFmtId="167" fontId="29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30" fillId="0" borderId="0" xfId="13" applyFont="1"/>
    <xf numFmtId="0" fontId="1" fillId="0" borderId="0" xfId="13"/>
    <xf numFmtId="11" fontId="1" fillId="0" borderId="0" xfId="13" applyNumberFormat="1"/>
    <xf numFmtId="0" fontId="31" fillId="7" borderId="0" xfId="13" applyFont="1" applyFill="1" applyBorder="1" applyAlignment="1">
      <alignment horizontal="center" wrapText="1"/>
    </xf>
    <xf numFmtId="168" fontId="31" fillId="7" borderId="0" xfId="14" applyNumberFormat="1" applyFont="1" applyFill="1" applyBorder="1" applyAlignment="1">
      <alignment horizontal="center" wrapText="1"/>
    </xf>
    <xf numFmtId="167" fontId="0" fillId="0" borderId="18" xfId="15" applyNumberFormat="1" applyFont="1" applyFill="1" applyBorder="1" applyAlignment="1">
      <alignment horizontal="center"/>
    </xf>
    <xf numFmtId="173" fontId="1" fillId="0" borderId="18" xfId="13" applyNumberFormat="1" applyFont="1" applyFill="1" applyBorder="1"/>
    <xf numFmtId="0" fontId="2" fillId="3" borderId="0" xfId="0" applyFont="1" applyFill="1"/>
    <xf numFmtId="169" fontId="3" fillId="0" borderId="0" xfId="8" applyNumberFormat="1" applyFont="1" applyAlignment="1" applyProtection="1">
      <alignment horizontal="center"/>
    </xf>
    <xf numFmtId="0" fontId="32" fillId="0" borderId="0" xfId="0" applyFont="1" applyFill="1"/>
    <xf numFmtId="174" fontId="3" fillId="0" borderId="0" xfId="8" applyNumberFormat="1" applyFont="1" applyFill="1" applyProtection="1"/>
    <xf numFmtId="3" fontId="29" fillId="0" borderId="0" xfId="0" applyNumberFormat="1" applyFont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39" fontId="3" fillId="0" borderId="0" xfId="8" applyNumberFormat="1" applyFont="1" applyProtection="1">
      <protection locked="0"/>
    </xf>
    <xf numFmtId="37" fontId="3" fillId="4" borderId="0" xfId="8" applyFont="1" applyFill="1" applyProtection="1">
      <protection locked="0"/>
    </xf>
    <xf numFmtId="37" fontId="7" fillId="0" borderId="0" xfId="8" applyFont="1" applyProtection="1">
      <protection locked="0"/>
    </xf>
    <xf numFmtId="37" fontId="29" fillId="0" borderId="0" xfId="8" applyFont="1" applyProtection="1"/>
    <xf numFmtId="0" fontId="7" fillId="0" borderId="0" xfId="0" applyFont="1" applyAlignment="1" applyProtection="1">
      <alignment horizontal="right"/>
      <protection locked="0"/>
    </xf>
    <xf numFmtId="175" fontId="3" fillId="0" borderId="0" xfId="0" applyNumberFormat="1" applyFont="1"/>
    <xf numFmtId="0" fontId="3" fillId="0" borderId="0" xfId="0" applyFont="1" applyAlignment="1">
      <alignment horizontal="center"/>
    </xf>
    <xf numFmtId="0" fontId="0" fillId="2" borderId="0" xfId="0" applyFill="1"/>
    <xf numFmtId="0" fontId="0" fillId="10" borderId="0" xfId="0" applyFill="1"/>
    <xf numFmtId="0" fontId="0" fillId="0" borderId="9" xfId="0" applyBorder="1"/>
    <xf numFmtId="0" fontId="3" fillId="0" borderId="10" xfId="0" applyFont="1" applyBorder="1"/>
    <xf numFmtId="0" fontId="0" fillId="0" borderId="10" xfId="0" applyBorder="1"/>
    <xf numFmtId="0" fontId="0" fillId="0" borderId="11" xfId="0" applyBorder="1"/>
    <xf numFmtId="0" fontId="3" fillId="0" borderId="12" xfId="0" applyFont="1" applyBorder="1"/>
    <xf numFmtId="0" fontId="13" fillId="2" borderId="3" xfId="0" applyFont="1" applyFill="1" applyBorder="1"/>
    <xf numFmtId="0" fontId="13" fillId="2" borderId="5" xfId="0" applyFont="1" applyFill="1" applyBorder="1"/>
    <xf numFmtId="0" fontId="0" fillId="0" borderId="12" xfId="0" applyBorder="1"/>
    <xf numFmtId="14" fontId="0" fillId="0" borderId="0" xfId="0" applyNumberFormat="1"/>
    <xf numFmtId="0" fontId="0" fillId="0" borderId="19" xfId="0" applyBorder="1"/>
    <xf numFmtId="37" fontId="0" fillId="0" borderId="0" xfId="8" applyFont="1"/>
    <xf numFmtId="176" fontId="0" fillId="0" borderId="0" xfId="8" applyNumberFormat="1" applyFont="1"/>
    <xf numFmtId="39" fontId="0" fillId="0" borderId="0" xfId="8" applyNumberFormat="1" applyFont="1"/>
    <xf numFmtId="174" fontId="0" fillId="0" borderId="0" xfId="8" applyNumberFormat="1" applyFont="1"/>
    <xf numFmtId="0" fontId="0" fillId="0" borderId="0" xfId="0" applyAlignment="1">
      <alignment wrapText="1"/>
    </xf>
    <xf numFmtId="37" fontId="0" fillId="0" borderId="0" xfId="8" applyNumberFormat="1" applyFont="1"/>
    <xf numFmtId="0" fontId="13" fillId="0" borderId="0" xfId="0" applyFont="1" applyFill="1" applyBorder="1" applyAlignment="1">
      <alignment wrapText="1"/>
    </xf>
    <xf numFmtId="37" fontId="0" fillId="0" borderId="0" xfId="0" applyNumberFormat="1"/>
    <xf numFmtId="37" fontId="13" fillId="0" borderId="0" xfId="8" applyFont="1" applyFill="1" applyBorder="1" applyAlignment="1">
      <alignment wrapText="1"/>
    </xf>
    <xf numFmtId="177" fontId="0" fillId="0" borderId="0" xfId="8" applyNumberFormat="1" applyFont="1"/>
    <xf numFmtId="178" fontId="0" fillId="0" borderId="0" xfId="0" applyNumberFormat="1"/>
    <xf numFmtId="179" fontId="0" fillId="0" borderId="0" xfId="0" applyNumberFormat="1"/>
    <xf numFmtId="179" fontId="0" fillId="2" borderId="0" xfId="0" applyNumberFormat="1" applyFill="1"/>
    <xf numFmtId="0" fontId="0" fillId="0" borderId="7" xfId="0" applyBorder="1"/>
    <xf numFmtId="0" fontId="3" fillId="0" borderId="8" xfId="0" applyFont="1" applyBorder="1"/>
    <xf numFmtId="167" fontId="0" fillId="0" borderId="0" xfId="9" applyNumberFormat="1" applyFont="1"/>
    <xf numFmtId="2" fontId="0" fillId="0" borderId="0" xfId="0" applyNumberFormat="1"/>
    <xf numFmtId="0" fontId="3" fillId="0" borderId="0" xfId="0" applyFont="1" applyAlignment="1" applyProtection="1">
      <alignment wrapText="1"/>
      <protection locked="0"/>
    </xf>
    <xf numFmtId="39" fontId="3" fillId="0" borderId="0" xfId="8" applyNumberFormat="1" applyFont="1" applyProtection="1"/>
    <xf numFmtId="0" fontId="0" fillId="0" borderId="0" xfId="0" pivotButton="1"/>
    <xf numFmtId="0" fontId="0" fillId="0" borderId="0" xfId="0" applyAlignment="1">
      <alignment horizontal="left"/>
    </xf>
    <xf numFmtId="0" fontId="13" fillId="11" borderId="3" xfId="0" applyFont="1" applyFill="1" applyBorder="1" applyAlignment="1">
      <alignment horizontal="center" vertical="top" wrapText="1"/>
    </xf>
    <xf numFmtId="0" fontId="13" fillId="11" borderId="4" xfId="0" applyFont="1" applyFill="1" applyBorder="1" applyAlignment="1">
      <alignment horizontal="center" vertical="top" wrapText="1"/>
    </xf>
    <xf numFmtId="37" fontId="13" fillId="11" borderId="4" xfId="8" applyFont="1" applyFill="1" applyBorder="1" applyAlignment="1">
      <alignment horizontal="center" vertical="top" wrapText="1"/>
    </xf>
    <xf numFmtId="0" fontId="13" fillId="11" borderId="5" xfId="0" applyFont="1" applyFill="1" applyBorder="1" applyAlignment="1">
      <alignment horizontal="center" vertical="top" wrapText="1"/>
    </xf>
    <xf numFmtId="0" fontId="13" fillId="9" borderId="3" xfId="0" applyFont="1" applyFill="1" applyBorder="1" applyAlignment="1">
      <alignment horizontal="center" vertical="top" wrapText="1"/>
    </xf>
    <xf numFmtId="0" fontId="13" fillId="9" borderId="5" xfId="0" applyFont="1" applyFill="1" applyBorder="1" applyAlignment="1">
      <alignment horizontal="center" vertical="top" wrapText="1"/>
    </xf>
    <xf numFmtId="37" fontId="0" fillId="2" borderId="0" xfId="8" applyFont="1" applyFill="1"/>
    <xf numFmtId="0" fontId="3" fillId="0" borderId="19" xfId="0" applyFont="1" applyBorder="1" applyProtection="1">
      <protection locked="0"/>
    </xf>
    <xf numFmtId="0" fontId="13" fillId="0" borderId="0" xfId="0" applyFont="1"/>
    <xf numFmtId="0" fontId="13" fillId="0" borderId="20" xfId="0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13" fillId="0" borderId="23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0" xfId="0" applyBorder="1"/>
    <xf numFmtId="174" fontId="0" fillId="0" borderId="0" xfId="0" applyNumberFormat="1"/>
    <xf numFmtId="9" fontId="0" fillId="0" borderId="0" xfId="9" applyNumberFormat="1" applyFont="1" applyBorder="1"/>
    <xf numFmtId="37" fontId="13" fillId="0" borderId="0" xfId="0" applyNumberFormat="1" applyFont="1" applyBorder="1"/>
    <xf numFmtId="9" fontId="13" fillId="0" borderId="0" xfId="0" applyNumberFormat="1" applyFont="1" applyBorder="1"/>
    <xf numFmtId="2" fontId="0" fillId="0" borderId="0" xfId="0" applyNumberFormat="1" applyBorder="1"/>
    <xf numFmtId="37" fontId="13" fillId="0" borderId="0" xfId="8" applyFont="1" applyBorder="1"/>
    <xf numFmtId="0" fontId="13" fillId="0" borderId="0" xfId="0" applyFont="1" applyBorder="1"/>
    <xf numFmtId="180" fontId="0" fillId="0" borderId="0" xfId="8" applyNumberFormat="1" applyFont="1"/>
    <xf numFmtId="37" fontId="0" fillId="0" borderId="0" xfId="8" applyFont="1" applyAlignment="1">
      <alignment wrapText="1"/>
    </xf>
    <xf numFmtId="37" fontId="0" fillId="0" borderId="0" xfId="8" applyNumberFormat="1" applyFont="1" applyAlignment="1">
      <alignment wrapText="1"/>
    </xf>
    <xf numFmtId="180" fontId="0" fillId="0" borderId="0" xfId="8" applyNumberFormat="1" applyFont="1" applyAlignment="1">
      <alignment wrapText="1"/>
    </xf>
    <xf numFmtId="3" fontId="0" fillId="0" borderId="0" xfId="0" applyNumberFormat="1"/>
    <xf numFmtId="0" fontId="2" fillId="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9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13" fillId="0" borderId="23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37" fontId="0" fillId="0" borderId="10" xfId="8" applyFont="1" applyBorder="1"/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3" xfId="0" applyFont="1" applyBorder="1"/>
    <xf numFmtId="37" fontId="13" fillId="0" borderId="5" xfId="8" applyFont="1" applyBorder="1"/>
    <xf numFmtId="0" fontId="13" fillId="0" borderId="24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176" fontId="3" fillId="0" borderId="0" xfId="8" applyNumberFormat="1" applyFont="1" applyProtection="1">
      <protection locked="0"/>
    </xf>
  </cellXfs>
  <cellStyles count="16">
    <cellStyle name="Comma" xfId="8" builtinId="3" customBuiltin="1"/>
    <cellStyle name="Comma 2" xfId="14"/>
    <cellStyle name="CommaM" xfId="10"/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Normal 2" xfId="1"/>
    <cellStyle name="Normal 3" xfId="12"/>
    <cellStyle name="Normal 4" xfId="13"/>
    <cellStyle name="Normal_fit" xfId="11"/>
    <cellStyle name="Percent" xfId="9" builtinId="5" customBuiltin="1"/>
    <cellStyle name="Percent 2" xfId="15"/>
  </cellStyles>
  <dxfs count="5">
    <dxf>
      <numFmt numFmtId="5" formatCode="#,##0;\-#,##0"/>
    </dxf>
    <dxf>
      <numFmt numFmtId="5" formatCode="#,##0;\-#,##0"/>
    </dxf>
    <dxf>
      <numFmt numFmtId="5" formatCode="#,##0;\-#,##0"/>
    </dxf>
    <dxf>
      <numFmt numFmtId="5" formatCode="#,##0;\-#,##0"/>
    </dxf>
    <dxf>
      <numFmt numFmtId="5" formatCode="#,##0;\-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[Revised Pricing Model (March 22) (with import macro) v3 (Stonewood).xlsm]Exhibits!PivotTable1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Exhibits!$C$36</c:f>
              <c:strCache>
                <c:ptCount val="1"/>
                <c:pt idx="0">
                  <c:v>Sum of Total Limit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Exhibits!$B$37:$B$41</c:f>
              <c:strCache>
                <c:ptCount val="4"/>
                <c:pt idx="1">
                  <c:v>ISO 1 – Frame</c:v>
                </c:pt>
                <c:pt idx="2">
                  <c:v>ISO 3 – Non-Combustible</c:v>
                </c:pt>
                <c:pt idx="3">
                  <c:v>ISO 3 – Metal</c:v>
                </c:pt>
              </c:strCache>
            </c:strRef>
          </c:cat>
          <c:val>
            <c:numRef>
              <c:f>Exhibits!$C$37:$C$41</c:f>
              <c:numCache>
                <c:formatCode>#,##0;\-#,##0</c:formatCode>
                <c:ptCount val="4"/>
                <c:pt idx="0">
                  <c:v>0</c:v>
                </c:pt>
                <c:pt idx="1">
                  <c:v>793000</c:v>
                </c:pt>
                <c:pt idx="2">
                  <c:v>712500</c:v>
                </c:pt>
                <c:pt idx="3">
                  <c:v>6928963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021880"/>
        <c:axId val="287963520"/>
      </c:barChart>
      <c:barChart>
        <c:barDir val="col"/>
        <c:grouping val="clustered"/>
        <c:varyColors val="0"/>
        <c:ser>
          <c:idx val="1"/>
          <c:order val="1"/>
          <c:tx>
            <c:strRef>
              <c:f>Exhibits!$D$36</c:f>
              <c:strCache>
                <c:ptCount val="1"/>
                <c:pt idx="0">
                  <c:v>Sum of Gross AOP Premium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Exhibits!$B$37:$B$41</c:f>
              <c:strCache>
                <c:ptCount val="4"/>
                <c:pt idx="1">
                  <c:v>ISO 1 – Frame</c:v>
                </c:pt>
                <c:pt idx="2">
                  <c:v>ISO 3 – Non-Combustible</c:v>
                </c:pt>
                <c:pt idx="3">
                  <c:v>ISO 3 – Metal</c:v>
                </c:pt>
              </c:strCache>
            </c:strRef>
          </c:cat>
          <c:val>
            <c:numRef>
              <c:f>Exhibits!$D$37:$D$41</c:f>
              <c:numCache>
                <c:formatCode>#,##0;\-#,##0</c:formatCode>
                <c:ptCount val="4"/>
                <c:pt idx="0">
                  <c:v>0</c:v>
                </c:pt>
                <c:pt idx="1">
                  <c:v>2530.2491077090349</c:v>
                </c:pt>
                <c:pt idx="2">
                  <c:v>1345.6163899038261</c:v>
                </c:pt>
                <c:pt idx="3">
                  <c:v>19503.060164169288</c:v>
                </c:pt>
              </c:numCache>
            </c:numRef>
          </c:val>
        </c:ser>
        <c:ser>
          <c:idx val="2"/>
          <c:order val="2"/>
          <c:tx>
            <c:strRef>
              <c:f>Exhibits!$E$36</c:f>
              <c:strCache>
                <c:ptCount val="1"/>
                <c:pt idx="0">
                  <c:v>Sum of Gross Cat Premiums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Exhibits!$B$37:$B$41</c:f>
              <c:strCache>
                <c:ptCount val="4"/>
                <c:pt idx="1">
                  <c:v>ISO 1 – Frame</c:v>
                </c:pt>
                <c:pt idx="2">
                  <c:v>ISO 3 – Non-Combustible</c:v>
                </c:pt>
                <c:pt idx="3">
                  <c:v>ISO 3 – Metal</c:v>
                </c:pt>
              </c:strCache>
            </c:strRef>
          </c:cat>
          <c:val>
            <c:numRef>
              <c:f>Exhibits!$E$37:$E$41</c:f>
              <c:numCache>
                <c:formatCode>#,##0;\-#,##0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43240"/>
        <c:axId val="288895584"/>
      </c:barChart>
      <c:catAx>
        <c:axId val="28702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63520"/>
        <c:crosses val="autoZero"/>
        <c:auto val="1"/>
        <c:lblAlgn val="ctr"/>
        <c:lblOffset val="100"/>
        <c:noMultiLvlLbl val="0"/>
      </c:catAx>
      <c:valAx>
        <c:axId val="2879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021880"/>
        <c:crosses val="autoZero"/>
        <c:crossBetween val="between"/>
      </c:valAx>
      <c:valAx>
        <c:axId val="288895584"/>
        <c:scaling>
          <c:orientation val="minMax"/>
        </c:scaling>
        <c:delete val="0"/>
        <c:axPos val="r"/>
        <c:numFmt formatCode="#,##0;\-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3240"/>
        <c:crosses val="max"/>
        <c:crossBetween val="between"/>
      </c:valAx>
      <c:catAx>
        <c:axId val="86843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8895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[Revised Pricing Model (March 22) (with import macro) v3 (Stonewood).xlsm]Exhibits!PivotTable2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Exhibits!$H$36</c:f>
              <c:strCache>
                <c:ptCount val="1"/>
                <c:pt idx="0">
                  <c:v>Sum of Total Limit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Exhibits!$G$37:$G$45</c:f>
              <c:strCache>
                <c:ptCount val="8"/>
                <c:pt idx="0">
                  <c:v>1920</c:v>
                </c:pt>
                <c:pt idx="1">
                  <c:v>1987</c:v>
                </c:pt>
                <c:pt idx="2">
                  <c:v>1990</c:v>
                </c:pt>
                <c:pt idx="3">
                  <c:v>1994</c:v>
                </c:pt>
                <c:pt idx="4">
                  <c:v>1996</c:v>
                </c:pt>
                <c:pt idx="5">
                  <c:v>2000</c:v>
                </c:pt>
                <c:pt idx="6">
                  <c:v>2005</c:v>
                </c:pt>
              </c:strCache>
            </c:strRef>
          </c:cat>
          <c:val>
            <c:numRef>
              <c:f>Exhibits!$H$37:$H$45</c:f>
              <c:numCache>
                <c:formatCode>#,##0;\-#,##0</c:formatCode>
                <c:ptCount val="8"/>
                <c:pt idx="0">
                  <c:v>723000</c:v>
                </c:pt>
                <c:pt idx="1">
                  <c:v>1510923</c:v>
                </c:pt>
                <c:pt idx="2">
                  <c:v>68040</c:v>
                </c:pt>
                <c:pt idx="3">
                  <c:v>900000</c:v>
                </c:pt>
                <c:pt idx="4">
                  <c:v>4700000</c:v>
                </c:pt>
                <c:pt idx="5">
                  <c:v>465000</c:v>
                </c:pt>
                <c:pt idx="6">
                  <c:v>67500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102536"/>
        <c:axId val="288099400"/>
      </c:barChart>
      <c:barChart>
        <c:barDir val="col"/>
        <c:grouping val="clustered"/>
        <c:varyColors val="0"/>
        <c:ser>
          <c:idx val="1"/>
          <c:order val="1"/>
          <c:tx>
            <c:strRef>
              <c:f>Exhibits!$I$36</c:f>
              <c:strCache>
                <c:ptCount val="1"/>
                <c:pt idx="0">
                  <c:v>Sum of Gross AOP Premium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Exhibits!$G$37:$G$45</c:f>
              <c:strCache>
                <c:ptCount val="8"/>
                <c:pt idx="0">
                  <c:v>1920</c:v>
                </c:pt>
                <c:pt idx="1">
                  <c:v>1987</c:v>
                </c:pt>
                <c:pt idx="2">
                  <c:v>1990</c:v>
                </c:pt>
                <c:pt idx="3">
                  <c:v>1994</c:v>
                </c:pt>
                <c:pt idx="4">
                  <c:v>1996</c:v>
                </c:pt>
                <c:pt idx="5">
                  <c:v>2000</c:v>
                </c:pt>
                <c:pt idx="6">
                  <c:v>2005</c:v>
                </c:pt>
              </c:strCache>
            </c:strRef>
          </c:cat>
          <c:val>
            <c:numRef>
              <c:f>Exhibits!$I$37:$I$45</c:f>
              <c:numCache>
                <c:formatCode>#,##0;\-#,##0</c:formatCode>
                <c:ptCount val="8"/>
                <c:pt idx="0">
                  <c:v>2403.4799749775489</c:v>
                </c:pt>
                <c:pt idx="1">
                  <c:v>4189.941088882756</c:v>
                </c:pt>
                <c:pt idx="2">
                  <c:v>177.63190639609658</c:v>
                </c:pt>
                <c:pt idx="3">
                  <c:v>2332.5845384762069</c:v>
                </c:pt>
                <c:pt idx="4">
                  <c:v>13294.179921698276</c:v>
                </c:pt>
                <c:pt idx="5">
                  <c:v>866.50824202644844</c:v>
                </c:pt>
                <c:pt idx="6">
                  <c:v>114.59998932481554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strRef>
              <c:f>Exhibits!$J$36</c:f>
              <c:strCache>
                <c:ptCount val="1"/>
                <c:pt idx="0">
                  <c:v>Sum of Gross Cat Premiums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Exhibits!$G$37:$G$45</c:f>
              <c:strCache>
                <c:ptCount val="8"/>
                <c:pt idx="0">
                  <c:v>1920</c:v>
                </c:pt>
                <c:pt idx="1">
                  <c:v>1987</c:v>
                </c:pt>
                <c:pt idx="2">
                  <c:v>1990</c:v>
                </c:pt>
                <c:pt idx="3">
                  <c:v>1994</c:v>
                </c:pt>
                <c:pt idx="4">
                  <c:v>1996</c:v>
                </c:pt>
                <c:pt idx="5">
                  <c:v>2000</c:v>
                </c:pt>
                <c:pt idx="6">
                  <c:v>2005</c:v>
                </c:pt>
              </c:strCache>
            </c:strRef>
          </c:cat>
          <c:val>
            <c:numRef>
              <c:f>Exhibits!$J$37:$J$45</c:f>
              <c:numCache>
                <c:formatCode>#,##0;\-#,##0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095872"/>
        <c:axId val="288095480"/>
      </c:barChart>
      <c:catAx>
        <c:axId val="28810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99400"/>
        <c:crosses val="autoZero"/>
        <c:auto val="1"/>
        <c:lblAlgn val="ctr"/>
        <c:lblOffset val="100"/>
        <c:noMultiLvlLbl val="0"/>
      </c:catAx>
      <c:valAx>
        <c:axId val="28809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102536"/>
        <c:crosses val="autoZero"/>
        <c:crossBetween val="between"/>
      </c:valAx>
      <c:valAx>
        <c:axId val="288095480"/>
        <c:scaling>
          <c:orientation val="minMax"/>
        </c:scaling>
        <c:delete val="0"/>
        <c:axPos val="r"/>
        <c:numFmt formatCode="#,##0;\-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95872"/>
        <c:crosses val="max"/>
        <c:crossBetween val="between"/>
      </c:valAx>
      <c:catAx>
        <c:axId val="288095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8095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[Revised Pricing Model (March 22) (with import macro) v3 (Stonewood).xlsm]Exhibits!PivotTable3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Exhibits!$P$36</c:f>
              <c:strCache>
                <c:ptCount val="1"/>
                <c:pt idx="0">
                  <c:v>Sum of Total Limit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Exhibits!$O$37:$O$41</c:f>
              <c:strCache>
                <c:ptCount val="4"/>
                <c:pt idx="1">
                  <c:v>Office</c:v>
                </c:pt>
                <c:pt idx="2">
                  <c:v>Machine Shops</c:v>
                </c:pt>
                <c:pt idx="3">
                  <c:v>General Service</c:v>
                </c:pt>
              </c:strCache>
            </c:strRef>
          </c:cat>
          <c:val>
            <c:numRef>
              <c:f>Exhibits!$P$37:$P$41</c:f>
              <c:numCache>
                <c:formatCode>#,##0;\-#,##0</c:formatCode>
                <c:ptCount val="4"/>
                <c:pt idx="0">
                  <c:v>0</c:v>
                </c:pt>
                <c:pt idx="1">
                  <c:v>1377500</c:v>
                </c:pt>
                <c:pt idx="2">
                  <c:v>6513963</c:v>
                </c:pt>
                <c:pt idx="3">
                  <c:v>543000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096264"/>
        <c:axId val="288096656"/>
      </c:barChart>
      <c:barChart>
        <c:barDir val="col"/>
        <c:grouping val="clustered"/>
        <c:varyColors val="0"/>
        <c:ser>
          <c:idx val="1"/>
          <c:order val="1"/>
          <c:tx>
            <c:strRef>
              <c:f>Exhibits!$Q$36</c:f>
              <c:strCache>
                <c:ptCount val="1"/>
                <c:pt idx="0">
                  <c:v>Sum of Gross AOP Premium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Exhibits!$O$37:$O$41</c:f>
              <c:strCache>
                <c:ptCount val="4"/>
                <c:pt idx="1">
                  <c:v>Office</c:v>
                </c:pt>
                <c:pt idx="2">
                  <c:v>Machine Shops</c:v>
                </c:pt>
                <c:pt idx="3">
                  <c:v>General Service</c:v>
                </c:pt>
              </c:strCache>
            </c:strRef>
          </c:cat>
          <c:val>
            <c:numRef>
              <c:f>Exhibits!$Q$37:$Q$41</c:f>
              <c:numCache>
                <c:formatCode>#,##0;\-#,##0</c:formatCode>
                <c:ptCount val="4"/>
                <c:pt idx="0">
                  <c:v>0</c:v>
                </c:pt>
                <c:pt idx="1">
                  <c:v>3339.0385116597577</c:v>
                </c:pt>
                <c:pt idx="2">
                  <c:v>18000.915333697405</c:v>
                </c:pt>
                <c:pt idx="3">
                  <c:v>2038.9718164249866</c:v>
                </c:pt>
              </c:numCache>
            </c:numRef>
          </c:val>
        </c:ser>
        <c:ser>
          <c:idx val="2"/>
          <c:order val="2"/>
          <c:tx>
            <c:strRef>
              <c:f>Exhibits!$R$36</c:f>
              <c:strCache>
                <c:ptCount val="1"/>
                <c:pt idx="0">
                  <c:v>Sum of Gross Cat Premiums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Exhibits!$O$37:$O$41</c:f>
              <c:strCache>
                <c:ptCount val="4"/>
                <c:pt idx="1">
                  <c:v>Office</c:v>
                </c:pt>
                <c:pt idx="2">
                  <c:v>Machine Shops</c:v>
                </c:pt>
                <c:pt idx="3">
                  <c:v>General Service</c:v>
                </c:pt>
              </c:strCache>
            </c:strRef>
          </c:cat>
          <c:val>
            <c:numRef>
              <c:f>Exhibits!$R$37:$R$41</c:f>
              <c:numCache>
                <c:formatCode>#,##0;\-#,##0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097048"/>
        <c:axId val="288099008"/>
      </c:barChart>
      <c:catAx>
        <c:axId val="288096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96656"/>
        <c:crosses val="autoZero"/>
        <c:auto val="1"/>
        <c:lblAlgn val="ctr"/>
        <c:lblOffset val="100"/>
        <c:noMultiLvlLbl val="0"/>
      </c:catAx>
      <c:valAx>
        <c:axId val="28809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96264"/>
        <c:crosses val="autoZero"/>
        <c:crossBetween val="between"/>
      </c:valAx>
      <c:valAx>
        <c:axId val="288099008"/>
        <c:scaling>
          <c:orientation val="minMax"/>
        </c:scaling>
        <c:delete val="0"/>
        <c:axPos val="r"/>
        <c:numFmt formatCode="#,##0;\-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97048"/>
        <c:crosses val="max"/>
        <c:crossBetween val="between"/>
      </c:valAx>
      <c:catAx>
        <c:axId val="288097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8099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[Revised Pricing Model (March 22) (with import macro) v3 (Stonewood).xlsm]Exhibits!PivotTable5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"/>
      </c:pivotFmt>
      <c:pivotFmt>
        <c:idx val="2"/>
      </c:pivotFmt>
      <c:pivotFmt>
        <c:idx val="3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0895205688388206"/>
          <c:y val="0.24034010042001078"/>
          <c:w val="0.80032054385103435"/>
          <c:h val="0.6583094170204760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Exhibits!$C$59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Exhibits!$B$60:$B$71</c:f>
              <c:strCache>
                <c:ptCount val="11"/>
                <c:pt idx="0">
                  <c:v>6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9</c:v>
                </c:pt>
                <c:pt idx="5">
                  <c:v>10</c:v>
                </c:pt>
                <c:pt idx="6">
                  <c:v>3</c:v>
                </c:pt>
                <c:pt idx="7">
                  <c:v>8</c:v>
                </c:pt>
                <c:pt idx="8">
                  <c:v>11</c:v>
                </c:pt>
                <c:pt idx="9">
                  <c:v>5</c:v>
                </c:pt>
                <c:pt idx="10">
                  <c:v>7</c:v>
                </c:pt>
              </c:strCache>
            </c:strRef>
          </c:cat>
          <c:val>
            <c:numRef>
              <c:f>Exhibits!$C$60:$C$71</c:f>
              <c:numCache>
                <c:formatCode>#,##0;\-#,##0</c:formatCode>
                <c:ptCount val="11"/>
                <c:pt idx="0">
                  <c:v>4700000</c:v>
                </c:pt>
                <c:pt idx="1">
                  <c:v>900000</c:v>
                </c:pt>
                <c:pt idx="2">
                  <c:v>665000</c:v>
                </c:pt>
                <c:pt idx="3">
                  <c:v>643553</c:v>
                </c:pt>
                <c:pt idx="4">
                  <c:v>465000</c:v>
                </c:pt>
                <c:pt idx="5">
                  <c:v>415000</c:v>
                </c:pt>
                <c:pt idx="6">
                  <c:v>202370</c:v>
                </c:pt>
                <c:pt idx="7">
                  <c:v>180000</c:v>
                </c:pt>
                <c:pt idx="8">
                  <c:v>128000</c:v>
                </c:pt>
                <c:pt idx="9">
                  <c:v>68040</c:v>
                </c:pt>
                <c:pt idx="10">
                  <c:v>67500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88097832"/>
        <c:axId val="288098224"/>
      </c:barChart>
      <c:catAx>
        <c:axId val="288097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98224"/>
        <c:crosses val="autoZero"/>
        <c:auto val="1"/>
        <c:lblAlgn val="ctr"/>
        <c:lblOffset val="100"/>
        <c:noMultiLvlLbl val="0"/>
      </c:catAx>
      <c:valAx>
        <c:axId val="2880982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;\-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9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4</xdr:row>
          <xdr:rowOff>19050</xdr:rowOff>
        </xdr:from>
        <xdr:to>
          <xdr:col>1</xdr:col>
          <xdr:colOff>628650</xdr:colOff>
          <xdr:row>7</xdr:row>
          <xdr:rowOff>38100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276226</xdr:colOff>
      <xdr:row>0</xdr:row>
      <xdr:rowOff>100013</xdr:rowOff>
    </xdr:from>
    <xdr:to>
      <xdr:col>35</xdr:col>
      <xdr:colOff>409575</xdr:colOff>
      <xdr:row>14</xdr:row>
      <xdr:rowOff>114301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333375</xdr:colOff>
      <xdr:row>0</xdr:row>
      <xdr:rowOff>80963</xdr:rowOff>
    </xdr:from>
    <xdr:to>
      <xdr:col>46</xdr:col>
      <xdr:colOff>419100</xdr:colOff>
      <xdr:row>14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504825</xdr:colOff>
      <xdr:row>0</xdr:row>
      <xdr:rowOff>109537</xdr:rowOff>
    </xdr:from>
    <xdr:to>
      <xdr:col>58</xdr:col>
      <xdr:colOff>47624</xdr:colOff>
      <xdr:row>14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261936</xdr:colOff>
      <xdr:row>58</xdr:row>
      <xdr:rowOff>14286</xdr:rowOff>
    </xdr:from>
    <xdr:to>
      <xdr:col>20</xdr:col>
      <xdr:colOff>295274</xdr:colOff>
      <xdr:row>105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18</xdr:row>
          <xdr:rowOff>9525</xdr:rowOff>
        </xdr:from>
        <xdr:to>
          <xdr:col>5</xdr:col>
          <xdr:colOff>314325</xdr:colOff>
          <xdr:row>27</xdr:row>
          <xdr:rowOff>114300</xdr:rowOff>
        </xdr:to>
        <xdr:sp macro="" textlink="">
          <xdr:nvSpPr>
            <xdr:cNvPr id="479233" name="ListBox1" hidden="1">
              <a:extLst>
                <a:ext uri="{63B3BB69-23CF-44E3-9099-C40C66FF867C}">
                  <a14:compatExt spid="_x0000_s47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10</xdr:row>
          <xdr:rowOff>85725</xdr:rowOff>
        </xdr:from>
        <xdr:to>
          <xdr:col>3</xdr:col>
          <xdr:colOff>752475</xdr:colOff>
          <xdr:row>12</xdr:row>
          <xdr:rowOff>133350</xdr:rowOff>
        </xdr:to>
        <xdr:sp macro="" textlink="">
          <xdr:nvSpPr>
            <xdr:cNvPr id="479234" name="Button 2" hidden="1">
              <a:extLst>
                <a:ext uri="{63B3BB69-23CF-44E3-9099-C40C66FF867C}">
                  <a14:compatExt spid="_x0000_s47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56</xdr:row>
          <xdr:rowOff>47625</xdr:rowOff>
        </xdr:from>
        <xdr:to>
          <xdr:col>1</xdr:col>
          <xdr:colOff>152400</xdr:colOff>
          <xdr:row>57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to Add 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40</xdr:row>
          <xdr:rowOff>47625</xdr:rowOff>
        </xdr:from>
        <xdr:to>
          <xdr:col>2</xdr:col>
          <xdr:colOff>409575</xdr:colOff>
          <xdr:row>46</xdr:row>
          <xdr:rowOff>95250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Import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69025" name="Button 1" hidden="1">
              <a:extLst>
                <a:ext uri="{63B3BB69-23CF-44E3-9099-C40C66FF867C}">
                  <a14:compatExt spid="_x0000_s76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0049" name="Button 1" hidden="1">
              <a:extLst>
                <a:ext uri="{63B3BB69-23CF-44E3-9099-C40C66FF867C}">
                  <a14:compatExt spid="_x0000_s770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1073" name="Button 1" hidden="1">
              <a:extLst>
                <a:ext uri="{63B3BB69-23CF-44E3-9099-C40C66FF867C}">
                  <a14:compatExt spid="_x0000_s77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2097" name="Button 1" hidden="1">
              <a:extLst>
                <a:ext uri="{63B3BB69-23CF-44E3-9099-C40C66FF867C}">
                  <a14:compatExt spid="_x0000_s77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3121" name="Button 1" hidden="1">
              <a:extLst>
                <a:ext uri="{63B3BB69-23CF-44E3-9099-C40C66FF867C}">
                  <a14:compatExt spid="_x0000_s77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4145" name="Button 1" hidden="1">
              <a:extLst>
                <a:ext uri="{63B3BB69-23CF-44E3-9099-C40C66FF867C}">
                  <a14:compatExt spid="_x0000_s77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5169" name="Button 1" hidden="1">
              <a:extLst>
                <a:ext uri="{63B3BB69-23CF-44E3-9099-C40C66FF867C}">
                  <a14:compatExt spid="_x0000_s77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6193" name="Button 1" hidden="1">
              <a:extLst>
                <a:ext uri="{63B3BB69-23CF-44E3-9099-C40C66FF867C}">
                  <a14:compatExt spid="_x0000_s77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7217" name="Button 1" hidden="1">
              <a:extLst>
                <a:ext uri="{63B3BB69-23CF-44E3-9099-C40C66FF867C}">
                  <a14:compatExt spid="_x0000_s77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8241" name="Button 1" hidden="1">
              <a:extLst>
                <a:ext uri="{63B3BB69-23CF-44E3-9099-C40C66FF867C}">
                  <a14:compatExt spid="_x0000_s77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779265" name="Button 1" hidden="1">
              <a:extLst>
                <a:ext uri="{63B3BB69-23CF-44E3-9099-C40C66FF867C}">
                  <a14:compatExt spid="_x0000_s77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47</xdr:row>
          <xdr:rowOff>28575</xdr:rowOff>
        </xdr:from>
        <xdr:to>
          <xdr:col>1</xdr:col>
          <xdr:colOff>695325</xdr:colOff>
          <xdr:row>50</xdr:row>
          <xdr:rowOff>76200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User Inputs to Default Values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Bogatine" refreshedDate="42459.748646643522" createdVersion="5" refreshedVersion="5" minRefreshableVersion="3" recordCount="65">
  <cacheSource type="worksheet">
    <worksheetSource ref="D5:W70" sheet="BuildingSummary"/>
  </cacheSource>
  <cacheFields count="20">
    <cacheField name="Occupancy" numFmtId="0">
      <sharedItems count="8">
        <s v="Office"/>
        <s v="Machine Shops"/>
        <s v="General Service"/>
        <s v=""/>
        <s v="Restaurant" u="1"/>
        <s v="Hotel" u="1"/>
        <s v="Apartments (4 Stories or Less)" u="1"/>
        <s v="General Habitational" u="1"/>
      </sharedItems>
    </cacheField>
    <cacheField name="Construction Type" numFmtId="0">
      <sharedItems count="9">
        <s v="ISO 1 – Frame"/>
        <s v="ISO 3 – Metal"/>
        <s v="ISO 3 – Non-Combustible"/>
        <s v=""/>
        <s v="ISO 2 – Joisted Masonry" u="1"/>
        <s v="ISO 6 – Fire Resistive" u="1"/>
        <s v="ISO 5 – Modified Fire Resistive" u="1"/>
        <s v="ISO 4 – Masonry Non-Combustible" u="1"/>
        <s v="ISO 1 – Brick Veneer" u="1"/>
      </sharedItems>
    </cacheField>
    <cacheField name="Year of Build" numFmtId="0">
      <sharedItems containsMixedTypes="1" containsNumber="1" containsInteger="1" minValue="1920" maxValue="2015" count="33">
        <n v="1987"/>
        <n v="1994"/>
        <n v="1990"/>
        <n v="1996"/>
        <n v="2005"/>
        <n v="1920"/>
        <n v="2000"/>
        <s v=""/>
        <n v="2003" u="1"/>
        <n v="1970" u="1"/>
        <n v="2015" u="1"/>
        <n v="2008" u="1"/>
        <n v="1982" u="1"/>
        <n v="2001" u="1"/>
        <n v="1975" u="1"/>
        <n v="2006" u="1"/>
        <n v="1980" u="1"/>
        <n v="1999" u="1"/>
        <n v="1992" u="1"/>
        <n v="2011" u="1"/>
        <n v="1959" u="1"/>
        <n v="2004" u="1"/>
        <n v="1978" u="1"/>
        <n v="2009" u="1"/>
        <n v="2002" u="1"/>
        <n v="1976" u="1"/>
        <n v="1995" u="1"/>
        <n v="1969" u="1"/>
        <n v="1993" u="1"/>
        <n v="1979" u="1"/>
        <n v="1998" u="1"/>
        <n v="1991" u="1"/>
        <n v="2010" u="1"/>
      </sharedItems>
    </cacheField>
    <cacheField name="Sprinkler" numFmtId="0">
      <sharedItems/>
    </cacheField>
    <cacheField name="PPC" numFmtId="0">
      <sharedItems containsMixedTypes="1" containsNumber="1" containsInteger="1" minValue="7" maxValue="7"/>
    </cacheField>
    <cacheField name="Square Foot" numFmtId="0">
      <sharedItems containsMixedTypes="1" containsNumber="1" containsInteger="1" minValue="0" maxValue="0"/>
    </cacheField>
    <cacheField name="$ per Sq Ft" numFmtId="37">
      <sharedItems/>
    </cacheField>
    <cacheField name="Building Valuation" numFmtId="37">
      <sharedItems containsMixedTypes="1" containsNumber="1" containsInteger="1" minValue="230595" maxValue="4450000"/>
    </cacheField>
    <cacheField name="Insurance to Value Diff" numFmtId="37">
      <sharedItems containsMixedTypes="1" containsNumber="1" containsInteger="1" minValue="-2202700" maxValue="0"/>
    </cacheField>
    <cacheField name="Deductible" numFmtId="37">
      <sharedItems containsMixedTypes="1" containsNumber="1" containsInteger="1" minValue="50000" maxValue="50000"/>
    </cacheField>
    <cacheField name="Building Limit" numFmtId="37">
      <sharedItems containsMixedTypes="1" containsNumber="1" containsInteger="1" minValue="60000" maxValue="4450000"/>
    </cacheField>
    <cacheField name="Contents Limit" numFmtId="37">
      <sharedItems containsMixedTypes="1" containsNumber="1" containsInteger="1" minValue="0" maxValue="250000"/>
    </cacheField>
    <cacheField name="Business Income Limit" numFmtId="37">
      <sharedItems containsMixedTypes="1" containsNumber="1" containsInteger="1" minValue="0" maxValue="250000"/>
    </cacheField>
    <cacheField name="Total Limit" numFmtId="37">
      <sharedItems containsMixedTypes="1" containsNumber="1" containsInteger="1" minValue="67500" maxValue="4700000"/>
    </cacheField>
    <cacheField name="Loss Cost" numFmtId="37">
      <sharedItems containsMixedTypes="1" containsNumber="1" minValue="97.747049718225014" maxValue="11339.153462625"/>
    </cacheField>
    <cacheField name="Gross AOP Premium" numFmtId="37">
      <sharedItems containsMixedTypes="1" containsNumber="1" minValue="114.59998932481554" maxValue="13294.179921698276"/>
    </cacheField>
    <cacheField name="Rate on TIV (Per $100)" numFmtId="39">
      <sharedItems containsMixedTypes="1" containsNumber="1" minValue="0.16977776196268968" maxValue="0.4193960827758621"/>
    </cacheField>
    <cacheField name="Cat AAL" numFmtId="37">
      <sharedItems containsMixedTypes="1" containsNumber="1" containsInteger="1" minValue="0" maxValue="0"/>
    </cacheField>
    <cacheField name="Net Cat Premium" numFmtId="37">
      <sharedItems/>
    </cacheField>
    <cacheField name="Gross Cat Premiums" numFmtId="37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Bogatine" refreshedDate="42459.748647106484" createdVersion="5" refreshedVersion="5" minRefreshableVersion="3" recordCount="65">
  <cacheSource type="worksheet">
    <worksheetSource ref="C5:W70" sheet="BuildingSummary"/>
  </cacheSource>
  <cacheFields count="21">
    <cacheField name="Building Number" numFmtId="0">
      <sharedItems containsMixedTypes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s v="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16" u="1"/>
        <n v="48" u="1"/>
        <n v="17" u="1"/>
        <n v="50" u="1"/>
        <n v="18" u="1"/>
        <n v="52" u="1"/>
        <n v="65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ccupancy" numFmtId="0">
      <sharedItems/>
    </cacheField>
    <cacheField name="Construction Type" numFmtId="0">
      <sharedItems/>
    </cacheField>
    <cacheField name="Year of Build" numFmtId="0">
      <sharedItems containsMixedTypes="1" containsNumber="1" containsInteger="1" minValue="1920" maxValue="2005"/>
    </cacheField>
    <cacheField name="Sprinkler" numFmtId="0">
      <sharedItems/>
    </cacheField>
    <cacheField name="PPC" numFmtId="0">
      <sharedItems containsMixedTypes="1" containsNumber="1" containsInteger="1" minValue="7" maxValue="7"/>
    </cacheField>
    <cacheField name="Square Foot" numFmtId="0">
      <sharedItems containsMixedTypes="1" containsNumber="1" containsInteger="1" minValue="0" maxValue="0"/>
    </cacheField>
    <cacheField name="$ per Sq Ft" numFmtId="37">
      <sharedItems/>
    </cacheField>
    <cacheField name="Building Valuation" numFmtId="37">
      <sharedItems containsMixedTypes="1" containsNumber="1" containsInteger="1" minValue="230595" maxValue="4450000"/>
    </cacheField>
    <cacheField name="Insurance to Value Diff" numFmtId="37">
      <sharedItems containsMixedTypes="1" containsNumber="1" containsInteger="1" minValue="-2202700" maxValue="0"/>
    </cacheField>
    <cacheField name="Deductible" numFmtId="37">
      <sharedItems containsMixedTypes="1" containsNumber="1" containsInteger="1" minValue="50000" maxValue="50000"/>
    </cacheField>
    <cacheField name="Building Limit" numFmtId="37">
      <sharedItems containsMixedTypes="1" containsNumber="1" containsInteger="1" minValue="60000" maxValue="4450000"/>
    </cacheField>
    <cacheField name="Contents Limit" numFmtId="37">
      <sharedItems containsMixedTypes="1" containsNumber="1" containsInteger="1" minValue="0" maxValue="250000"/>
    </cacheField>
    <cacheField name="Business Income Limit" numFmtId="37">
      <sharedItems containsMixedTypes="1" containsNumber="1" containsInteger="1" minValue="0" maxValue="250000"/>
    </cacheField>
    <cacheField name="Total Limit" numFmtId="37">
      <sharedItems containsMixedTypes="1" containsNumber="1" containsInteger="1" minValue="67500" maxValue="4700000"/>
    </cacheField>
    <cacheField name="Loss Cost" numFmtId="37">
      <sharedItems containsMixedTypes="1" containsNumber="1" minValue="97.747049718225014" maxValue="11339.153462625"/>
    </cacheField>
    <cacheField name="Gross AOP Premium" numFmtId="37">
      <sharedItems containsMixedTypes="1" containsNumber="1" minValue="114.59998932481554" maxValue="13294.179921698276"/>
    </cacheField>
    <cacheField name="Rate on TIV (Per $100)" numFmtId="39">
      <sharedItems containsMixedTypes="1" containsNumber="1" minValue="0.16977776196268968" maxValue="0.4193960827758621"/>
    </cacheField>
    <cacheField name="Cat AAL" numFmtId="37">
      <sharedItems containsMixedTypes="1" containsNumber="1" containsInteger="1" minValue="0" maxValue="0"/>
    </cacheField>
    <cacheField name="Net Cat Premium" numFmtId="37">
      <sharedItems/>
    </cacheField>
    <cacheField name="Gross Cat Premiums" numFmtId="37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x v="0"/>
    <x v="0"/>
    <x v="0"/>
    <s v="Partial, No Central Alarm"/>
    <n v="7"/>
    <n v="0"/>
    <s v=""/>
    <n v="646160"/>
    <n v="-296160"/>
    <n v="50000"/>
    <n v="350000"/>
    <n v="65000"/>
    <n v="250000"/>
    <n v="665000"/>
    <n v="1700.2718097330003"/>
    <n v="1993.4221217559314"/>
    <n v="0.29976272507607987"/>
    <n v="0"/>
    <e v="#DIV/0!"/>
    <s v=""/>
  </r>
  <r>
    <x v="1"/>
    <x v="1"/>
    <x v="0"/>
    <s v="Partial, No Central Alarm"/>
    <n v="7"/>
    <n v="0"/>
    <s v=""/>
    <n v="1611500"/>
    <n v="-1027947"/>
    <n v="50000"/>
    <n v="583553"/>
    <n v="60000"/>
    <n v="0"/>
    <n v="643553"/>
    <n v="1424.3233617127651"/>
    <n v="1669.8963551115178"/>
    <n v="0.25948078170896849"/>
    <n v="0"/>
    <e v="#DIV/0!"/>
    <s v=""/>
  </r>
  <r>
    <x v="1"/>
    <x v="1"/>
    <x v="0"/>
    <s v="Partial, No Central Alarm"/>
    <n v="7"/>
    <n v="0"/>
    <s v=""/>
    <n v="477290"/>
    <n v="-284920"/>
    <n v="50000"/>
    <n v="192370"/>
    <n v="10000"/>
    <n v="0"/>
    <n v="202370"/>
    <n v="449.17811024835004"/>
    <n v="526.62261201530703"/>
    <n v="0.26022760884286555"/>
    <n v="0"/>
    <e v="#DIV/0!"/>
    <s v=""/>
  </r>
  <r>
    <x v="1"/>
    <x v="1"/>
    <x v="1"/>
    <s v="Partial, No Central Alarm"/>
    <n v="7"/>
    <n v="0"/>
    <s v=""/>
    <n v="1651650"/>
    <n v="-851650"/>
    <n v="50000"/>
    <n v="800000"/>
    <n v="100000"/>
    <n v="0"/>
    <n v="900000"/>
    <n v="1989.5574004650002"/>
    <n v="2332.5845384762069"/>
    <n v="0.25917605983068964"/>
    <n v="0"/>
    <e v="#DIV/0!"/>
    <s v=""/>
  </r>
  <r>
    <x v="1"/>
    <x v="1"/>
    <x v="2"/>
    <s v="Partial, No Central Alarm"/>
    <n v="7"/>
    <n v="0"/>
    <s v=""/>
    <n v="355743"/>
    <n v="-287703"/>
    <n v="50000"/>
    <n v="68040"/>
    <n v="0"/>
    <n v="0"/>
    <n v="68040"/>
    <n v="151.50956722020001"/>
    <n v="177.63190639609658"/>
    <n v="0.26106982127586215"/>
    <n v="0"/>
    <e v="#DIV/0!"/>
    <s v=""/>
  </r>
  <r>
    <x v="1"/>
    <x v="1"/>
    <x v="3"/>
    <s v="Partial, No Central Alarm"/>
    <n v="7"/>
    <n v="0"/>
    <s v=""/>
    <n v="4450000"/>
    <n v="0"/>
    <n v="50000"/>
    <n v="4450000"/>
    <n v="250000"/>
    <n v="0"/>
    <n v="4700000"/>
    <n v="11339.153462625"/>
    <n v="13294.179921698276"/>
    <n v="0.28285489195102714"/>
    <n v="0"/>
    <e v="#DIV/0!"/>
    <s v=""/>
  </r>
  <r>
    <x v="0"/>
    <x v="2"/>
    <x v="4"/>
    <s v="Partial, No Central Alarm"/>
    <n v="7"/>
    <n v="0"/>
    <s v=""/>
    <n v="368000"/>
    <n v="-308000"/>
    <n v="50000"/>
    <n v="60000"/>
    <n v="7500"/>
    <n v="0"/>
    <n v="67500"/>
    <n v="97.747049718225014"/>
    <n v="114.59998932481554"/>
    <n v="0.16977776196268968"/>
    <n v="0"/>
    <e v="#DIV/0!"/>
    <s v=""/>
  </r>
  <r>
    <x v="0"/>
    <x v="2"/>
    <x v="5"/>
    <s v="Partial, No Central Alarm"/>
    <n v="7"/>
    <n v="0"/>
    <s v=""/>
    <n v="368000"/>
    <n v="-223000"/>
    <n v="50000"/>
    <n v="145000"/>
    <n v="35000"/>
    <n v="0"/>
    <n v="180000"/>
    <n v="310.90401758895007"/>
    <n v="364.50815855256218"/>
    <n v="0.20250453252920123"/>
    <n v="0"/>
    <e v="#DIV/0!"/>
    <s v=""/>
  </r>
  <r>
    <x v="0"/>
    <x v="2"/>
    <x v="6"/>
    <s v="Partial, No Central Alarm"/>
    <n v="7"/>
    <n v="0"/>
    <s v=""/>
    <n v="736000"/>
    <n v="-336000"/>
    <n v="50000"/>
    <n v="400000"/>
    <n v="65000"/>
    <n v="0"/>
    <n v="465000"/>
    <n v="739.08055937550012"/>
    <n v="866.50824202644844"/>
    <n v="0.18634585850031149"/>
    <n v="0"/>
    <e v="#DIV/0!"/>
    <s v=""/>
  </r>
  <r>
    <x v="2"/>
    <x v="1"/>
    <x v="5"/>
    <s v="Partial, No Central Alarm"/>
    <n v="7"/>
    <n v="0"/>
    <s v=""/>
    <n v="2552700"/>
    <n v="-2202700"/>
    <n v="50000"/>
    <n v="350000"/>
    <n v="65000"/>
    <n v="0"/>
    <n v="415000"/>
    <n v="1281.2411789319003"/>
    <n v="1502.1448304718831"/>
    <n v="0.36196260975226097"/>
    <n v="0"/>
    <e v="#DIV/0!"/>
    <s v=""/>
  </r>
  <r>
    <x v="2"/>
    <x v="0"/>
    <x v="5"/>
    <s v="Partial, No Central Alarm"/>
    <n v="7"/>
    <n v="0"/>
    <s v=""/>
    <n v="230595"/>
    <n v="-102595"/>
    <n v="50000"/>
    <n v="128000"/>
    <n v="0"/>
    <n v="0"/>
    <n v="128000"/>
    <n v="457.88184096000003"/>
    <n v="536.82698595310353"/>
    <n v="0.4193960827758621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n v="0"/>
    <e v="#DIV/0!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  <r>
    <x v="3"/>
    <x v="3"/>
    <x v="7"/>
    <s v=""/>
    <s v=""/>
    <s v=""/>
    <s v=""/>
    <s v=""/>
    <s v=""/>
    <s v=""/>
    <s v=""/>
    <s v=""/>
    <s v=""/>
    <s v=""/>
    <s v=""/>
    <s v=""/>
    <s v=""/>
    <s v=""/>
    <s v="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5">
  <r>
    <x v="0"/>
    <s v="Office"/>
    <s v="ISO 1 – Frame"/>
    <n v="1987"/>
    <s v="Partial, No Central Alarm"/>
    <n v="7"/>
    <n v="0"/>
    <s v=""/>
    <n v="646160"/>
    <n v="-296160"/>
    <n v="50000"/>
    <n v="350000"/>
    <n v="65000"/>
    <n v="250000"/>
    <n v="665000"/>
    <n v="1700.2718097330003"/>
    <n v="1993.4221217559314"/>
    <n v="0.29976272507607987"/>
    <n v="0"/>
    <e v="#DIV/0!"/>
    <s v=""/>
  </r>
  <r>
    <x v="1"/>
    <s v="Machine Shops"/>
    <s v="ISO 3 – Metal"/>
    <n v="1987"/>
    <s v="Partial, No Central Alarm"/>
    <n v="7"/>
    <n v="0"/>
    <s v=""/>
    <n v="1611500"/>
    <n v="-1027947"/>
    <n v="50000"/>
    <n v="583553"/>
    <n v="60000"/>
    <n v="0"/>
    <n v="643553"/>
    <n v="1424.3233617127651"/>
    <n v="1669.8963551115178"/>
    <n v="0.25948078170896849"/>
    <n v="0"/>
    <e v="#DIV/0!"/>
    <s v=""/>
  </r>
  <r>
    <x v="2"/>
    <s v="Machine Shops"/>
    <s v="ISO 3 – Metal"/>
    <n v="1987"/>
    <s v="Partial, No Central Alarm"/>
    <n v="7"/>
    <n v="0"/>
    <s v=""/>
    <n v="477290"/>
    <n v="-284920"/>
    <n v="50000"/>
    <n v="192370"/>
    <n v="10000"/>
    <n v="0"/>
    <n v="202370"/>
    <n v="449.17811024835004"/>
    <n v="526.62261201530703"/>
    <n v="0.26022760884286555"/>
    <n v="0"/>
    <e v="#DIV/0!"/>
    <s v=""/>
  </r>
  <r>
    <x v="3"/>
    <s v="Machine Shops"/>
    <s v="ISO 3 – Metal"/>
    <n v="1994"/>
    <s v="Partial, No Central Alarm"/>
    <n v="7"/>
    <n v="0"/>
    <s v=""/>
    <n v="1651650"/>
    <n v="-851650"/>
    <n v="50000"/>
    <n v="800000"/>
    <n v="100000"/>
    <n v="0"/>
    <n v="900000"/>
    <n v="1989.5574004650002"/>
    <n v="2332.5845384762069"/>
    <n v="0.25917605983068964"/>
    <n v="0"/>
    <e v="#DIV/0!"/>
    <s v=""/>
  </r>
  <r>
    <x v="4"/>
    <s v="Machine Shops"/>
    <s v="ISO 3 – Metal"/>
    <n v="1990"/>
    <s v="Partial, No Central Alarm"/>
    <n v="7"/>
    <n v="0"/>
    <s v=""/>
    <n v="355743"/>
    <n v="-287703"/>
    <n v="50000"/>
    <n v="68040"/>
    <n v="0"/>
    <n v="0"/>
    <n v="68040"/>
    <n v="151.50956722020001"/>
    <n v="177.63190639609658"/>
    <n v="0.26106982127586215"/>
    <n v="0"/>
    <e v="#DIV/0!"/>
    <s v=""/>
  </r>
  <r>
    <x v="5"/>
    <s v="Machine Shops"/>
    <s v="ISO 3 – Metal"/>
    <n v="1996"/>
    <s v="Partial, No Central Alarm"/>
    <n v="7"/>
    <n v="0"/>
    <s v=""/>
    <n v="4450000"/>
    <n v="0"/>
    <n v="50000"/>
    <n v="4450000"/>
    <n v="250000"/>
    <n v="0"/>
    <n v="4700000"/>
    <n v="11339.153462625"/>
    <n v="13294.179921698276"/>
    <n v="0.28285489195102714"/>
    <n v="0"/>
    <e v="#DIV/0!"/>
    <s v=""/>
  </r>
  <r>
    <x v="6"/>
    <s v="Office"/>
    <s v="ISO 3 – Non-Combustible"/>
    <n v="2005"/>
    <s v="Partial, No Central Alarm"/>
    <n v="7"/>
    <n v="0"/>
    <s v=""/>
    <n v="368000"/>
    <n v="-308000"/>
    <n v="50000"/>
    <n v="60000"/>
    <n v="7500"/>
    <n v="0"/>
    <n v="67500"/>
    <n v="97.747049718225014"/>
    <n v="114.59998932481554"/>
    <n v="0.16977776196268968"/>
    <n v="0"/>
    <e v="#DIV/0!"/>
    <s v=""/>
  </r>
  <r>
    <x v="7"/>
    <s v="Office"/>
    <s v="ISO 3 – Non-Combustible"/>
    <n v="1920"/>
    <s v="Partial, No Central Alarm"/>
    <n v="7"/>
    <n v="0"/>
    <s v=""/>
    <n v="368000"/>
    <n v="-223000"/>
    <n v="50000"/>
    <n v="145000"/>
    <n v="35000"/>
    <n v="0"/>
    <n v="180000"/>
    <n v="310.90401758895007"/>
    <n v="364.50815855256218"/>
    <n v="0.20250453252920123"/>
    <n v="0"/>
    <e v="#DIV/0!"/>
    <s v=""/>
  </r>
  <r>
    <x v="8"/>
    <s v="Office"/>
    <s v="ISO 3 – Non-Combustible"/>
    <n v="2000"/>
    <s v="Partial, No Central Alarm"/>
    <n v="7"/>
    <n v="0"/>
    <s v=""/>
    <n v="736000"/>
    <n v="-336000"/>
    <n v="50000"/>
    <n v="400000"/>
    <n v="65000"/>
    <n v="0"/>
    <n v="465000"/>
    <n v="739.08055937550012"/>
    <n v="866.50824202644844"/>
    <n v="0.18634585850031149"/>
    <n v="0"/>
    <e v="#DIV/0!"/>
    <s v=""/>
  </r>
  <r>
    <x v="9"/>
    <s v="General Service"/>
    <s v="ISO 3 – Metal"/>
    <n v="1920"/>
    <s v="Partial, No Central Alarm"/>
    <n v="7"/>
    <n v="0"/>
    <s v=""/>
    <n v="2552700"/>
    <n v="-2202700"/>
    <n v="50000"/>
    <n v="350000"/>
    <n v="65000"/>
    <n v="0"/>
    <n v="415000"/>
    <n v="1281.2411789319003"/>
    <n v="1502.1448304718831"/>
    <n v="0.36196260975226097"/>
    <n v="0"/>
    <e v="#DIV/0!"/>
    <s v=""/>
  </r>
  <r>
    <x v="10"/>
    <s v="General Service"/>
    <s v="ISO 1 – Frame"/>
    <n v="1920"/>
    <s v="Partial, No Central Alarm"/>
    <n v="7"/>
    <n v="0"/>
    <s v=""/>
    <n v="230595"/>
    <n v="-102595"/>
    <n v="50000"/>
    <n v="128000"/>
    <n v="0"/>
    <n v="0"/>
    <n v="128000"/>
    <n v="457.88184096000003"/>
    <n v="536.82698595310353"/>
    <n v="0.4193960827758621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n v="0"/>
    <e v="#DIV/0!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  <r>
    <x v="1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5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0">
  <location ref="B59:C71" firstHeaderRow="1" firstDataRow="1" firstDataCol="1"/>
  <pivotFields count="21">
    <pivotField axis="axisRow" showAll="0" sortType="descending">
      <items count="67">
        <item x="0"/>
        <item x="1"/>
        <item x="2"/>
        <item x="3"/>
        <item x="4"/>
        <item x="5"/>
        <item x="6"/>
        <item x="7"/>
        <item x="8"/>
        <item x="9"/>
        <item x="10"/>
        <item m="1" x="63"/>
        <item m="1" x="14"/>
        <item m="1" x="19"/>
        <item m="1" x="23"/>
        <item m="1" x="26"/>
        <item m="1" x="28"/>
        <item m="1" x="30"/>
        <item m="1" x="33"/>
        <item m="1" x="35"/>
        <item m="1" x="38"/>
        <item m="1" x="41"/>
        <item m="1" x="44"/>
        <item m="1" x="47"/>
        <item m="1" x="50"/>
        <item m="1" x="52"/>
        <item m="1" x="54"/>
        <item m="1" x="56"/>
        <item m="1" x="58"/>
        <item m="1" x="60"/>
        <item m="1" x="62"/>
        <item m="1" x="65"/>
        <item m="1" x="37"/>
        <item m="1" x="13"/>
        <item m="1" x="40"/>
        <item m="1" x="16"/>
        <item m="1" x="43"/>
        <item m="1" x="18"/>
        <item m="1" x="46"/>
        <item m="1" x="21"/>
        <item m="1" x="49"/>
        <item m="1" x="22"/>
        <item m="1" x="51"/>
        <item m="1" x="24"/>
        <item m="1" x="53"/>
        <item m="1" x="25"/>
        <item m="1" x="55"/>
        <item m="1" x="27"/>
        <item m="1" x="57"/>
        <item m="1" x="29"/>
        <item m="1" x="59"/>
        <item m="1" x="31"/>
        <item m="1" x="61"/>
        <item m="1" x="34"/>
        <item m="1" x="64"/>
        <item m="1" x="36"/>
        <item m="1" x="12"/>
        <item m="1" x="39"/>
        <item m="1" x="15"/>
        <item m="1" x="42"/>
        <item m="1" x="17"/>
        <item m="1" x="45"/>
        <item m="1" x="20"/>
        <item m="1" x="48"/>
        <item m="1" x="32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</pivotFields>
  <rowFields count="1">
    <field x="0"/>
  </rowFields>
  <rowItems count="12">
    <i>
      <x v="5"/>
    </i>
    <i>
      <x v="3"/>
    </i>
    <i>
      <x/>
    </i>
    <i>
      <x v="1"/>
    </i>
    <i>
      <x v="8"/>
    </i>
    <i>
      <x v="9"/>
    </i>
    <i>
      <x v="2"/>
    </i>
    <i>
      <x v="7"/>
    </i>
    <i>
      <x v="10"/>
    </i>
    <i>
      <x v="4"/>
    </i>
    <i>
      <x v="6"/>
    </i>
    <i t="grand">
      <x/>
    </i>
  </rowItems>
  <colItems count="1">
    <i/>
  </colItems>
  <dataFields count="1">
    <dataField name="Sum of Total Limit" fld="14" baseField="0" baseItem="0"/>
  </dataFields>
  <formats count="1">
    <format dxfId="0">
      <pivotArea outline="0" collapsedLevelsAreSubtotals="1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4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O36:R41" firstHeaderRow="0" firstDataRow="1" firstDataCol="1"/>
  <pivotFields count="20">
    <pivotField axis="axisRow" showAll="0">
      <items count="9">
        <item x="3"/>
        <item x="0"/>
        <item x="1"/>
        <item m="1" x="4"/>
        <item m="1" x="5"/>
        <item m="1" x="6"/>
        <item m="1"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 defaultSubtotal="0"/>
    <pivotField showAll="0"/>
    <pivotField showAll="0"/>
    <pivotField dataField="1" showAll="0"/>
  </pivotFields>
  <rowFields count="1">
    <field x="0"/>
  </rowFields>
  <rowItems count="5">
    <i>
      <x/>
    </i>
    <i>
      <x v="1"/>
    </i>
    <i>
      <x v="2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Limit" fld="13" baseField="1" baseItem="1"/>
    <dataField name="Sum of Gross AOP Premium" fld="15" baseField="1" baseItem="1"/>
    <dataField name="Sum of Gross Cat Premiums" fld="19" baseField="1" baseItem="1"/>
  </dataFields>
  <formats count="1">
    <format dxfId="1">
      <pivotArea outline="0" collapsedLevelsAreSubtotals="1" fieldPosition="0"/>
    </format>
  </format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4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G36:J45" firstHeaderRow="0" firstDataRow="1" firstDataCol="1"/>
  <pivotFields count="20">
    <pivotField showAll="0"/>
    <pivotField showAll="0"/>
    <pivotField axis="axisRow" showAll="0" sortType="ascending">
      <items count="34">
        <item x="5"/>
        <item m="1" x="20"/>
        <item m="1" x="27"/>
        <item m="1" x="9"/>
        <item m="1" x="14"/>
        <item m="1" x="25"/>
        <item m="1" x="22"/>
        <item m="1" x="29"/>
        <item m="1" x="16"/>
        <item m="1" x="12"/>
        <item x="0"/>
        <item x="2"/>
        <item m="1" x="31"/>
        <item m="1" x="18"/>
        <item m="1" x="28"/>
        <item x="1"/>
        <item m="1" x="26"/>
        <item x="3"/>
        <item m="1" x="30"/>
        <item m="1" x="17"/>
        <item x="6"/>
        <item m="1" x="13"/>
        <item m="1" x="24"/>
        <item m="1" x="8"/>
        <item m="1" x="21"/>
        <item x="4"/>
        <item m="1" x="15"/>
        <item m="1" x="11"/>
        <item m="1" x="23"/>
        <item m="1" x="32"/>
        <item m="1" x="19"/>
        <item m="1" x="1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 defaultSubtotal="0"/>
    <pivotField showAll="0"/>
    <pivotField showAll="0"/>
    <pivotField dataField="1" showAll="0"/>
  </pivotFields>
  <rowFields count="1">
    <field x="2"/>
  </rowFields>
  <rowItems count="9">
    <i>
      <x/>
    </i>
    <i>
      <x v="10"/>
    </i>
    <i>
      <x v="11"/>
    </i>
    <i>
      <x v="15"/>
    </i>
    <i>
      <x v="17"/>
    </i>
    <i>
      <x v="20"/>
    </i>
    <i>
      <x v="25"/>
    </i>
    <i>
      <x v="3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Limit" fld="13" baseField="1" baseItem="1"/>
    <dataField name="Sum of Gross AOP Premium" fld="15" baseField="1" baseItem="1"/>
    <dataField name="Sum of Gross Cat Premiums" fld="19" baseField="1" baseItem="1"/>
  </dataFields>
  <formats count="1">
    <format dxfId="2">
      <pivotArea outline="0" collapsedLevelsAreSubtotals="1" fieldPosition="0"/>
    </format>
  </format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B36:E41" firstHeaderRow="0" firstDataRow="1" firstDataCol="1"/>
  <pivotFields count="20">
    <pivotField showAll="0"/>
    <pivotField axis="axisRow" showAll="0">
      <items count="10">
        <item x="3"/>
        <item m="1" x="8"/>
        <item x="0"/>
        <item x="2"/>
        <item m="1" x="7"/>
        <item m="1" x="4"/>
        <item m="1" x="6"/>
        <item m="1" x="5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 defaultSubtota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Limit" fld="13" baseField="1" baseItem="1"/>
    <dataField name="Sum of Gross AOP Premium" fld="15" baseField="1" baseItem="1"/>
    <dataField name="Sum of Gross Cat Premiums" fld="19" baseField="1" baseItem="1"/>
  </dataFields>
  <formats count="2">
    <format dxfId="4">
      <pivotArea collapsedLevelsAreSubtotals="1" fieldPosition="0">
        <references count="1">
          <reference field="1" count="0"/>
        </references>
      </pivotArea>
    </format>
    <format dxfId="3">
      <pivotArea outline="0" collapsedLevelsAreSubtotals="1" fieldPosition="0"/>
    </format>
  </formats>
  <chartFormats count="3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2.xml"/><Relationship Id="rId4" Type="http://schemas.openxmlformats.org/officeDocument/2006/relationships/pivotTable" Target="../pivotTables/pivotTable4.xml"/><Relationship Id="rId9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omments" Target="../comments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omments" Target="../comments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omments" Target="../comments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omments" Target="../comments1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3"/>
  <sheetViews>
    <sheetView workbookViewId="0">
      <selection activeCell="E4" sqref="E4"/>
    </sheetView>
  </sheetViews>
  <sheetFormatPr defaultColWidth="9.140625" defaultRowHeight="12.75" x14ac:dyDescent="0.2"/>
  <cols>
    <col min="1" max="1" width="16" style="1" bestFit="1" customWidth="1"/>
    <col min="2" max="2" width="9.85546875" style="1" bestFit="1" customWidth="1"/>
    <col min="3" max="3" width="9.140625" style="1"/>
    <col min="4" max="4" width="13.140625" style="1" bestFit="1" customWidth="1"/>
    <col min="5" max="5" width="19.28515625" style="1" customWidth="1"/>
    <col min="6" max="7" width="9.140625" style="1"/>
    <col min="8" max="8" width="27.42578125" style="1" bestFit="1" customWidth="1"/>
    <col min="9" max="9" width="22.42578125" style="1" bestFit="1" customWidth="1"/>
    <col min="10" max="16384" width="9.140625" style="1"/>
  </cols>
  <sheetData>
    <row r="1" spans="1:9" x14ac:dyDescent="0.2">
      <c r="A1" s="282" t="s">
        <v>392</v>
      </c>
      <c r="B1" s="282"/>
      <c r="D1" s="282" t="s">
        <v>312</v>
      </c>
      <c r="E1" s="282"/>
      <c r="H1" s="282" t="s">
        <v>374</v>
      </c>
      <c r="I1" s="282"/>
    </row>
    <row r="2" spans="1:9" x14ac:dyDescent="0.2">
      <c r="A2" s="1" t="s">
        <v>393</v>
      </c>
      <c r="B2" s="1">
        <v>2.2000000000000002</v>
      </c>
      <c r="D2" s="1" t="s">
        <v>312</v>
      </c>
      <c r="E2" s="4">
        <v>11</v>
      </c>
      <c r="H2" s="5" t="s">
        <v>372</v>
      </c>
      <c r="I2" s="35" t="s">
        <v>373</v>
      </c>
    </row>
    <row r="3" spans="1:9" x14ac:dyDescent="0.2">
      <c r="A3" s="1" t="s">
        <v>394</v>
      </c>
      <c r="B3" s="37">
        <v>42434</v>
      </c>
      <c r="D3" s="1" t="s">
        <v>300</v>
      </c>
      <c r="E3" s="4" t="s">
        <v>299</v>
      </c>
      <c r="H3" s="1" t="s">
        <v>336</v>
      </c>
      <c r="I3" s="22">
        <v>10000</v>
      </c>
    </row>
    <row r="4" spans="1:9" x14ac:dyDescent="0.2">
      <c r="A4" s="1" t="s">
        <v>395</v>
      </c>
      <c r="B4" s="83">
        <v>0.45833333333333331</v>
      </c>
      <c r="E4" s="1" t="s">
        <v>839</v>
      </c>
      <c r="H4" s="1" t="s">
        <v>337</v>
      </c>
      <c r="I4" s="22">
        <v>0</v>
      </c>
    </row>
    <row r="5" spans="1:9" x14ac:dyDescent="0.2">
      <c r="E5" s="1" t="s">
        <v>840</v>
      </c>
      <c r="H5" s="1" t="s">
        <v>338</v>
      </c>
      <c r="I5" s="22">
        <v>0</v>
      </c>
    </row>
    <row r="6" spans="1:9" x14ac:dyDescent="0.2">
      <c r="E6" s="1" t="s">
        <v>841</v>
      </c>
      <c r="H6" s="1" t="s">
        <v>339</v>
      </c>
      <c r="I6" s="36"/>
    </row>
    <row r="7" spans="1:9" x14ac:dyDescent="0.2">
      <c r="E7" s="1" t="s">
        <v>842</v>
      </c>
      <c r="H7" s="1" t="s">
        <v>340</v>
      </c>
      <c r="I7" s="36"/>
    </row>
    <row r="8" spans="1:9" x14ac:dyDescent="0.2">
      <c r="E8" s="1" t="s">
        <v>843</v>
      </c>
      <c r="H8" s="1" t="s">
        <v>341</v>
      </c>
      <c r="I8" s="36"/>
    </row>
    <row r="9" spans="1:9" x14ac:dyDescent="0.2">
      <c r="E9" s="1" t="s">
        <v>844</v>
      </c>
      <c r="H9" s="1" t="s">
        <v>342</v>
      </c>
      <c r="I9" s="36" t="str">
        <f>AccountLevelSummary!B7</f>
        <v>Florida</v>
      </c>
    </row>
    <row r="10" spans="1:9" x14ac:dyDescent="0.2">
      <c r="E10" s="1" t="s">
        <v>845</v>
      </c>
      <c r="H10" s="1" t="s">
        <v>343</v>
      </c>
      <c r="I10" s="36"/>
    </row>
    <row r="11" spans="1:9" x14ac:dyDescent="0.2">
      <c r="E11" s="1" t="s">
        <v>846</v>
      </c>
      <c r="H11" s="1" t="s">
        <v>630</v>
      </c>
      <c r="I11" s="72"/>
    </row>
    <row r="12" spans="1:9" x14ac:dyDescent="0.2">
      <c r="E12" s="1" t="s">
        <v>847</v>
      </c>
      <c r="H12" s="1" t="s">
        <v>344</v>
      </c>
      <c r="I12" s="22">
        <v>0</v>
      </c>
    </row>
    <row r="13" spans="1:9" x14ac:dyDescent="0.2">
      <c r="E13" s="1" t="s">
        <v>848</v>
      </c>
      <c r="H13" s="1" t="s">
        <v>345</v>
      </c>
      <c r="I13" s="1" t="s">
        <v>612</v>
      </c>
    </row>
    <row r="14" spans="1:9" x14ac:dyDescent="0.2">
      <c r="E14" s="1" t="s">
        <v>849</v>
      </c>
      <c r="H14" s="1" t="s">
        <v>346</v>
      </c>
      <c r="I14" s="22">
        <v>0</v>
      </c>
    </row>
    <row r="15" spans="1:9" x14ac:dyDescent="0.2">
      <c r="E15" s="1" t="s">
        <v>850</v>
      </c>
      <c r="H15" s="1" t="s">
        <v>347</v>
      </c>
      <c r="I15" s="36" t="s">
        <v>327</v>
      </c>
    </row>
    <row r="16" spans="1:9" x14ac:dyDescent="0.2">
      <c r="E16" s="1" t="s">
        <v>851</v>
      </c>
      <c r="H16" s="1" t="s">
        <v>348</v>
      </c>
      <c r="I16" s="36" t="s">
        <v>57</v>
      </c>
    </row>
    <row r="17" spans="5:9" x14ac:dyDescent="0.2">
      <c r="E17" s="1" t="s">
        <v>852</v>
      </c>
      <c r="H17" s="1" t="s">
        <v>349</v>
      </c>
      <c r="I17" s="36"/>
    </row>
    <row r="18" spans="5:9" x14ac:dyDescent="0.2">
      <c r="E18" s="1" t="s">
        <v>853</v>
      </c>
      <c r="H18" s="1" t="s">
        <v>350</v>
      </c>
      <c r="I18" s="36" t="s">
        <v>57</v>
      </c>
    </row>
    <row r="19" spans="5:9" x14ac:dyDescent="0.2">
      <c r="E19" s="1" t="s">
        <v>854</v>
      </c>
      <c r="H19" s="1" t="s">
        <v>351</v>
      </c>
      <c r="I19" s="36">
        <v>1</v>
      </c>
    </row>
    <row r="20" spans="5:9" x14ac:dyDescent="0.2">
      <c r="E20" s="1" t="s">
        <v>855</v>
      </c>
      <c r="H20" s="1" t="s">
        <v>352</v>
      </c>
      <c r="I20" s="36">
        <v>1</v>
      </c>
    </row>
    <row r="21" spans="5:9" x14ac:dyDescent="0.2">
      <c r="E21" s="1" t="s">
        <v>856</v>
      </c>
      <c r="H21" s="1" t="s">
        <v>353</v>
      </c>
      <c r="I21" s="36"/>
    </row>
    <row r="22" spans="5:9" x14ac:dyDescent="0.2">
      <c r="E22" s="1" t="s">
        <v>857</v>
      </c>
      <c r="H22" s="1" t="s">
        <v>354</v>
      </c>
      <c r="I22" s="36" t="s">
        <v>57</v>
      </c>
    </row>
    <row r="23" spans="5:9" x14ac:dyDescent="0.2">
      <c r="E23" s="1" t="s">
        <v>858</v>
      </c>
      <c r="H23" s="1" t="s">
        <v>631</v>
      </c>
      <c r="I23" s="72">
        <v>0</v>
      </c>
    </row>
    <row r="24" spans="5:9" x14ac:dyDescent="0.2">
      <c r="E24" s="1" t="s">
        <v>859</v>
      </c>
      <c r="H24" s="1" t="s">
        <v>355</v>
      </c>
      <c r="I24" s="22">
        <v>0</v>
      </c>
    </row>
    <row r="25" spans="5:9" x14ac:dyDescent="0.2">
      <c r="E25" s="1" t="s">
        <v>860</v>
      </c>
      <c r="H25" s="1" t="s">
        <v>356</v>
      </c>
      <c r="I25" s="36" t="s">
        <v>57</v>
      </c>
    </row>
    <row r="26" spans="5:9" x14ac:dyDescent="0.2">
      <c r="E26" s="1" t="s">
        <v>861</v>
      </c>
      <c r="H26" s="1" t="s">
        <v>357</v>
      </c>
      <c r="I26" s="22">
        <v>0</v>
      </c>
    </row>
    <row r="27" spans="5:9" x14ac:dyDescent="0.2">
      <c r="E27" s="1" t="s">
        <v>862</v>
      </c>
      <c r="H27" s="1" t="s">
        <v>358</v>
      </c>
      <c r="I27" s="36" t="s">
        <v>57</v>
      </c>
    </row>
    <row r="28" spans="5:9" x14ac:dyDescent="0.2">
      <c r="E28" s="1" t="s">
        <v>863</v>
      </c>
      <c r="H28" s="1" t="s">
        <v>359</v>
      </c>
      <c r="I28" s="22">
        <v>0</v>
      </c>
    </row>
    <row r="29" spans="5:9" x14ac:dyDescent="0.2">
      <c r="E29" s="1" t="s">
        <v>864</v>
      </c>
      <c r="H29" s="1" t="s">
        <v>360</v>
      </c>
      <c r="I29" s="36" t="s">
        <v>57</v>
      </c>
    </row>
    <row r="30" spans="5:9" x14ac:dyDescent="0.2">
      <c r="E30" s="1" t="s">
        <v>865</v>
      </c>
      <c r="H30" s="1" t="s">
        <v>361</v>
      </c>
      <c r="I30" s="36">
        <v>3</v>
      </c>
    </row>
    <row r="31" spans="5:9" x14ac:dyDescent="0.2">
      <c r="E31" s="1" t="s">
        <v>866</v>
      </c>
      <c r="H31" s="1" t="s">
        <v>362</v>
      </c>
      <c r="I31" s="36" t="s">
        <v>57</v>
      </c>
    </row>
    <row r="32" spans="5:9" x14ac:dyDescent="0.2">
      <c r="E32" s="1" t="s">
        <v>867</v>
      </c>
      <c r="H32" s="1" t="s">
        <v>363</v>
      </c>
      <c r="I32" s="36">
        <v>3</v>
      </c>
    </row>
    <row r="33" spans="5:9" x14ac:dyDescent="0.2">
      <c r="E33" s="1" t="s">
        <v>868</v>
      </c>
      <c r="H33" s="1" t="s">
        <v>364</v>
      </c>
      <c r="I33" s="36" t="s">
        <v>160</v>
      </c>
    </row>
    <row r="34" spans="5:9" x14ac:dyDescent="0.2">
      <c r="E34" s="1" t="s">
        <v>869</v>
      </c>
      <c r="H34" s="1" t="s">
        <v>365</v>
      </c>
      <c r="I34" s="22">
        <v>0</v>
      </c>
    </row>
    <row r="35" spans="5:9" x14ac:dyDescent="0.2">
      <c r="E35" s="1" t="s">
        <v>870</v>
      </c>
      <c r="H35" s="1" t="s">
        <v>366</v>
      </c>
      <c r="I35" s="36" t="s">
        <v>57</v>
      </c>
    </row>
    <row r="36" spans="5:9" x14ac:dyDescent="0.2">
      <c r="E36" s="1" t="s">
        <v>871</v>
      </c>
      <c r="H36" s="1" t="s">
        <v>367</v>
      </c>
      <c r="I36" s="36" t="s">
        <v>57</v>
      </c>
    </row>
    <row r="37" spans="5:9" x14ac:dyDescent="0.2">
      <c r="E37" s="1" t="s">
        <v>872</v>
      </c>
      <c r="H37" s="1" t="s">
        <v>368</v>
      </c>
      <c r="I37" s="36" t="s">
        <v>56</v>
      </c>
    </row>
    <row r="38" spans="5:9" x14ac:dyDescent="0.2">
      <c r="E38" s="1" t="s">
        <v>873</v>
      </c>
      <c r="H38" s="1" t="s">
        <v>369</v>
      </c>
      <c r="I38" s="36"/>
    </row>
    <row r="39" spans="5:9" x14ac:dyDescent="0.2">
      <c r="E39" s="1" t="s">
        <v>874</v>
      </c>
      <c r="H39" s="1" t="s">
        <v>370</v>
      </c>
      <c r="I39" s="36">
        <v>1990</v>
      </c>
    </row>
    <row r="40" spans="5:9" x14ac:dyDescent="0.2">
      <c r="E40" s="1" t="s">
        <v>875</v>
      </c>
      <c r="H40" s="1" t="s">
        <v>371</v>
      </c>
      <c r="I40" s="36"/>
    </row>
    <row r="41" spans="5:9" x14ac:dyDescent="0.2">
      <c r="E41" s="1" t="s">
        <v>876</v>
      </c>
      <c r="H41" s="1" t="s">
        <v>391</v>
      </c>
      <c r="I41" s="36" t="s">
        <v>386</v>
      </c>
    </row>
    <row r="42" spans="5:9" x14ac:dyDescent="0.2">
      <c r="E42" s="1" t="s">
        <v>877</v>
      </c>
    </row>
    <row r="43" spans="5:9" x14ac:dyDescent="0.2">
      <c r="E43" s="1" t="s">
        <v>878</v>
      </c>
    </row>
    <row r="44" spans="5:9" x14ac:dyDescent="0.2">
      <c r="E44" s="1" t="s">
        <v>879</v>
      </c>
    </row>
    <row r="45" spans="5:9" x14ac:dyDescent="0.2">
      <c r="E45" s="1" t="s">
        <v>880</v>
      </c>
    </row>
    <row r="46" spans="5:9" x14ac:dyDescent="0.2">
      <c r="E46" s="1" t="s">
        <v>881</v>
      </c>
    </row>
    <row r="47" spans="5:9" x14ac:dyDescent="0.2">
      <c r="E47" s="1" t="s">
        <v>882</v>
      </c>
    </row>
    <row r="48" spans="5:9" x14ac:dyDescent="0.2">
      <c r="E48" s="1" t="s">
        <v>883</v>
      </c>
    </row>
    <row r="49" spans="5:5" x14ac:dyDescent="0.2">
      <c r="E49" s="1" t="s">
        <v>884</v>
      </c>
    </row>
    <row r="50" spans="5:5" x14ac:dyDescent="0.2">
      <c r="E50" s="1" t="s">
        <v>885</v>
      </c>
    </row>
    <row r="51" spans="5:5" x14ac:dyDescent="0.2">
      <c r="E51" s="1" t="s">
        <v>886</v>
      </c>
    </row>
    <row r="52" spans="5:5" x14ac:dyDescent="0.2">
      <c r="E52" s="1" t="s">
        <v>887</v>
      </c>
    </row>
    <row r="53" spans="5:5" x14ac:dyDescent="0.2">
      <c r="E53" s="1" t="s">
        <v>888</v>
      </c>
    </row>
    <row r="54" spans="5:5" x14ac:dyDescent="0.2">
      <c r="E54" s="1" t="s">
        <v>889</v>
      </c>
    </row>
    <row r="55" spans="5:5" x14ac:dyDescent="0.2">
      <c r="E55" s="1" t="s">
        <v>890</v>
      </c>
    </row>
    <row r="56" spans="5:5" x14ac:dyDescent="0.2">
      <c r="E56" s="1" t="s">
        <v>891</v>
      </c>
    </row>
    <row r="57" spans="5:5" x14ac:dyDescent="0.2">
      <c r="E57" s="1" t="s">
        <v>892</v>
      </c>
    </row>
    <row r="58" spans="5:5" x14ac:dyDescent="0.2">
      <c r="E58" s="1" t="s">
        <v>893</v>
      </c>
    </row>
    <row r="59" spans="5:5" x14ac:dyDescent="0.2">
      <c r="E59" s="1" t="s">
        <v>894</v>
      </c>
    </row>
    <row r="60" spans="5:5" x14ac:dyDescent="0.2">
      <c r="E60" s="1" t="s">
        <v>895</v>
      </c>
    </row>
    <row r="61" spans="5:5" x14ac:dyDescent="0.2">
      <c r="E61" s="1" t="s">
        <v>896</v>
      </c>
    </row>
    <row r="62" spans="5:5" x14ac:dyDescent="0.2">
      <c r="E62" s="1" t="s">
        <v>897</v>
      </c>
    </row>
    <row r="63" spans="5:5" x14ac:dyDescent="0.2">
      <c r="E63" s="1" t="s">
        <v>898</v>
      </c>
    </row>
    <row r="64" spans="5:5" x14ac:dyDescent="0.2">
      <c r="E64" s="1" t="s">
        <v>899</v>
      </c>
    </row>
    <row r="65" spans="5:5" x14ac:dyDescent="0.2">
      <c r="E65" s="1" t="s">
        <v>900</v>
      </c>
    </row>
    <row r="66" spans="5:5" x14ac:dyDescent="0.2">
      <c r="E66" s="1" t="s">
        <v>901</v>
      </c>
    </row>
    <row r="67" spans="5:5" x14ac:dyDescent="0.2">
      <c r="E67" s="1" t="s">
        <v>902</v>
      </c>
    </row>
    <row r="68" spans="5:5" x14ac:dyDescent="0.2">
      <c r="E68" s="1" t="s">
        <v>903</v>
      </c>
    </row>
    <row r="69" spans="5:5" x14ac:dyDescent="0.2">
      <c r="E69" s="1" t="s">
        <v>904</v>
      </c>
    </row>
    <row r="70" spans="5:5" x14ac:dyDescent="0.2">
      <c r="E70" s="1" t="s">
        <v>905</v>
      </c>
    </row>
    <row r="71" spans="5:5" x14ac:dyDescent="0.2">
      <c r="E71" s="1" t="s">
        <v>906</v>
      </c>
    </row>
    <row r="72" spans="5:5" x14ac:dyDescent="0.2">
      <c r="E72" s="1" t="s">
        <v>907</v>
      </c>
    </row>
    <row r="73" spans="5:5" x14ac:dyDescent="0.2">
      <c r="E73" s="1" t="s">
        <v>908</v>
      </c>
    </row>
    <row r="74" spans="5:5" x14ac:dyDescent="0.2">
      <c r="E74" s="1" t="s">
        <v>909</v>
      </c>
    </row>
    <row r="75" spans="5:5" x14ac:dyDescent="0.2">
      <c r="E75" s="1" t="s">
        <v>910</v>
      </c>
    </row>
    <row r="76" spans="5:5" x14ac:dyDescent="0.2">
      <c r="E76" s="1" t="s">
        <v>911</v>
      </c>
    </row>
    <row r="77" spans="5:5" x14ac:dyDescent="0.2">
      <c r="E77" s="1" t="s">
        <v>912</v>
      </c>
    </row>
    <row r="78" spans="5:5" x14ac:dyDescent="0.2">
      <c r="E78" s="1" t="s">
        <v>913</v>
      </c>
    </row>
    <row r="79" spans="5:5" x14ac:dyDescent="0.2">
      <c r="E79" s="1" t="s">
        <v>914</v>
      </c>
    </row>
    <row r="80" spans="5:5" x14ac:dyDescent="0.2">
      <c r="E80" s="1" t="s">
        <v>915</v>
      </c>
    </row>
    <row r="81" spans="5:5" x14ac:dyDescent="0.2">
      <c r="E81" s="1" t="s">
        <v>916</v>
      </c>
    </row>
    <row r="82" spans="5:5" x14ac:dyDescent="0.2">
      <c r="E82" s="1" t="s">
        <v>917</v>
      </c>
    </row>
    <row r="83" spans="5:5" x14ac:dyDescent="0.2">
      <c r="E83" s="1" t="s">
        <v>918</v>
      </c>
    </row>
    <row r="84" spans="5:5" x14ac:dyDescent="0.2">
      <c r="E84" s="1" t="s">
        <v>919</v>
      </c>
    </row>
    <row r="85" spans="5:5" x14ac:dyDescent="0.2">
      <c r="E85" s="1" t="s">
        <v>920</v>
      </c>
    </row>
    <row r="86" spans="5:5" x14ac:dyDescent="0.2">
      <c r="E86" s="1" t="s">
        <v>921</v>
      </c>
    </row>
    <row r="87" spans="5:5" x14ac:dyDescent="0.2">
      <c r="E87" s="1" t="s">
        <v>922</v>
      </c>
    </row>
    <row r="88" spans="5:5" x14ac:dyDescent="0.2">
      <c r="E88" s="1" t="s">
        <v>923</v>
      </c>
    </row>
    <row r="89" spans="5:5" x14ac:dyDescent="0.2">
      <c r="E89" s="1" t="s">
        <v>924</v>
      </c>
    </row>
    <row r="90" spans="5:5" x14ac:dyDescent="0.2">
      <c r="E90" s="1" t="s">
        <v>925</v>
      </c>
    </row>
    <row r="91" spans="5:5" x14ac:dyDescent="0.2">
      <c r="E91" s="1" t="s">
        <v>926</v>
      </c>
    </row>
    <row r="92" spans="5:5" x14ac:dyDescent="0.2">
      <c r="E92" s="1" t="s">
        <v>927</v>
      </c>
    </row>
    <row r="93" spans="5:5" x14ac:dyDescent="0.2">
      <c r="E93" s="1" t="s">
        <v>928</v>
      </c>
    </row>
  </sheetData>
  <mergeCells count="3">
    <mergeCell ref="H1:I1"/>
    <mergeCell ref="D1:E1"/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AV48"/>
  <sheetViews>
    <sheetView topLeftCell="D1" workbookViewId="0">
      <selection activeCell="D34" sqref="D34"/>
    </sheetView>
  </sheetViews>
  <sheetFormatPr defaultRowHeight="12.75" x14ac:dyDescent="0.2"/>
  <cols>
    <col min="1" max="1" width="4" bestFit="1" customWidth="1"/>
    <col min="2" max="2" width="33.5703125" bestFit="1" customWidth="1"/>
    <col min="3" max="3" width="28" bestFit="1" customWidth="1"/>
    <col min="4" max="4" width="11.28515625" bestFit="1" customWidth="1"/>
    <col min="5" max="5" width="8" style="229" bestFit="1" customWidth="1"/>
    <col min="6" max="6" width="8.140625" bestFit="1" customWidth="1"/>
    <col min="7" max="7" width="9.28515625" style="229" customWidth="1"/>
    <col min="8" max="8" width="11.7109375" bestFit="1" customWidth="1"/>
    <col min="9" max="9" width="14.5703125" bestFit="1" customWidth="1"/>
    <col min="10" max="10" width="12.42578125" bestFit="1" customWidth="1"/>
    <col min="11" max="11" width="28.42578125" bestFit="1" customWidth="1"/>
    <col min="12" max="12" width="18.42578125" bestFit="1" customWidth="1"/>
    <col min="13" max="13" width="29.140625" bestFit="1" customWidth="1"/>
    <col min="14" max="14" width="12.5703125" bestFit="1" customWidth="1"/>
    <col min="15" max="15" width="9.42578125" bestFit="1" customWidth="1"/>
    <col min="16" max="16" width="12.140625" bestFit="1" customWidth="1"/>
    <col min="17" max="17" width="13.7109375" bestFit="1" customWidth="1"/>
    <col min="18" max="18" width="23.28515625" bestFit="1" customWidth="1"/>
    <col min="19" max="19" width="10.42578125" bestFit="1" customWidth="1"/>
    <col min="20" max="20" width="17.85546875" bestFit="1" customWidth="1"/>
    <col min="21" max="21" width="13.5703125" bestFit="1" customWidth="1"/>
    <col min="22" max="22" width="14.7109375" bestFit="1" customWidth="1"/>
    <col min="23" max="23" width="15.42578125" bestFit="1" customWidth="1"/>
    <col min="24" max="24" width="16.28515625" bestFit="1" customWidth="1"/>
    <col min="25" max="25" width="27.42578125" bestFit="1" customWidth="1"/>
    <col min="26" max="26" width="20.7109375" bestFit="1" customWidth="1"/>
    <col min="27" max="27" width="14.7109375" bestFit="1" customWidth="1"/>
    <col min="28" max="28" width="21.5703125" bestFit="1" customWidth="1"/>
    <col min="29" max="30" width="13.85546875" bestFit="1" customWidth="1"/>
    <col min="31" max="31" width="22.140625" bestFit="1" customWidth="1"/>
    <col min="32" max="32" width="13.85546875" bestFit="1" customWidth="1"/>
    <col min="33" max="33" width="12" bestFit="1" customWidth="1"/>
    <col min="34" max="34" width="10.42578125" bestFit="1" customWidth="1"/>
    <col min="35" max="35" width="15.42578125" bestFit="1" customWidth="1"/>
    <col min="36" max="36" width="34.42578125" bestFit="1" customWidth="1"/>
    <col min="37" max="37" width="4" bestFit="1" customWidth="1"/>
    <col min="38" max="38" width="29" bestFit="1" customWidth="1"/>
    <col min="39" max="39" width="29" customWidth="1"/>
    <col min="40" max="40" width="11.140625" bestFit="1" customWidth="1"/>
    <col min="41" max="42" width="29.85546875" bestFit="1" customWidth="1"/>
    <col min="43" max="43" width="10" bestFit="1" customWidth="1"/>
    <col min="44" max="44" width="13.5703125" bestFit="1" customWidth="1"/>
    <col min="45" max="45" width="21.85546875" bestFit="1" customWidth="1"/>
    <col min="46" max="46" width="29.28515625" bestFit="1" customWidth="1"/>
    <col min="47" max="47" width="17" bestFit="1" customWidth="1"/>
    <col min="48" max="48" width="20.5703125" bestFit="1" customWidth="1"/>
  </cols>
  <sheetData>
    <row r="2" spans="1:48" ht="134.25" customHeight="1" x14ac:dyDescent="0.2"/>
    <row r="3" spans="1:48" x14ac:dyDescent="0.2">
      <c r="B3" t="s">
        <v>719</v>
      </c>
      <c r="C3" t="s">
        <v>720</v>
      </c>
      <c r="D3" t="s">
        <v>721</v>
      </c>
      <c r="E3" s="229" t="s">
        <v>722</v>
      </c>
      <c r="F3" t="s">
        <v>723</v>
      </c>
      <c r="G3" s="229" t="s">
        <v>724</v>
      </c>
      <c r="H3" t="s">
        <v>725</v>
      </c>
      <c r="I3" t="s">
        <v>726</v>
      </c>
      <c r="J3" t="s">
        <v>727</v>
      </c>
      <c r="K3" t="s">
        <v>728</v>
      </c>
      <c r="L3" t="s">
        <v>729</v>
      </c>
      <c r="M3" t="s">
        <v>730</v>
      </c>
      <c r="N3" t="s">
        <v>731</v>
      </c>
      <c r="O3" t="s">
        <v>732</v>
      </c>
      <c r="P3" t="s">
        <v>733</v>
      </c>
      <c r="Q3" t="s">
        <v>734</v>
      </c>
      <c r="R3" t="s">
        <v>735</v>
      </c>
      <c r="S3" t="s">
        <v>736</v>
      </c>
      <c r="T3" t="s">
        <v>737</v>
      </c>
      <c r="U3" t="s">
        <v>738</v>
      </c>
      <c r="V3" t="s">
        <v>739</v>
      </c>
      <c r="W3" t="s">
        <v>740</v>
      </c>
      <c r="X3" t="s">
        <v>741</v>
      </c>
      <c r="Y3" t="s">
        <v>742</v>
      </c>
      <c r="Z3" t="s">
        <v>743</v>
      </c>
      <c r="AA3" t="s">
        <v>744</v>
      </c>
      <c r="AB3" t="s">
        <v>745</v>
      </c>
      <c r="AC3" t="s">
        <v>746</v>
      </c>
      <c r="AD3" t="s">
        <v>747</v>
      </c>
      <c r="AE3" t="s">
        <v>748</v>
      </c>
      <c r="AF3" t="s">
        <v>749</v>
      </c>
      <c r="AG3" t="s">
        <v>750</v>
      </c>
      <c r="AH3" t="s">
        <v>751</v>
      </c>
      <c r="AI3" t="s">
        <v>752</v>
      </c>
      <c r="AJ3" t="s">
        <v>753</v>
      </c>
      <c r="AK3" t="s">
        <v>754</v>
      </c>
      <c r="AL3" t="s">
        <v>755</v>
      </c>
      <c r="AM3" s="218" t="s">
        <v>1015</v>
      </c>
      <c r="AN3" t="s">
        <v>756</v>
      </c>
      <c r="AO3" t="s">
        <v>757</v>
      </c>
      <c r="AP3" t="s">
        <v>758</v>
      </c>
      <c r="AQ3" s="218" t="s">
        <v>1016</v>
      </c>
      <c r="AR3" s="218" t="s">
        <v>1017</v>
      </c>
      <c r="AS3" s="218" t="s">
        <v>1018</v>
      </c>
      <c r="AT3" t="s">
        <v>759</v>
      </c>
      <c r="AU3" t="s">
        <v>760</v>
      </c>
      <c r="AV3" t="s">
        <v>761</v>
      </c>
    </row>
    <row r="4" spans="1:48" ht="12" customHeight="1" x14ac:dyDescent="0.2">
      <c r="A4">
        <v>332</v>
      </c>
      <c r="B4" t="s">
        <v>1066</v>
      </c>
      <c r="C4" t="s">
        <v>1067</v>
      </c>
      <c r="D4">
        <v>29</v>
      </c>
      <c r="E4" s="229">
        <v>0</v>
      </c>
      <c r="F4" t="s">
        <v>762</v>
      </c>
      <c r="G4" s="229">
        <v>250000</v>
      </c>
      <c r="H4">
        <v>350000</v>
      </c>
      <c r="I4">
        <v>1</v>
      </c>
      <c r="J4">
        <v>646160</v>
      </c>
      <c r="K4" t="b">
        <v>1</v>
      </c>
      <c r="L4" t="b">
        <v>1</v>
      </c>
      <c r="M4" t="s">
        <v>768</v>
      </c>
      <c r="N4">
        <v>65000</v>
      </c>
      <c r="O4">
        <v>50000</v>
      </c>
      <c r="P4" s="227">
        <v>42461</v>
      </c>
      <c r="Q4" s="227">
        <v>42826</v>
      </c>
      <c r="R4">
        <v>30</v>
      </c>
      <c r="S4">
        <v>0.06</v>
      </c>
      <c r="T4" t="b">
        <v>0</v>
      </c>
      <c r="U4">
        <v>5</v>
      </c>
      <c r="V4">
        <v>1</v>
      </c>
      <c r="W4" t="s">
        <v>764</v>
      </c>
      <c r="X4">
        <v>1</v>
      </c>
      <c r="Y4" t="s">
        <v>527</v>
      </c>
      <c r="Z4">
        <v>0</v>
      </c>
      <c r="AB4">
        <v>100</v>
      </c>
      <c r="AC4">
        <v>0</v>
      </c>
      <c r="AD4">
        <v>100000</v>
      </c>
      <c r="AE4">
        <v>0</v>
      </c>
      <c r="AF4">
        <v>100000</v>
      </c>
      <c r="AG4">
        <v>100</v>
      </c>
      <c r="AH4" t="s">
        <v>765</v>
      </c>
      <c r="AI4" t="b">
        <v>0</v>
      </c>
      <c r="AJ4" t="s">
        <v>1068</v>
      </c>
      <c r="AK4">
        <v>7</v>
      </c>
      <c r="AL4" t="b">
        <v>1</v>
      </c>
      <c r="AM4">
        <v>0</v>
      </c>
      <c r="AN4">
        <v>3.5000000000000003E-2</v>
      </c>
      <c r="AO4" t="s">
        <v>766</v>
      </c>
      <c r="AP4" t="s">
        <v>767</v>
      </c>
      <c r="AQ4">
        <v>0</v>
      </c>
      <c r="AR4" t="b">
        <v>1</v>
      </c>
      <c r="AS4" t="b">
        <v>0</v>
      </c>
      <c r="AT4">
        <v>0</v>
      </c>
      <c r="AU4" t="b">
        <v>0</v>
      </c>
      <c r="AV4">
        <v>29</v>
      </c>
    </row>
    <row r="5" spans="1:48" x14ac:dyDescent="0.2">
      <c r="A5">
        <v>333</v>
      </c>
      <c r="B5" t="s">
        <v>1069</v>
      </c>
      <c r="C5" t="s">
        <v>1067</v>
      </c>
      <c r="D5">
        <v>29</v>
      </c>
      <c r="E5" s="229">
        <v>0</v>
      </c>
      <c r="F5" t="s">
        <v>762</v>
      </c>
      <c r="G5" s="229">
        <v>0</v>
      </c>
      <c r="H5">
        <v>583553</v>
      </c>
      <c r="I5">
        <v>2</v>
      </c>
      <c r="J5">
        <v>1611500</v>
      </c>
      <c r="K5" t="b">
        <v>1</v>
      </c>
      <c r="L5" t="b">
        <v>1</v>
      </c>
      <c r="M5" t="s">
        <v>777</v>
      </c>
      <c r="N5">
        <v>60000</v>
      </c>
      <c r="O5">
        <v>50000</v>
      </c>
      <c r="P5" s="227">
        <v>42461</v>
      </c>
      <c r="Q5" s="227">
        <v>42826</v>
      </c>
      <c r="R5">
        <v>30</v>
      </c>
      <c r="S5">
        <v>0.06</v>
      </c>
      <c r="T5" t="b">
        <v>0</v>
      </c>
      <c r="U5">
        <v>5</v>
      </c>
      <c r="V5">
        <v>1</v>
      </c>
      <c r="W5" t="s">
        <v>764</v>
      </c>
      <c r="X5">
        <v>1</v>
      </c>
      <c r="Y5" t="s">
        <v>522</v>
      </c>
      <c r="Z5">
        <v>0</v>
      </c>
      <c r="AB5">
        <v>100</v>
      </c>
      <c r="AC5">
        <v>0</v>
      </c>
      <c r="AD5">
        <v>100000</v>
      </c>
      <c r="AE5">
        <v>0</v>
      </c>
      <c r="AF5">
        <v>100000</v>
      </c>
      <c r="AG5">
        <v>100</v>
      </c>
      <c r="AH5" t="s">
        <v>765</v>
      </c>
      <c r="AI5" t="b">
        <v>0</v>
      </c>
      <c r="AJ5" t="s">
        <v>1068</v>
      </c>
      <c r="AK5">
        <v>7</v>
      </c>
      <c r="AL5" t="b">
        <v>1</v>
      </c>
      <c r="AM5">
        <v>0</v>
      </c>
      <c r="AN5">
        <v>3.5000000000000003E-2</v>
      </c>
      <c r="AO5" t="s">
        <v>766</v>
      </c>
      <c r="AP5" t="s">
        <v>767</v>
      </c>
      <c r="AQ5">
        <v>0</v>
      </c>
      <c r="AR5" t="b">
        <v>1</v>
      </c>
      <c r="AS5" t="b">
        <v>0</v>
      </c>
      <c r="AT5">
        <v>0</v>
      </c>
      <c r="AU5" t="b">
        <v>0</v>
      </c>
      <c r="AV5">
        <v>29</v>
      </c>
    </row>
    <row r="6" spans="1:48" x14ac:dyDescent="0.2">
      <c r="A6">
        <v>334</v>
      </c>
      <c r="B6" t="s">
        <v>1070</v>
      </c>
      <c r="C6" t="s">
        <v>1067</v>
      </c>
      <c r="D6">
        <v>29</v>
      </c>
      <c r="E6" s="229">
        <v>0</v>
      </c>
      <c r="F6" t="s">
        <v>762</v>
      </c>
      <c r="G6" s="229">
        <v>0</v>
      </c>
      <c r="H6">
        <v>192370</v>
      </c>
      <c r="I6">
        <v>3</v>
      </c>
      <c r="J6">
        <v>477290</v>
      </c>
      <c r="K6" t="b">
        <v>1</v>
      </c>
      <c r="L6" t="b">
        <v>1</v>
      </c>
      <c r="M6" t="s">
        <v>777</v>
      </c>
      <c r="N6">
        <v>10000</v>
      </c>
      <c r="O6">
        <v>50000</v>
      </c>
      <c r="P6" s="227">
        <v>42461</v>
      </c>
      <c r="Q6" s="227">
        <v>42826</v>
      </c>
      <c r="R6">
        <v>30</v>
      </c>
      <c r="S6">
        <v>0.06</v>
      </c>
      <c r="T6" t="b">
        <v>0</v>
      </c>
      <c r="U6">
        <v>5</v>
      </c>
      <c r="V6">
        <v>1</v>
      </c>
      <c r="W6" t="s">
        <v>764</v>
      </c>
      <c r="X6">
        <v>1</v>
      </c>
      <c r="Y6" t="s">
        <v>522</v>
      </c>
      <c r="Z6">
        <v>0</v>
      </c>
      <c r="AB6">
        <v>100</v>
      </c>
      <c r="AC6">
        <v>0</v>
      </c>
      <c r="AD6">
        <v>100000</v>
      </c>
      <c r="AE6">
        <v>0</v>
      </c>
      <c r="AF6">
        <v>100000</v>
      </c>
      <c r="AG6">
        <v>100</v>
      </c>
      <c r="AH6" t="s">
        <v>765</v>
      </c>
      <c r="AI6" t="b">
        <v>0</v>
      </c>
      <c r="AJ6" t="s">
        <v>1068</v>
      </c>
      <c r="AK6">
        <v>7</v>
      </c>
      <c r="AL6" t="b">
        <v>1</v>
      </c>
      <c r="AM6">
        <v>0</v>
      </c>
      <c r="AN6">
        <v>3.5000000000000003E-2</v>
      </c>
      <c r="AO6" t="s">
        <v>766</v>
      </c>
      <c r="AP6" t="s">
        <v>767</v>
      </c>
      <c r="AQ6">
        <v>0</v>
      </c>
      <c r="AR6" t="b">
        <v>1</v>
      </c>
      <c r="AS6" t="b">
        <v>0</v>
      </c>
      <c r="AT6">
        <v>0</v>
      </c>
      <c r="AU6" t="b">
        <v>0</v>
      </c>
      <c r="AV6">
        <v>29</v>
      </c>
    </row>
    <row r="7" spans="1:48" x14ac:dyDescent="0.2">
      <c r="A7">
        <v>335</v>
      </c>
      <c r="B7" t="s">
        <v>1071</v>
      </c>
      <c r="C7" t="s">
        <v>1067</v>
      </c>
      <c r="D7">
        <v>22</v>
      </c>
      <c r="E7" s="229">
        <v>0</v>
      </c>
      <c r="F7" t="s">
        <v>762</v>
      </c>
      <c r="G7" s="229">
        <v>0</v>
      </c>
      <c r="H7">
        <v>800000</v>
      </c>
      <c r="I7">
        <v>4</v>
      </c>
      <c r="J7">
        <v>1651650</v>
      </c>
      <c r="K7" t="b">
        <v>1</v>
      </c>
      <c r="L7" t="b">
        <v>1</v>
      </c>
      <c r="M7" t="s">
        <v>777</v>
      </c>
      <c r="N7">
        <v>100000</v>
      </c>
      <c r="O7">
        <v>50000</v>
      </c>
      <c r="P7" s="227">
        <v>42461</v>
      </c>
      <c r="Q7" s="227">
        <v>42826</v>
      </c>
      <c r="R7">
        <v>30</v>
      </c>
      <c r="S7">
        <v>0.06</v>
      </c>
      <c r="T7" t="b">
        <v>0</v>
      </c>
      <c r="U7">
        <v>5</v>
      </c>
      <c r="V7">
        <v>1</v>
      </c>
      <c r="W7" t="s">
        <v>764</v>
      </c>
      <c r="X7">
        <v>1</v>
      </c>
      <c r="Y7" t="s">
        <v>522</v>
      </c>
      <c r="Z7">
        <v>0</v>
      </c>
      <c r="AB7">
        <v>100</v>
      </c>
      <c r="AC7">
        <v>0</v>
      </c>
      <c r="AD7">
        <v>100000</v>
      </c>
      <c r="AE7">
        <v>0</v>
      </c>
      <c r="AF7">
        <v>100000</v>
      </c>
      <c r="AG7">
        <v>100</v>
      </c>
      <c r="AH7" t="s">
        <v>765</v>
      </c>
      <c r="AI7" t="b">
        <v>0</v>
      </c>
      <c r="AJ7" t="s">
        <v>1068</v>
      </c>
      <c r="AK7">
        <v>7</v>
      </c>
      <c r="AL7" t="b">
        <v>1</v>
      </c>
      <c r="AM7">
        <v>0</v>
      </c>
      <c r="AN7">
        <v>3.5000000000000003E-2</v>
      </c>
      <c r="AO7" t="s">
        <v>766</v>
      </c>
      <c r="AP7" t="s">
        <v>767</v>
      </c>
      <c r="AQ7">
        <v>0</v>
      </c>
      <c r="AR7" t="b">
        <v>1</v>
      </c>
      <c r="AS7" t="b">
        <v>0</v>
      </c>
      <c r="AT7">
        <v>0</v>
      </c>
      <c r="AU7" t="b">
        <v>0</v>
      </c>
      <c r="AV7">
        <v>22</v>
      </c>
    </row>
    <row r="8" spans="1:48" x14ac:dyDescent="0.2">
      <c r="A8">
        <v>336</v>
      </c>
      <c r="B8" t="s">
        <v>1072</v>
      </c>
      <c r="C8" t="s">
        <v>1067</v>
      </c>
      <c r="D8">
        <v>26</v>
      </c>
      <c r="E8" s="229">
        <v>0</v>
      </c>
      <c r="F8" t="s">
        <v>762</v>
      </c>
      <c r="G8" s="229">
        <v>0</v>
      </c>
      <c r="H8">
        <v>68040</v>
      </c>
      <c r="I8">
        <v>5</v>
      </c>
      <c r="J8">
        <v>355743</v>
      </c>
      <c r="K8" t="b">
        <v>1</v>
      </c>
      <c r="L8" t="b">
        <v>1</v>
      </c>
      <c r="M8" t="s">
        <v>777</v>
      </c>
      <c r="N8">
        <v>0</v>
      </c>
      <c r="O8">
        <v>50000</v>
      </c>
      <c r="P8" s="227">
        <v>42461</v>
      </c>
      <c r="Q8" s="227">
        <v>42826</v>
      </c>
      <c r="R8">
        <v>30</v>
      </c>
      <c r="S8">
        <v>0.06</v>
      </c>
      <c r="T8" t="b">
        <v>0</v>
      </c>
      <c r="U8">
        <v>5</v>
      </c>
      <c r="V8">
        <v>1</v>
      </c>
      <c r="W8" t="s">
        <v>764</v>
      </c>
      <c r="X8">
        <v>1</v>
      </c>
      <c r="Y8" t="s">
        <v>522</v>
      </c>
      <c r="Z8">
        <v>0</v>
      </c>
      <c r="AB8">
        <v>100</v>
      </c>
      <c r="AC8">
        <v>0</v>
      </c>
      <c r="AD8">
        <v>100000</v>
      </c>
      <c r="AE8">
        <v>0</v>
      </c>
      <c r="AF8">
        <v>100000</v>
      </c>
      <c r="AG8">
        <v>100</v>
      </c>
      <c r="AH8" t="s">
        <v>765</v>
      </c>
      <c r="AI8" t="b">
        <v>0</v>
      </c>
      <c r="AJ8" t="s">
        <v>1068</v>
      </c>
      <c r="AK8">
        <v>7</v>
      </c>
      <c r="AL8" t="b">
        <v>1</v>
      </c>
      <c r="AM8">
        <v>0</v>
      </c>
      <c r="AN8">
        <v>3.5000000000000003E-2</v>
      </c>
      <c r="AO8" t="s">
        <v>766</v>
      </c>
      <c r="AP8" t="s">
        <v>767</v>
      </c>
      <c r="AQ8">
        <v>0</v>
      </c>
      <c r="AR8" t="b">
        <v>1</v>
      </c>
      <c r="AS8" t="b">
        <v>0</v>
      </c>
      <c r="AT8">
        <v>0</v>
      </c>
      <c r="AU8" t="b">
        <v>0</v>
      </c>
      <c r="AV8">
        <v>26</v>
      </c>
    </row>
    <row r="9" spans="1:48" x14ac:dyDescent="0.2">
      <c r="A9">
        <v>337</v>
      </c>
      <c r="B9" t="s">
        <v>1073</v>
      </c>
      <c r="C9" t="s">
        <v>1067</v>
      </c>
      <c r="D9">
        <v>20</v>
      </c>
      <c r="E9" s="229">
        <v>0</v>
      </c>
      <c r="F9" t="s">
        <v>762</v>
      </c>
      <c r="G9" s="229">
        <v>0</v>
      </c>
      <c r="H9">
        <v>4450000</v>
      </c>
      <c r="I9">
        <v>6</v>
      </c>
      <c r="J9">
        <v>4450000</v>
      </c>
      <c r="K9" t="b">
        <v>1</v>
      </c>
      <c r="L9" t="b">
        <v>1</v>
      </c>
      <c r="M9" t="s">
        <v>777</v>
      </c>
      <c r="N9">
        <v>250000</v>
      </c>
      <c r="O9">
        <v>50000</v>
      </c>
      <c r="P9" s="227">
        <v>42461</v>
      </c>
      <c r="Q9" s="227">
        <v>42826</v>
      </c>
      <c r="R9">
        <v>30</v>
      </c>
      <c r="S9">
        <v>0.06</v>
      </c>
      <c r="T9" t="b">
        <v>0</v>
      </c>
      <c r="U9">
        <v>5</v>
      </c>
      <c r="V9">
        <v>1</v>
      </c>
      <c r="W9" t="s">
        <v>764</v>
      </c>
      <c r="X9">
        <v>1</v>
      </c>
      <c r="Y9" t="s">
        <v>522</v>
      </c>
      <c r="Z9">
        <v>0</v>
      </c>
      <c r="AB9">
        <v>100</v>
      </c>
      <c r="AC9">
        <v>0</v>
      </c>
      <c r="AD9">
        <v>100000</v>
      </c>
      <c r="AE9">
        <v>0</v>
      </c>
      <c r="AF9">
        <v>100000</v>
      </c>
      <c r="AG9">
        <v>100</v>
      </c>
      <c r="AH9" t="s">
        <v>765</v>
      </c>
      <c r="AI9" t="b">
        <v>0</v>
      </c>
      <c r="AJ9" t="s">
        <v>1068</v>
      </c>
      <c r="AK9">
        <v>7</v>
      </c>
      <c r="AL9" t="b">
        <v>1</v>
      </c>
      <c r="AM9">
        <v>0</v>
      </c>
      <c r="AN9">
        <v>3.5000000000000003E-2</v>
      </c>
      <c r="AO9" t="s">
        <v>766</v>
      </c>
      <c r="AP9" t="s">
        <v>767</v>
      </c>
      <c r="AQ9">
        <v>0</v>
      </c>
      <c r="AR9" t="b">
        <v>1</v>
      </c>
      <c r="AS9" t="b">
        <v>0</v>
      </c>
      <c r="AT9">
        <v>0</v>
      </c>
      <c r="AU9" t="b">
        <v>0</v>
      </c>
      <c r="AV9">
        <v>20</v>
      </c>
    </row>
    <row r="10" spans="1:48" x14ac:dyDescent="0.2">
      <c r="A10">
        <v>338</v>
      </c>
      <c r="B10" t="s">
        <v>1074</v>
      </c>
      <c r="C10" t="s">
        <v>1067</v>
      </c>
      <c r="D10">
        <v>11</v>
      </c>
      <c r="E10" s="229">
        <v>0</v>
      </c>
      <c r="F10" t="s">
        <v>762</v>
      </c>
      <c r="G10" s="229">
        <v>0</v>
      </c>
      <c r="H10">
        <v>60000</v>
      </c>
      <c r="I10">
        <v>7</v>
      </c>
      <c r="J10">
        <v>368000</v>
      </c>
      <c r="K10" t="b">
        <v>1</v>
      </c>
      <c r="L10" t="b">
        <v>1</v>
      </c>
      <c r="M10" t="s">
        <v>769</v>
      </c>
      <c r="N10">
        <v>7500</v>
      </c>
      <c r="O10">
        <v>50000</v>
      </c>
      <c r="P10" s="227">
        <v>42461</v>
      </c>
      <c r="Q10" s="227">
        <v>42826</v>
      </c>
      <c r="R10">
        <v>30</v>
      </c>
      <c r="S10">
        <v>0.06</v>
      </c>
      <c r="T10" t="b">
        <v>0</v>
      </c>
      <c r="U10">
        <v>5</v>
      </c>
      <c r="V10">
        <v>1</v>
      </c>
      <c r="W10" t="s">
        <v>764</v>
      </c>
      <c r="X10">
        <v>1</v>
      </c>
      <c r="Y10" t="s">
        <v>527</v>
      </c>
      <c r="Z10">
        <v>0</v>
      </c>
      <c r="AB10">
        <v>100</v>
      </c>
      <c r="AC10">
        <v>0</v>
      </c>
      <c r="AD10">
        <v>100000</v>
      </c>
      <c r="AE10">
        <v>0</v>
      </c>
      <c r="AF10">
        <v>100000</v>
      </c>
      <c r="AG10">
        <v>100</v>
      </c>
      <c r="AH10" t="s">
        <v>765</v>
      </c>
      <c r="AI10" t="b">
        <v>0</v>
      </c>
      <c r="AJ10" t="s">
        <v>1068</v>
      </c>
      <c r="AK10">
        <v>7</v>
      </c>
      <c r="AL10" t="b">
        <v>1</v>
      </c>
      <c r="AM10">
        <v>0</v>
      </c>
      <c r="AN10">
        <v>3.5000000000000003E-2</v>
      </c>
      <c r="AO10" t="s">
        <v>766</v>
      </c>
      <c r="AP10" t="s">
        <v>767</v>
      </c>
      <c r="AQ10">
        <v>0</v>
      </c>
      <c r="AR10" t="b">
        <v>1</v>
      </c>
      <c r="AS10" t="b">
        <v>0</v>
      </c>
      <c r="AT10">
        <v>0</v>
      </c>
      <c r="AU10" t="b">
        <v>0</v>
      </c>
      <c r="AV10">
        <v>11</v>
      </c>
    </row>
    <row r="11" spans="1:48" x14ac:dyDescent="0.2">
      <c r="A11">
        <v>339</v>
      </c>
      <c r="B11" t="s">
        <v>1075</v>
      </c>
      <c r="C11" t="s">
        <v>1067</v>
      </c>
      <c r="D11">
        <v>96</v>
      </c>
      <c r="E11" s="229">
        <v>0</v>
      </c>
      <c r="F11" t="s">
        <v>762</v>
      </c>
      <c r="G11" s="229">
        <v>0</v>
      </c>
      <c r="H11">
        <v>145000</v>
      </c>
      <c r="I11">
        <v>8</v>
      </c>
      <c r="J11">
        <v>368000</v>
      </c>
      <c r="K11" t="b">
        <v>1</v>
      </c>
      <c r="L11" t="b">
        <v>1</v>
      </c>
      <c r="M11" t="s">
        <v>769</v>
      </c>
      <c r="N11">
        <v>35000</v>
      </c>
      <c r="O11">
        <v>50000</v>
      </c>
      <c r="P11" s="227">
        <v>42461</v>
      </c>
      <c r="Q11" s="227">
        <v>42826</v>
      </c>
      <c r="R11">
        <v>30</v>
      </c>
      <c r="S11">
        <v>0.06</v>
      </c>
      <c r="T11" t="b">
        <v>0</v>
      </c>
      <c r="U11">
        <v>5</v>
      </c>
      <c r="V11">
        <v>1</v>
      </c>
      <c r="W11" t="s">
        <v>764</v>
      </c>
      <c r="X11">
        <v>1</v>
      </c>
      <c r="Y11" t="s">
        <v>527</v>
      </c>
      <c r="Z11">
        <v>0</v>
      </c>
      <c r="AB11">
        <v>100</v>
      </c>
      <c r="AC11">
        <v>0</v>
      </c>
      <c r="AD11">
        <v>100000</v>
      </c>
      <c r="AE11">
        <v>0</v>
      </c>
      <c r="AF11">
        <v>100000</v>
      </c>
      <c r="AG11">
        <v>100</v>
      </c>
      <c r="AH11" t="s">
        <v>765</v>
      </c>
      <c r="AI11" t="b">
        <v>0</v>
      </c>
      <c r="AJ11" t="s">
        <v>1068</v>
      </c>
      <c r="AK11">
        <v>7</v>
      </c>
      <c r="AL11" t="b">
        <v>1</v>
      </c>
      <c r="AM11">
        <v>0</v>
      </c>
      <c r="AN11">
        <v>3.5000000000000003E-2</v>
      </c>
      <c r="AO11" t="s">
        <v>766</v>
      </c>
      <c r="AP11" t="s">
        <v>767</v>
      </c>
      <c r="AQ11">
        <v>0</v>
      </c>
      <c r="AR11" t="b">
        <v>1</v>
      </c>
      <c r="AS11" t="b">
        <v>0</v>
      </c>
      <c r="AT11">
        <v>0</v>
      </c>
      <c r="AU11" t="b">
        <v>0</v>
      </c>
      <c r="AV11">
        <v>96</v>
      </c>
    </row>
    <row r="12" spans="1:48" x14ac:dyDescent="0.2">
      <c r="A12">
        <v>340</v>
      </c>
      <c r="B12" t="s">
        <v>1076</v>
      </c>
      <c r="C12" t="s">
        <v>1077</v>
      </c>
      <c r="D12">
        <v>16</v>
      </c>
      <c r="E12" s="229">
        <v>0</v>
      </c>
      <c r="F12" t="s">
        <v>762</v>
      </c>
      <c r="G12" s="229">
        <v>0</v>
      </c>
      <c r="H12">
        <v>400000</v>
      </c>
      <c r="I12">
        <v>1</v>
      </c>
      <c r="J12">
        <v>736000</v>
      </c>
      <c r="K12" t="b">
        <v>1</v>
      </c>
      <c r="L12" t="b">
        <v>1</v>
      </c>
      <c r="M12" t="s">
        <v>769</v>
      </c>
      <c r="N12">
        <v>65000</v>
      </c>
      <c r="O12">
        <v>50000</v>
      </c>
      <c r="P12" s="227">
        <v>42461</v>
      </c>
      <c r="Q12" s="227">
        <v>42826</v>
      </c>
      <c r="R12">
        <v>30</v>
      </c>
      <c r="S12">
        <v>0.06</v>
      </c>
      <c r="T12" t="b">
        <v>0</v>
      </c>
      <c r="U12">
        <v>5</v>
      </c>
      <c r="V12">
        <v>2</v>
      </c>
      <c r="W12" t="s">
        <v>764</v>
      </c>
      <c r="X12">
        <v>1</v>
      </c>
      <c r="Y12" t="s">
        <v>527</v>
      </c>
      <c r="Z12">
        <v>0</v>
      </c>
      <c r="AB12">
        <v>100</v>
      </c>
      <c r="AC12">
        <v>0</v>
      </c>
      <c r="AD12">
        <v>100000</v>
      </c>
      <c r="AE12">
        <v>0</v>
      </c>
      <c r="AF12">
        <v>100000</v>
      </c>
      <c r="AG12">
        <v>100</v>
      </c>
      <c r="AH12" t="s">
        <v>765</v>
      </c>
      <c r="AI12" t="b">
        <v>0</v>
      </c>
      <c r="AJ12" t="s">
        <v>1068</v>
      </c>
      <c r="AK12">
        <v>7</v>
      </c>
      <c r="AL12" t="b">
        <v>1</v>
      </c>
      <c r="AM12">
        <v>0</v>
      </c>
      <c r="AN12">
        <v>3.5000000000000003E-2</v>
      </c>
      <c r="AO12" t="s">
        <v>766</v>
      </c>
      <c r="AP12" t="s">
        <v>767</v>
      </c>
      <c r="AQ12">
        <v>0</v>
      </c>
      <c r="AR12" t="b">
        <v>1</v>
      </c>
      <c r="AS12" t="b">
        <v>0</v>
      </c>
      <c r="AT12">
        <v>0</v>
      </c>
      <c r="AU12" t="b">
        <v>0</v>
      </c>
      <c r="AV12">
        <v>16</v>
      </c>
    </row>
    <row r="13" spans="1:48" x14ac:dyDescent="0.2">
      <c r="A13">
        <v>341</v>
      </c>
      <c r="B13" t="s">
        <v>1078</v>
      </c>
      <c r="C13" t="s">
        <v>1077</v>
      </c>
      <c r="D13">
        <v>96</v>
      </c>
      <c r="E13" s="229">
        <v>0</v>
      </c>
      <c r="F13" t="s">
        <v>762</v>
      </c>
      <c r="G13" s="229">
        <v>0</v>
      </c>
      <c r="H13">
        <v>350000</v>
      </c>
      <c r="I13">
        <v>2</v>
      </c>
      <c r="J13">
        <v>2552700</v>
      </c>
      <c r="K13" t="b">
        <v>1</v>
      </c>
      <c r="L13" t="b">
        <v>1</v>
      </c>
      <c r="M13" t="s">
        <v>777</v>
      </c>
      <c r="N13">
        <v>65000</v>
      </c>
      <c r="O13">
        <v>50000</v>
      </c>
      <c r="P13" s="227">
        <v>42461</v>
      </c>
      <c r="Q13" s="227">
        <v>42826</v>
      </c>
      <c r="R13">
        <v>30</v>
      </c>
      <c r="S13">
        <v>0.06</v>
      </c>
      <c r="T13" t="b">
        <v>0</v>
      </c>
      <c r="U13">
        <v>5</v>
      </c>
      <c r="V13">
        <v>2</v>
      </c>
      <c r="W13" t="s">
        <v>764</v>
      </c>
      <c r="X13">
        <v>1</v>
      </c>
      <c r="Y13" t="s">
        <v>544</v>
      </c>
      <c r="Z13">
        <v>0</v>
      </c>
      <c r="AB13">
        <v>100</v>
      </c>
      <c r="AC13">
        <v>0</v>
      </c>
      <c r="AD13">
        <v>100000</v>
      </c>
      <c r="AE13">
        <v>0</v>
      </c>
      <c r="AF13">
        <v>100000</v>
      </c>
      <c r="AG13">
        <v>100</v>
      </c>
      <c r="AH13" t="s">
        <v>765</v>
      </c>
      <c r="AI13" t="b">
        <v>0</v>
      </c>
      <c r="AJ13" t="s">
        <v>1068</v>
      </c>
      <c r="AK13">
        <v>7</v>
      </c>
      <c r="AL13" t="b">
        <v>1</v>
      </c>
      <c r="AM13">
        <v>0</v>
      </c>
      <c r="AN13">
        <v>3.5000000000000003E-2</v>
      </c>
      <c r="AO13" t="s">
        <v>766</v>
      </c>
      <c r="AP13" t="s">
        <v>767</v>
      </c>
      <c r="AQ13">
        <v>0</v>
      </c>
      <c r="AR13" t="b">
        <v>1</v>
      </c>
      <c r="AS13" t="b">
        <v>0</v>
      </c>
      <c r="AT13">
        <v>0</v>
      </c>
      <c r="AU13" t="b">
        <v>0</v>
      </c>
      <c r="AV13">
        <v>96</v>
      </c>
    </row>
    <row r="14" spans="1:48" x14ac:dyDescent="0.2">
      <c r="A14">
        <v>342</v>
      </c>
      <c r="B14" t="s">
        <v>1079</v>
      </c>
      <c r="C14" t="s">
        <v>1080</v>
      </c>
      <c r="D14">
        <v>96</v>
      </c>
      <c r="E14" s="229">
        <v>0</v>
      </c>
      <c r="F14" t="s">
        <v>762</v>
      </c>
      <c r="G14" s="229">
        <v>0</v>
      </c>
      <c r="H14">
        <v>128000</v>
      </c>
      <c r="I14">
        <v>1</v>
      </c>
      <c r="J14">
        <v>230595</v>
      </c>
      <c r="K14" t="b">
        <v>1</v>
      </c>
      <c r="L14" t="b">
        <v>1</v>
      </c>
      <c r="M14" t="s">
        <v>768</v>
      </c>
      <c r="N14">
        <v>0</v>
      </c>
      <c r="O14">
        <v>50000</v>
      </c>
      <c r="P14" s="227">
        <v>42461</v>
      </c>
      <c r="Q14" s="227">
        <v>42826</v>
      </c>
      <c r="R14">
        <v>30</v>
      </c>
      <c r="S14">
        <v>0.06</v>
      </c>
      <c r="T14" t="b">
        <v>0</v>
      </c>
      <c r="U14">
        <v>5</v>
      </c>
      <c r="V14">
        <v>3</v>
      </c>
      <c r="W14" t="s">
        <v>764</v>
      </c>
      <c r="X14">
        <v>1</v>
      </c>
      <c r="Y14" t="s">
        <v>544</v>
      </c>
      <c r="Z14">
        <v>0</v>
      </c>
      <c r="AB14">
        <v>100</v>
      </c>
      <c r="AC14">
        <v>0</v>
      </c>
      <c r="AD14">
        <v>100000</v>
      </c>
      <c r="AE14">
        <v>0</v>
      </c>
      <c r="AF14">
        <v>100000</v>
      </c>
      <c r="AG14">
        <v>100</v>
      </c>
      <c r="AH14" t="s">
        <v>765</v>
      </c>
      <c r="AI14" t="b">
        <v>0</v>
      </c>
      <c r="AJ14" t="s">
        <v>1068</v>
      </c>
      <c r="AK14">
        <v>7</v>
      </c>
      <c r="AL14" t="b">
        <v>1</v>
      </c>
      <c r="AM14">
        <v>0</v>
      </c>
      <c r="AN14">
        <v>3.5000000000000003E-2</v>
      </c>
      <c r="AO14" t="s">
        <v>766</v>
      </c>
      <c r="AP14" t="s">
        <v>767</v>
      </c>
      <c r="AQ14">
        <v>0</v>
      </c>
      <c r="AR14" t="b">
        <v>1</v>
      </c>
      <c r="AS14" t="b">
        <v>0</v>
      </c>
      <c r="AT14">
        <v>0</v>
      </c>
      <c r="AU14" t="b">
        <v>0</v>
      </c>
      <c r="AV14">
        <v>96</v>
      </c>
    </row>
    <row r="15" spans="1:48" x14ac:dyDescent="0.2">
      <c r="P15" s="227"/>
      <c r="Q15" s="227"/>
    </row>
    <row r="16" spans="1:48" x14ac:dyDescent="0.2">
      <c r="P16" s="227"/>
      <c r="Q16" s="227"/>
    </row>
    <row r="17" spans="16:17" x14ac:dyDescent="0.2">
      <c r="P17" s="227"/>
      <c r="Q17" s="227"/>
    </row>
    <row r="18" spans="16:17" x14ac:dyDescent="0.2">
      <c r="P18" s="227"/>
      <c r="Q18" s="227"/>
    </row>
    <row r="19" spans="16:17" x14ac:dyDescent="0.2">
      <c r="P19" s="227"/>
      <c r="Q19" s="227"/>
    </row>
    <row r="20" spans="16:17" x14ac:dyDescent="0.2">
      <c r="P20" s="227"/>
      <c r="Q20" s="227"/>
    </row>
    <row r="21" spans="16:17" x14ac:dyDescent="0.2">
      <c r="P21" s="227"/>
      <c r="Q21" s="227"/>
    </row>
    <row r="22" spans="16:17" x14ac:dyDescent="0.2">
      <c r="P22" s="227"/>
      <c r="Q22" s="227"/>
    </row>
    <row r="23" spans="16:17" x14ac:dyDescent="0.2">
      <c r="P23" s="227"/>
      <c r="Q23" s="227"/>
    </row>
    <row r="24" spans="16:17" x14ac:dyDescent="0.2">
      <c r="P24" s="227"/>
      <c r="Q24" s="227"/>
    </row>
    <row r="25" spans="16:17" x14ac:dyDescent="0.2">
      <c r="P25" s="227"/>
      <c r="Q25" s="227"/>
    </row>
    <row r="26" spans="16:17" x14ac:dyDescent="0.2">
      <c r="P26" s="227"/>
      <c r="Q26" s="227"/>
    </row>
    <row r="27" spans="16:17" x14ac:dyDescent="0.2">
      <c r="P27" s="227"/>
      <c r="Q27" s="227"/>
    </row>
    <row r="28" spans="16:17" x14ac:dyDescent="0.2">
      <c r="P28" s="227"/>
      <c r="Q28" s="227"/>
    </row>
    <row r="29" spans="16:17" x14ac:dyDescent="0.2">
      <c r="P29" s="227"/>
      <c r="Q29" s="227"/>
    </row>
    <row r="30" spans="16:17" x14ac:dyDescent="0.2">
      <c r="P30" s="227"/>
      <c r="Q30" s="227"/>
    </row>
    <row r="31" spans="16:17" x14ac:dyDescent="0.2">
      <c r="P31" s="227"/>
      <c r="Q31" s="227"/>
    </row>
    <row r="32" spans="16:17" x14ac:dyDescent="0.2">
      <c r="P32" s="227"/>
      <c r="Q32" s="227"/>
    </row>
    <row r="33" spans="16:17" x14ac:dyDescent="0.2">
      <c r="P33" s="227"/>
      <c r="Q33" s="227"/>
    </row>
    <row r="34" spans="16:17" x14ac:dyDescent="0.2">
      <c r="P34" s="227"/>
      <c r="Q34" s="227"/>
    </row>
    <row r="35" spans="16:17" x14ac:dyDescent="0.2">
      <c r="P35" s="227"/>
      <c r="Q35" s="227"/>
    </row>
    <row r="36" spans="16:17" x14ac:dyDescent="0.2">
      <c r="P36" s="227"/>
      <c r="Q36" s="227"/>
    </row>
    <row r="37" spans="16:17" x14ac:dyDescent="0.2">
      <c r="P37" s="227"/>
      <c r="Q37" s="227"/>
    </row>
    <row r="38" spans="16:17" x14ac:dyDescent="0.2">
      <c r="P38" s="227"/>
      <c r="Q38" s="227"/>
    </row>
    <row r="39" spans="16:17" x14ac:dyDescent="0.2">
      <c r="P39" s="227"/>
      <c r="Q39" s="227"/>
    </row>
    <row r="40" spans="16:17" x14ac:dyDescent="0.2">
      <c r="P40" s="227"/>
      <c r="Q40" s="227"/>
    </row>
    <row r="41" spans="16:17" x14ac:dyDescent="0.2">
      <c r="P41" s="227"/>
      <c r="Q41" s="227"/>
    </row>
    <row r="42" spans="16:17" x14ac:dyDescent="0.2">
      <c r="P42" s="227"/>
      <c r="Q42" s="227"/>
    </row>
    <row r="43" spans="16:17" x14ac:dyDescent="0.2">
      <c r="P43" s="227"/>
      <c r="Q43" s="227"/>
    </row>
    <row r="44" spans="16:17" x14ac:dyDescent="0.2">
      <c r="P44" s="227"/>
      <c r="Q44" s="227"/>
    </row>
    <row r="45" spans="16:17" x14ac:dyDescent="0.2">
      <c r="P45" s="227"/>
      <c r="Q45" s="227"/>
    </row>
    <row r="46" spans="16:17" x14ac:dyDescent="0.2">
      <c r="P46" s="227"/>
      <c r="Q46" s="227"/>
    </row>
    <row r="47" spans="16:17" x14ac:dyDescent="0.2">
      <c r="P47" s="227"/>
      <c r="Q47" s="227"/>
    </row>
    <row r="48" spans="16:17" x14ac:dyDescent="0.2">
      <c r="P48" s="227"/>
      <c r="Q48" s="2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V58"/>
  <sheetViews>
    <sheetView topLeftCell="A3" workbookViewId="0">
      <selection activeCell="D66" sqref="D66"/>
    </sheetView>
  </sheetViews>
  <sheetFormatPr defaultRowHeight="12.75" x14ac:dyDescent="0.2"/>
  <cols>
    <col min="1" max="1" width="19" bestFit="1" customWidth="1"/>
    <col min="2" max="2" width="38.140625" bestFit="1" customWidth="1"/>
    <col min="3" max="3" width="35.5703125" bestFit="1" customWidth="1"/>
    <col min="4" max="4" width="32.42578125" bestFit="1" customWidth="1"/>
    <col min="5" max="5" width="30.5703125" bestFit="1" customWidth="1"/>
    <col min="6" max="6" width="34.28515625" bestFit="1" customWidth="1"/>
    <col min="7" max="7" width="14.5703125" bestFit="1" customWidth="1"/>
    <col min="8" max="9" width="39.5703125" bestFit="1" customWidth="1"/>
    <col min="10" max="10" width="37.140625" bestFit="1" customWidth="1"/>
    <col min="11" max="11" width="37.7109375" bestFit="1" customWidth="1"/>
    <col min="12" max="12" width="41" bestFit="1" customWidth="1"/>
    <col min="13" max="13" width="39.85546875" bestFit="1" customWidth="1"/>
    <col min="14" max="14" width="37.42578125" bestFit="1" customWidth="1"/>
    <col min="15" max="15" width="38.5703125" bestFit="1" customWidth="1"/>
    <col min="16" max="16" width="35.140625" bestFit="1" customWidth="1"/>
    <col min="17" max="17" width="39.28515625" bestFit="1" customWidth="1"/>
    <col min="18" max="18" width="34.42578125" bestFit="1" customWidth="1"/>
    <col min="19" max="19" width="13.85546875" bestFit="1" customWidth="1"/>
    <col min="20" max="20" width="36.5703125" bestFit="1" customWidth="1"/>
    <col min="21" max="21" width="44.42578125" bestFit="1" customWidth="1"/>
    <col min="22" max="22" width="36.5703125" bestFit="1" customWidth="1"/>
    <col min="23" max="23" width="35.7109375" bestFit="1" customWidth="1"/>
    <col min="24" max="24" width="23.28515625" bestFit="1" customWidth="1"/>
    <col min="25" max="25" width="28.5703125" bestFit="1" customWidth="1"/>
    <col min="26" max="26" width="32.140625" bestFit="1" customWidth="1"/>
    <col min="27" max="27" width="33" bestFit="1" customWidth="1"/>
    <col min="28" max="28" width="40.5703125" bestFit="1" customWidth="1"/>
    <col min="29" max="29" width="37.42578125" bestFit="1" customWidth="1"/>
    <col min="30" max="31" width="37.42578125" customWidth="1"/>
    <col min="34" max="34" width="8" style="229" bestFit="1" customWidth="1"/>
    <col min="35" max="35" width="8.140625" bestFit="1" customWidth="1"/>
    <col min="36" max="36" width="28.42578125" bestFit="1" customWidth="1"/>
    <col min="37" max="37" width="18.42578125" bestFit="1" customWidth="1"/>
    <col min="38" max="39" width="13.85546875" style="240" customWidth="1"/>
    <col min="40" max="40" width="10.42578125" bestFit="1" customWidth="1"/>
    <col min="41" max="41" width="20.7109375" bestFit="1" customWidth="1"/>
    <col min="42" max="42" width="14.7109375" bestFit="1" customWidth="1"/>
    <col min="43" max="43" width="21.5703125" bestFit="1" customWidth="1"/>
    <col min="44" max="44" width="15.42578125" bestFit="1" customWidth="1"/>
    <col min="45" max="45" width="34.42578125" bestFit="1" customWidth="1"/>
    <col min="46" max="46" width="29" bestFit="1" customWidth="1"/>
    <col min="47" max="47" width="11.140625" bestFit="1" customWidth="1"/>
    <col min="48" max="48" width="29.28515625" bestFit="1" customWidth="1"/>
  </cols>
  <sheetData>
    <row r="1" spans="1:48" x14ac:dyDescent="0.2">
      <c r="A1" t="s">
        <v>836</v>
      </c>
    </row>
    <row r="2" spans="1:48" x14ac:dyDescent="0.2">
      <c r="A2" t="s">
        <v>837</v>
      </c>
      <c r="B2">
        <f>COUNTIF(Import!A:A,"&lt;&gt;")</f>
        <v>11</v>
      </c>
    </row>
    <row r="5" spans="1:48" ht="13.5" thickBot="1" x14ac:dyDescent="0.25"/>
    <row r="6" spans="1:48" ht="13.5" thickBot="1" x14ac:dyDescent="0.25">
      <c r="C6" t="s">
        <v>929</v>
      </c>
      <c r="D6" s="228"/>
    </row>
    <row r="11" spans="1:48" x14ac:dyDescent="0.2">
      <c r="A11" t="s">
        <v>834</v>
      </c>
      <c r="B11" t="s">
        <v>831</v>
      </c>
      <c r="C11" t="s">
        <v>831</v>
      </c>
      <c r="D11" t="s">
        <v>831</v>
      </c>
      <c r="E11" t="s">
        <v>831</v>
      </c>
      <c r="F11" t="s">
        <v>831</v>
      </c>
      <c r="G11" t="s">
        <v>831</v>
      </c>
      <c r="H11" t="s">
        <v>831</v>
      </c>
      <c r="I11" t="s">
        <v>831</v>
      </c>
      <c r="J11" t="s">
        <v>831</v>
      </c>
      <c r="K11" t="s">
        <v>831</v>
      </c>
      <c r="L11" t="s">
        <v>831</v>
      </c>
      <c r="M11" t="s">
        <v>831</v>
      </c>
      <c r="N11" t="s">
        <v>831</v>
      </c>
      <c r="O11" t="s">
        <v>831</v>
      </c>
      <c r="P11" t="s">
        <v>831</v>
      </c>
      <c r="Q11" t="s">
        <v>831</v>
      </c>
      <c r="R11" t="s">
        <v>831</v>
      </c>
      <c r="S11" t="s">
        <v>831</v>
      </c>
      <c r="T11" t="s">
        <v>831</v>
      </c>
      <c r="U11" t="s">
        <v>831</v>
      </c>
      <c r="V11" t="s">
        <v>831</v>
      </c>
      <c r="W11" t="s">
        <v>831</v>
      </c>
      <c r="X11" t="s">
        <v>831</v>
      </c>
      <c r="Y11" t="s">
        <v>831</v>
      </c>
      <c r="Z11" t="s">
        <v>831</v>
      </c>
      <c r="AA11" t="s">
        <v>831</v>
      </c>
      <c r="AB11" t="s">
        <v>831</v>
      </c>
      <c r="AC11" t="s">
        <v>831</v>
      </c>
      <c r="AD11" t="s">
        <v>831</v>
      </c>
      <c r="AE11" t="s">
        <v>831</v>
      </c>
    </row>
    <row r="12" spans="1:48" x14ac:dyDescent="0.2">
      <c r="A12" t="s">
        <v>835</v>
      </c>
      <c r="B12" t="s">
        <v>341</v>
      </c>
      <c r="C12" t="s">
        <v>339</v>
      </c>
      <c r="D12" t="s">
        <v>370</v>
      </c>
      <c r="E12" t="s">
        <v>338</v>
      </c>
      <c r="F12" t="s">
        <v>344</v>
      </c>
      <c r="G12" t="s">
        <v>838</v>
      </c>
      <c r="H12" t="s">
        <v>369</v>
      </c>
      <c r="I12" t="s">
        <v>345</v>
      </c>
      <c r="J12" t="s">
        <v>346</v>
      </c>
      <c r="K12" t="s">
        <v>336</v>
      </c>
      <c r="L12" t="s">
        <v>347</v>
      </c>
      <c r="M12" t="s">
        <v>362</v>
      </c>
      <c r="N12" t="s">
        <v>363</v>
      </c>
      <c r="O12" t="s">
        <v>349</v>
      </c>
      <c r="P12" t="s">
        <v>350</v>
      </c>
      <c r="Q12" t="s">
        <v>352</v>
      </c>
      <c r="R12" t="s">
        <v>353</v>
      </c>
      <c r="S12" t="s">
        <v>354</v>
      </c>
      <c r="T12" t="s">
        <v>357</v>
      </c>
      <c r="U12" t="s">
        <v>355</v>
      </c>
      <c r="V12" t="s">
        <v>359</v>
      </c>
      <c r="W12" t="s">
        <v>391</v>
      </c>
      <c r="X12" t="s">
        <v>832</v>
      </c>
      <c r="Y12" t="s">
        <v>361</v>
      </c>
      <c r="Z12" t="s">
        <v>364</v>
      </c>
      <c r="AA12" t="s">
        <v>342</v>
      </c>
      <c r="AB12" t="s">
        <v>368</v>
      </c>
      <c r="AC12" t="s">
        <v>371</v>
      </c>
      <c r="AD12" t="s">
        <v>366</v>
      </c>
      <c r="AE12" t="s">
        <v>367</v>
      </c>
      <c r="AG12" t="s">
        <v>954</v>
      </c>
      <c r="AH12" s="229">
        <f>SUM(AH14:AH1800)</f>
        <v>0</v>
      </c>
      <c r="AJ12" t="str">
        <f>IF(AJ14=0,"No","Yes")</f>
        <v>Yes</v>
      </c>
      <c r="AK12" t="str">
        <f>IF(AK14=0,"No","Yes")</f>
        <v>Yes</v>
      </c>
      <c r="AL12" s="240">
        <f>AL14</f>
        <v>42461</v>
      </c>
      <c r="AM12" s="240">
        <f>AM14</f>
        <v>42826</v>
      </c>
      <c r="AO12">
        <f>AO14</f>
        <v>0</v>
      </c>
      <c r="AP12">
        <f>AP14</f>
        <v>0</v>
      </c>
      <c r="AQ12">
        <f>AQ14</f>
        <v>100</v>
      </c>
      <c r="AR12" t="str">
        <f>IF(AR14,"Yes","No")</f>
        <v>No</v>
      </c>
      <c r="AT12" t="str">
        <f>IF(AT14,"Yes","No")</f>
        <v>Yes</v>
      </c>
    </row>
    <row r="13" spans="1:48" x14ac:dyDescent="0.2">
      <c r="A13" t="s">
        <v>833</v>
      </c>
      <c r="B13" s="218" t="s">
        <v>719</v>
      </c>
      <c r="C13" s="218" t="s">
        <v>720</v>
      </c>
      <c r="D13" s="218" t="s">
        <v>721</v>
      </c>
      <c r="E13" s="218" t="s">
        <v>724</v>
      </c>
      <c r="F13" s="218" t="s">
        <v>725</v>
      </c>
      <c r="G13" s="218" t="s">
        <v>726</v>
      </c>
      <c r="H13" s="218" t="s">
        <v>727</v>
      </c>
      <c r="I13" s="218" t="s">
        <v>730</v>
      </c>
      <c r="J13" s="218" t="s">
        <v>731</v>
      </c>
      <c r="K13" s="218" t="s">
        <v>732</v>
      </c>
      <c r="L13" s="218" t="s">
        <v>735</v>
      </c>
      <c r="M13" s="218" t="s">
        <v>737</v>
      </c>
      <c r="N13" s="218" t="s">
        <v>738</v>
      </c>
      <c r="O13" s="218" t="s">
        <v>739</v>
      </c>
      <c r="P13" s="218" t="s">
        <v>740</v>
      </c>
      <c r="Q13" s="218" t="s">
        <v>741</v>
      </c>
      <c r="R13" s="218" t="s">
        <v>742</v>
      </c>
      <c r="S13" s="218" t="s">
        <v>746</v>
      </c>
      <c r="T13" s="218" t="s">
        <v>747</v>
      </c>
      <c r="U13" s="218" t="s">
        <v>748</v>
      </c>
      <c r="V13" s="218" t="s">
        <v>749</v>
      </c>
      <c r="W13" s="218" t="s">
        <v>750</v>
      </c>
      <c r="X13" s="218" t="s">
        <v>751</v>
      </c>
      <c r="Y13" s="218" t="s">
        <v>754</v>
      </c>
      <c r="Z13" s="218" t="s">
        <v>757</v>
      </c>
      <c r="AA13" s="218" t="s">
        <v>758</v>
      </c>
      <c r="AB13" s="218" t="s">
        <v>760</v>
      </c>
      <c r="AC13" s="218" t="s">
        <v>761</v>
      </c>
      <c r="AD13" s="218" t="s">
        <v>1017</v>
      </c>
      <c r="AE13" s="218" t="s">
        <v>1018</v>
      </c>
      <c r="AH13" s="256" t="s">
        <v>722</v>
      </c>
      <c r="AI13" s="217" t="s">
        <v>723</v>
      </c>
      <c r="AJ13" s="217" t="s">
        <v>728</v>
      </c>
      <c r="AK13" s="217" t="s">
        <v>729</v>
      </c>
      <c r="AL13" s="241" t="s">
        <v>733</v>
      </c>
      <c r="AM13" s="241" t="s">
        <v>734</v>
      </c>
      <c r="AN13" s="217" t="s">
        <v>736</v>
      </c>
      <c r="AO13" s="217" t="s">
        <v>743</v>
      </c>
      <c r="AP13" s="217" t="s">
        <v>744</v>
      </c>
      <c r="AQ13" s="217" t="s">
        <v>745</v>
      </c>
      <c r="AR13" s="217" t="s">
        <v>752</v>
      </c>
      <c r="AS13" s="217" t="s">
        <v>753</v>
      </c>
      <c r="AT13" s="217" t="s">
        <v>755</v>
      </c>
      <c r="AU13" t="s">
        <v>756</v>
      </c>
      <c r="AV13" t="s">
        <v>759</v>
      </c>
    </row>
    <row r="14" spans="1:48" x14ac:dyDescent="0.2">
      <c r="A14">
        <f>Import!A4</f>
        <v>332</v>
      </c>
      <c r="B14" t="str">
        <f>Import!B4</f>
        <v>Main Office</v>
      </c>
      <c r="C14" t="str">
        <f>Import!C4</f>
        <v>17474 Old Jefferson Hwy</v>
      </c>
      <c r="D14">
        <f>2016-Import!D4</f>
        <v>1987</v>
      </c>
      <c r="E14">
        <f>Import!G4</f>
        <v>250000</v>
      </c>
      <c r="F14">
        <f>Import!H4</f>
        <v>350000</v>
      </c>
      <c r="G14">
        <f>Import!I4</f>
        <v>1</v>
      </c>
      <c r="H14">
        <f>Import!J4</f>
        <v>646160</v>
      </c>
      <c r="I14" t="str">
        <f>IFERROR(VLOOKUP(Import!M4,CleanParam!$B$4:$C$11,2,0),"")</f>
        <v>ISO 1 – Frame</v>
      </c>
      <c r="J14">
        <f>Import!N4+Import!AM4+Import!AQ4</f>
        <v>65000</v>
      </c>
      <c r="K14">
        <f>Import!O4</f>
        <v>50000</v>
      </c>
      <c r="L14">
        <f>Import!R4</f>
        <v>30</v>
      </c>
      <c r="M14" t="str">
        <f>IF(Import!T4=0,"No","Yes")</f>
        <v>Yes</v>
      </c>
      <c r="N14">
        <f>Import!U4</f>
        <v>5</v>
      </c>
      <c r="O14">
        <f>Import!V4</f>
        <v>1</v>
      </c>
      <c r="P14" t="str">
        <f>IF(Import!W4="True","Yes","No")</f>
        <v>No</v>
      </c>
      <c r="Q14">
        <f>Import!X4</f>
        <v>1</v>
      </c>
      <c r="R14" t="str">
        <f>VLOOKUP(Import!Y4,CleanParam!$E$4:$F$103,2,0)</f>
        <v>Office</v>
      </c>
      <c r="S14" t="str">
        <f>IF(Import!AC4&gt;0,"Yes","No")</f>
        <v>No</v>
      </c>
      <c r="T14">
        <f>Import!AD4</f>
        <v>100000</v>
      </c>
      <c r="U14">
        <f>Import!AE4</f>
        <v>0</v>
      </c>
      <c r="V14">
        <f>Import!AF4</f>
        <v>100000</v>
      </c>
      <c r="W14" t="str">
        <f>INDEX(CleanParam!$P$4:$P$7,MATCH(Import!AG4,CleanParam!$O$4:$O$7,-1),0)</f>
        <v>80-100%</v>
      </c>
      <c r="X14" t="str">
        <f>Import!AH4</f>
        <v>SPECIAL</v>
      </c>
      <c r="Y14">
        <f>Import!AK4</f>
        <v>7</v>
      </c>
      <c r="Z14" t="str">
        <f>VLOOKUP(Import!AO4,CleanParam!$H$4:$I$9,2,0)</f>
        <v>Partial, No Central Alarm</v>
      </c>
      <c r="AA14" t="str">
        <f>VLOOKUP(Import!AP4,CleanParam!$K$3:$L$53,2,0)</f>
        <v>Louisiana</v>
      </c>
      <c r="AB14" t="str">
        <f>IF(Import!AU4,"Yes","No")</f>
        <v>No</v>
      </c>
      <c r="AC14" t="str">
        <f>IF(2016-Import!AV4=D14,"",2016-Import!AV4)</f>
        <v/>
      </c>
      <c r="AD14" t="str">
        <f>IF(Import!AR4,"Yes","No")</f>
        <v>Yes</v>
      </c>
      <c r="AE14" t="str">
        <f>IF(Import!AS4,"Yes","No")</f>
        <v>No</v>
      </c>
      <c r="AH14" s="229">
        <f>Import!E4</f>
        <v>0</v>
      </c>
      <c r="AI14" t="str">
        <f>Import!F4</f>
        <v>[]</v>
      </c>
      <c r="AJ14" t="b">
        <f>Import!K4</f>
        <v>1</v>
      </c>
      <c r="AK14" t="b">
        <f>Import!L4</f>
        <v>1</v>
      </c>
      <c r="AL14" s="240">
        <f>Import!P4</f>
        <v>42461</v>
      </c>
      <c r="AM14" s="240">
        <f>Import!Q4</f>
        <v>42826</v>
      </c>
      <c r="AN14">
        <f>Import!S4</f>
        <v>0.06</v>
      </c>
      <c r="AO14">
        <f>Import!Z4</f>
        <v>0</v>
      </c>
      <c r="AP14">
        <f>Import!AA4</f>
        <v>0</v>
      </c>
      <c r="AQ14">
        <f>Import!AB4</f>
        <v>100</v>
      </c>
      <c r="AR14" t="b">
        <f>Import!AI4</f>
        <v>0</v>
      </c>
      <c r="AS14" t="str">
        <f>Import!AJ4</f>
        <v>5c8e43e5-ad2f-4a06-8082-b55e301b90c4</v>
      </c>
      <c r="AT14" t="b">
        <f>Import!AL4</f>
        <v>1</v>
      </c>
      <c r="AU14">
        <f>Import!AN4</f>
        <v>3.5000000000000003E-2</v>
      </c>
      <c r="AV14">
        <f>Import!AT4</f>
        <v>0</v>
      </c>
    </row>
    <row r="15" spans="1:48" x14ac:dyDescent="0.2">
      <c r="A15">
        <f>Import!A5</f>
        <v>333</v>
      </c>
      <c r="B15" t="str">
        <f>Import!B5</f>
        <v>Structural Shop</v>
      </c>
      <c r="C15" t="str">
        <f>Import!C5</f>
        <v>17474 Old Jefferson Hwy</v>
      </c>
      <c r="D15">
        <f>2016-Import!D5</f>
        <v>1987</v>
      </c>
      <c r="E15">
        <f>Import!G5</f>
        <v>0</v>
      </c>
      <c r="F15">
        <f>Import!H5</f>
        <v>583553</v>
      </c>
      <c r="G15">
        <f>Import!I5</f>
        <v>2</v>
      </c>
      <c r="H15">
        <f>Import!J5</f>
        <v>1611500</v>
      </c>
      <c r="I15" t="str">
        <f>IFERROR(VLOOKUP(Import!M5,CleanParam!$B$4:$C$11,2,0),"")</f>
        <v>ISO 3 – Metal</v>
      </c>
      <c r="J15">
        <f>Import!N5+Import!AM5+Import!AQ5</f>
        <v>60000</v>
      </c>
      <c r="K15">
        <f>Import!O5</f>
        <v>50000</v>
      </c>
      <c r="L15">
        <f>Import!R5</f>
        <v>30</v>
      </c>
      <c r="M15" t="str">
        <f>IF(Import!T5=0,"No","Yes")</f>
        <v>Yes</v>
      </c>
      <c r="N15">
        <f>Import!U5</f>
        <v>5</v>
      </c>
      <c r="O15">
        <f>Import!V5</f>
        <v>1</v>
      </c>
      <c r="P15" t="str">
        <f>IF(Import!W5="True","Yes","No")</f>
        <v>No</v>
      </c>
      <c r="Q15">
        <f>Import!X5</f>
        <v>1</v>
      </c>
      <c r="R15" t="str">
        <f>VLOOKUP(Import!Y5,CleanParam!$E$4:$F$103,2,0)</f>
        <v>Machine Shops</v>
      </c>
      <c r="S15" t="str">
        <f>IF(Import!AC5&gt;0,"Yes","No")</f>
        <v>No</v>
      </c>
      <c r="T15">
        <f>Import!AD5</f>
        <v>100000</v>
      </c>
      <c r="U15">
        <f>Import!AE5</f>
        <v>0</v>
      </c>
      <c r="V15">
        <f>Import!AF5</f>
        <v>100000</v>
      </c>
      <c r="W15" t="str">
        <f>INDEX(CleanParam!$P$4:$P$7,MATCH(Import!AG5,CleanParam!$O$4:$O$7,-1),0)</f>
        <v>80-100%</v>
      </c>
      <c r="X15" t="str">
        <f>Import!AH5</f>
        <v>SPECIAL</v>
      </c>
      <c r="Y15">
        <f>Import!AK5</f>
        <v>7</v>
      </c>
      <c r="Z15" t="str">
        <f>VLOOKUP(Import!AO5,CleanParam!$H$4:$I$9,2,0)</f>
        <v>Partial, No Central Alarm</v>
      </c>
      <c r="AA15" t="str">
        <f>VLOOKUP(Import!AP5,CleanParam!$K$3:$L$53,2,0)</f>
        <v>Louisiana</v>
      </c>
      <c r="AB15" t="str">
        <f>IF(Import!AU5,"Yes","No")</f>
        <v>No</v>
      </c>
      <c r="AC15" t="str">
        <f>IF(2016-Import!AV5=D15,"",2016-Import!AV5)</f>
        <v/>
      </c>
      <c r="AD15" t="str">
        <f>IF(Import!AR5,"Yes","No")</f>
        <v>Yes</v>
      </c>
      <c r="AE15" t="str">
        <f>IF(Import!AS5,"Yes","No")</f>
        <v>No</v>
      </c>
      <c r="AH15" s="229">
        <f>Import!E5</f>
        <v>0</v>
      </c>
      <c r="AI15" t="str">
        <f>Import!F5</f>
        <v>[]</v>
      </c>
      <c r="AJ15" t="b">
        <f>Import!K5</f>
        <v>1</v>
      </c>
      <c r="AK15" t="b">
        <f>Import!L5</f>
        <v>1</v>
      </c>
      <c r="AL15" s="240">
        <f>Import!P5</f>
        <v>42461</v>
      </c>
      <c r="AM15" s="240">
        <f>Import!Q5</f>
        <v>42826</v>
      </c>
      <c r="AN15">
        <f>Import!S5</f>
        <v>0.06</v>
      </c>
      <c r="AO15">
        <f>Import!Z5</f>
        <v>0</v>
      </c>
      <c r="AP15">
        <f>Import!AA5</f>
        <v>0</v>
      </c>
      <c r="AQ15">
        <f>Import!AB5</f>
        <v>100</v>
      </c>
      <c r="AR15" t="b">
        <f>Import!AI5</f>
        <v>0</v>
      </c>
      <c r="AS15" t="str">
        <f>Import!AJ5</f>
        <v>5c8e43e5-ad2f-4a06-8082-b55e301b90c4</v>
      </c>
      <c r="AT15" t="b">
        <f>Import!AL5</f>
        <v>1</v>
      </c>
      <c r="AU15">
        <f>Import!AN5</f>
        <v>3.5000000000000003E-2</v>
      </c>
      <c r="AV15">
        <f>Import!AT5</f>
        <v>0</v>
      </c>
    </row>
    <row r="16" spans="1:48" x14ac:dyDescent="0.2">
      <c r="A16">
        <f>Import!A6</f>
        <v>334</v>
      </c>
      <c r="B16" t="str">
        <f>Import!B6</f>
        <v>Mechaninc Shop</v>
      </c>
      <c r="C16" t="str">
        <f>Import!C6</f>
        <v>17474 Old Jefferson Hwy</v>
      </c>
      <c r="D16">
        <f>2016-Import!D6</f>
        <v>1987</v>
      </c>
      <c r="E16">
        <f>Import!G6</f>
        <v>0</v>
      </c>
      <c r="F16">
        <f>Import!H6</f>
        <v>192370</v>
      </c>
      <c r="G16">
        <f>Import!I6</f>
        <v>3</v>
      </c>
      <c r="H16">
        <f>Import!J6</f>
        <v>477290</v>
      </c>
      <c r="I16" t="str">
        <f>IFERROR(VLOOKUP(Import!M6,CleanParam!$B$4:$C$11,2,0),"")</f>
        <v>ISO 3 – Metal</v>
      </c>
      <c r="J16">
        <f>Import!N6+Import!AM6+Import!AQ6</f>
        <v>10000</v>
      </c>
      <c r="K16">
        <f>Import!O6</f>
        <v>50000</v>
      </c>
      <c r="L16">
        <f>Import!R6</f>
        <v>30</v>
      </c>
      <c r="M16" t="str">
        <f>IF(Import!T6=0,"No","Yes")</f>
        <v>Yes</v>
      </c>
      <c r="N16">
        <f>Import!U6</f>
        <v>5</v>
      </c>
      <c r="O16">
        <f>Import!V6</f>
        <v>1</v>
      </c>
      <c r="P16" t="str">
        <f>IF(Import!W6="True","Yes","No")</f>
        <v>No</v>
      </c>
      <c r="Q16">
        <f>Import!X6</f>
        <v>1</v>
      </c>
      <c r="R16" t="str">
        <f>VLOOKUP(Import!Y6,CleanParam!$E$4:$F$103,2,0)</f>
        <v>Machine Shops</v>
      </c>
      <c r="S16" t="str">
        <f>IF(Import!AC6&gt;0,"Yes","No")</f>
        <v>No</v>
      </c>
      <c r="T16">
        <f>Import!AD6</f>
        <v>100000</v>
      </c>
      <c r="U16">
        <f>Import!AE6</f>
        <v>0</v>
      </c>
      <c r="V16">
        <f>Import!AF6</f>
        <v>100000</v>
      </c>
      <c r="W16" t="str">
        <f>INDEX(CleanParam!$P$4:$P$7,MATCH(Import!AG6,CleanParam!$O$4:$O$7,-1),0)</f>
        <v>80-100%</v>
      </c>
      <c r="X16" t="str">
        <f>Import!AH6</f>
        <v>SPECIAL</v>
      </c>
      <c r="Y16">
        <f>Import!AK6</f>
        <v>7</v>
      </c>
      <c r="Z16" t="str">
        <f>VLOOKUP(Import!AO6,CleanParam!$H$4:$I$9,2,0)</f>
        <v>Partial, No Central Alarm</v>
      </c>
      <c r="AA16" t="str">
        <f>VLOOKUP(Import!AP6,CleanParam!$K$3:$L$53,2,0)</f>
        <v>Louisiana</v>
      </c>
      <c r="AB16" t="str">
        <f>IF(Import!AU6,"Yes","No")</f>
        <v>No</v>
      </c>
      <c r="AC16" t="str">
        <f>IF(2016-Import!AV6=D16,"",2016-Import!AV6)</f>
        <v/>
      </c>
      <c r="AD16" t="str">
        <f>IF(Import!AR6,"Yes","No")</f>
        <v>Yes</v>
      </c>
      <c r="AE16" t="str">
        <f>IF(Import!AS6,"Yes","No")</f>
        <v>No</v>
      </c>
      <c r="AH16" s="229">
        <f>Import!E6</f>
        <v>0</v>
      </c>
      <c r="AI16" t="str">
        <f>Import!F6</f>
        <v>[]</v>
      </c>
      <c r="AJ16" t="b">
        <f>Import!K6</f>
        <v>1</v>
      </c>
      <c r="AK16" t="b">
        <f>Import!L6</f>
        <v>1</v>
      </c>
      <c r="AL16" s="240">
        <f>Import!P6</f>
        <v>42461</v>
      </c>
      <c r="AM16" s="240">
        <f>Import!Q6</f>
        <v>42826</v>
      </c>
      <c r="AN16">
        <f>Import!S6</f>
        <v>0.06</v>
      </c>
      <c r="AO16">
        <f>Import!Z6</f>
        <v>0</v>
      </c>
      <c r="AP16">
        <f>Import!AA6</f>
        <v>0</v>
      </c>
      <c r="AQ16">
        <f>Import!AB6</f>
        <v>100</v>
      </c>
      <c r="AR16" t="b">
        <f>Import!AI6</f>
        <v>0</v>
      </c>
      <c r="AS16" t="str">
        <f>Import!AJ6</f>
        <v>5c8e43e5-ad2f-4a06-8082-b55e301b90c4</v>
      </c>
      <c r="AT16" t="b">
        <f>Import!AL6</f>
        <v>1</v>
      </c>
      <c r="AU16">
        <f>Import!AN6</f>
        <v>3.5000000000000003E-2</v>
      </c>
      <c r="AV16">
        <f>Import!AT6</f>
        <v>0</v>
      </c>
    </row>
    <row r="17" spans="1:48" x14ac:dyDescent="0.2">
      <c r="A17">
        <f>Import!A7</f>
        <v>335</v>
      </c>
      <c r="B17" t="str">
        <f>Import!B7</f>
        <v>Pipe Shop</v>
      </c>
      <c r="C17" t="str">
        <f>Import!C7</f>
        <v>17474 Old Jefferson Hwy</v>
      </c>
      <c r="D17">
        <f>2016-Import!D7</f>
        <v>1994</v>
      </c>
      <c r="E17">
        <f>Import!G7</f>
        <v>0</v>
      </c>
      <c r="F17">
        <f>Import!H7</f>
        <v>800000</v>
      </c>
      <c r="G17">
        <f>Import!I7</f>
        <v>4</v>
      </c>
      <c r="H17">
        <f>Import!J7</f>
        <v>1651650</v>
      </c>
      <c r="I17" t="str">
        <f>IFERROR(VLOOKUP(Import!M7,CleanParam!$B$4:$C$11,2,0),"")</f>
        <v>ISO 3 – Metal</v>
      </c>
      <c r="J17">
        <f>Import!N7+Import!AM7+Import!AQ7</f>
        <v>100000</v>
      </c>
      <c r="K17">
        <f>Import!O7</f>
        <v>50000</v>
      </c>
      <c r="L17">
        <f>Import!R7</f>
        <v>30</v>
      </c>
      <c r="M17" t="str">
        <f>IF(Import!T7=0,"No","Yes")</f>
        <v>Yes</v>
      </c>
      <c r="N17">
        <f>Import!U7</f>
        <v>5</v>
      </c>
      <c r="O17">
        <f>Import!V7</f>
        <v>1</v>
      </c>
      <c r="P17" t="str">
        <f>IF(Import!W7="True","Yes","No")</f>
        <v>No</v>
      </c>
      <c r="Q17">
        <f>Import!X7</f>
        <v>1</v>
      </c>
      <c r="R17" t="str">
        <f>VLOOKUP(Import!Y7,CleanParam!$E$4:$F$103,2,0)</f>
        <v>Machine Shops</v>
      </c>
      <c r="S17" t="str">
        <f>IF(Import!AC7&gt;0,"Yes","No")</f>
        <v>No</v>
      </c>
      <c r="T17">
        <f>Import!AD7</f>
        <v>100000</v>
      </c>
      <c r="U17">
        <f>Import!AE7</f>
        <v>0</v>
      </c>
      <c r="V17">
        <f>Import!AF7</f>
        <v>100000</v>
      </c>
      <c r="W17" t="str">
        <f>INDEX(CleanParam!$P$4:$P$7,MATCH(Import!AG7,CleanParam!$O$4:$O$7,-1),0)</f>
        <v>80-100%</v>
      </c>
      <c r="X17" t="str">
        <f>Import!AH7</f>
        <v>SPECIAL</v>
      </c>
      <c r="Y17">
        <f>Import!AK7</f>
        <v>7</v>
      </c>
      <c r="Z17" t="str">
        <f>VLOOKUP(Import!AO7,CleanParam!$H$4:$I$9,2,0)</f>
        <v>Partial, No Central Alarm</v>
      </c>
      <c r="AA17" t="str">
        <f>VLOOKUP(Import!AP7,CleanParam!$K$3:$L$53,2,0)</f>
        <v>Louisiana</v>
      </c>
      <c r="AB17" t="str">
        <f>IF(Import!AU7,"Yes","No")</f>
        <v>No</v>
      </c>
      <c r="AC17" t="str">
        <f>IF(2016-Import!AV7=D17,"",2016-Import!AV7)</f>
        <v/>
      </c>
      <c r="AD17" t="str">
        <f>IF(Import!AR7,"Yes","No")</f>
        <v>Yes</v>
      </c>
      <c r="AE17" t="str">
        <f>IF(Import!AS7,"Yes","No")</f>
        <v>No</v>
      </c>
      <c r="AH17" s="229">
        <f>Import!E7</f>
        <v>0</v>
      </c>
      <c r="AI17" t="str">
        <f>Import!F7</f>
        <v>[]</v>
      </c>
      <c r="AJ17" t="b">
        <f>Import!K7</f>
        <v>1</v>
      </c>
      <c r="AK17" t="b">
        <f>Import!L7</f>
        <v>1</v>
      </c>
      <c r="AL17" s="240">
        <f>Import!P7</f>
        <v>42461</v>
      </c>
      <c r="AM17" s="240">
        <f>Import!Q7</f>
        <v>42826</v>
      </c>
      <c r="AN17">
        <f>Import!S7</f>
        <v>0.06</v>
      </c>
      <c r="AO17">
        <f>Import!Z7</f>
        <v>0</v>
      </c>
      <c r="AP17">
        <f>Import!AA7</f>
        <v>0</v>
      </c>
      <c r="AQ17">
        <f>Import!AB7</f>
        <v>100</v>
      </c>
      <c r="AR17" t="b">
        <f>Import!AI7</f>
        <v>0</v>
      </c>
      <c r="AS17" t="str">
        <f>Import!AJ7</f>
        <v>5c8e43e5-ad2f-4a06-8082-b55e301b90c4</v>
      </c>
      <c r="AT17" t="b">
        <f>Import!AL7</f>
        <v>1</v>
      </c>
      <c r="AU17">
        <f>Import!AN7</f>
        <v>3.5000000000000003E-2</v>
      </c>
      <c r="AV17">
        <f>Import!AT7</f>
        <v>0</v>
      </c>
    </row>
    <row r="18" spans="1:48" x14ac:dyDescent="0.2">
      <c r="A18">
        <f>Import!A8</f>
        <v>336</v>
      </c>
      <c r="B18" t="str">
        <f>Import!B8</f>
        <v>Small Tool Shop</v>
      </c>
      <c r="C18" t="str">
        <f>Import!C8</f>
        <v>17474 Old Jefferson Hwy</v>
      </c>
      <c r="D18">
        <f>2016-Import!D8</f>
        <v>1990</v>
      </c>
      <c r="E18">
        <f>Import!G8</f>
        <v>0</v>
      </c>
      <c r="F18">
        <f>Import!H8</f>
        <v>68040</v>
      </c>
      <c r="G18">
        <f>Import!I8</f>
        <v>5</v>
      </c>
      <c r="H18">
        <f>Import!J8</f>
        <v>355743</v>
      </c>
      <c r="I18" t="str">
        <f>IFERROR(VLOOKUP(Import!M8,CleanParam!$B$4:$C$11,2,0),"")</f>
        <v>ISO 3 – Metal</v>
      </c>
      <c r="J18">
        <f>Import!N8+Import!AM8+Import!AQ8</f>
        <v>0</v>
      </c>
      <c r="K18">
        <f>Import!O8</f>
        <v>50000</v>
      </c>
      <c r="L18">
        <f>Import!R8</f>
        <v>30</v>
      </c>
      <c r="M18" t="str">
        <f>IF(Import!T8=0,"No","Yes")</f>
        <v>Yes</v>
      </c>
      <c r="N18">
        <f>Import!U8</f>
        <v>5</v>
      </c>
      <c r="O18">
        <f>Import!V8</f>
        <v>1</v>
      </c>
      <c r="P18" t="str">
        <f>IF(Import!W8="True","Yes","No")</f>
        <v>No</v>
      </c>
      <c r="Q18">
        <f>Import!X8</f>
        <v>1</v>
      </c>
      <c r="R18" t="str">
        <f>VLOOKUP(Import!Y8,CleanParam!$E$4:$F$103,2,0)</f>
        <v>Machine Shops</v>
      </c>
      <c r="S18" t="str">
        <f>IF(Import!AC8&gt;0,"Yes","No")</f>
        <v>No</v>
      </c>
      <c r="T18">
        <f>Import!AD8</f>
        <v>100000</v>
      </c>
      <c r="U18">
        <f>Import!AE8</f>
        <v>0</v>
      </c>
      <c r="V18">
        <f>Import!AF8</f>
        <v>100000</v>
      </c>
      <c r="W18" t="str">
        <f>INDEX(CleanParam!$P$4:$P$7,MATCH(Import!AG8,CleanParam!$O$4:$O$7,-1),0)</f>
        <v>80-100%</v>
      </c>
      <c r="X18" t="str">
        <f>Import!AH8</f>
        <v>SPECIAL</v>
      </c>
      <c r="Y18">
        <f>Import!AK8</f>
        <v>7</v>
      </c>
      <c r="Z18" t="str">
        <f>VLOOKUP(Import!AO8,CleanParam!$H$4:$I$9,2,0)</f>
        <v>Partial, No Central Alarm</v>
      </c>
      <c r="AA18" t="str">
        <f>VLOOKUP(Import!AP8,CleanParam!$K$3:$L$53,2,0)</f>
        <v>Louisiana</v>
      </c>
      <c r="AB18" t="str">
        <f>IF(Import!AU8,"Yes","No")</f>
        <v>No</v>
      </c>
      <c r="AC18" t="str">
        <f>IF(2016-Import!AV8=D18,"",2016-Import!AV8)</f>
        <v/>
      </c>
      <c r="AD18" t="str">
        <f>IF(Import!AR8,"Yes","No")</f>
        <v>Yes</v>
      </c>
      <c r="AE18" t="str">
        <f>IF(Import!AS8,"Yes","No")</f>
        <v>No</v>
      </c>
      <c r="AH18" s="229">
        <f>Import!E8</f>
        <v>0</v>
      </c>
      <c r="AI18" t="str">
        <f>Import!F8</f>
        <v>[]</v>
      </c>
      <c r="AJ18" t="b">
        <f>Import!K8</f>
        <v>1</v>
      </c>
      <c r="AK18" t="b">
        <f>Import!L8</f>
        <v>1</v>
      </c>
      <c r="AL18" s="240">
        <f>Import!P8</f>
        <v>42461</v>
      </c>
      <c r="AM18" s="240">
        <f>Import!Q8</f>
        <v>42826</v>
      </c>
      <c r="AN18">
        <f>Import!S8</f>
        <v>0.06</v>
      </c>
      <c r="AO18">
        <f>Import!Z8</f>
        <v>0</v>
      </c>
      <c r="AP18">
        <f>Import!AA8</f>
        <v>0</v>
      </c>
      <c r="AQ18">
        <f>Import!AB8</f>
        <v>100</v>
      </c>
      <c r="AR18" t="b">
        <f>Import!AI8</f>
        <v>0</v>
      </c>
      <c r="AS18" t="str">
        <f>Import!AJ8</f>
        <v>5c8e43e5-ad2f-4a06-8082-b55e301b90c4</v>
      </c>
      <c r="AT18" t="b">
        <f>Import!AL8</f>
        <v>1</v>
      </c>
      <c r="AU18">
        <f>Import!AN8</f>
        <v>3.5000000000000003E-2</v>
      </c>
      <c r="AV18">
        <f>Import!AT8</f>
        <v>0</v>
      </c>
    </row>
    <row r="19" spans="1:48" x14ac:dyDescent="0.2">
      <c r="A19">
        <f>Import!A9</f>
        <v>337</v>
      </c>
      <c r="B19" t="str">
        <f>Import!B9</f>
        <v>Vessel Shop</v>
      </c>
      <c r="C19" t="str">
        <f>Import!C9</f>
        <v>17474 Old Jefferson Hwy</v>
      </c>
      <c r="D19">
        <f>2016-Import!D9</f>
        <v>1996</v>
      </c>
      <c r="E19">
        <f>Import!G9</f>
        <v>0</v>
      </c>
      <c r="F19">
        <f>Import!H9</f>
        <v>4450000</v>
      </c>
      <c r="G19">
        <f>Import!I9</f>
        <v>6</v>
      </c>
      <c r="H19">
        <f>Import!J9</f>
        <v>4450000</v>
      </c>
      <c r="I19" t="str">
        <f>IFERROR(VLOOKUP(Import!M9,CleanParam!$B$4:$C$11,2,0),"")</f>
        <v>ISO 3 – Metal</v>
      </c>
      <c r="J19">
        <f>Import!N9+Import!AM9+Import!AQ9</f>
        <v>250000</v>
      </c>
      <c r="K19">
        <f>Import!O9</f>
        <v>50000</v>
      </c>
      <c r="L19">
        <f>Import!R9</f>
        <v>30</v>
      </c>
      <c r="M19" t="str">
        <f>IF(Import!T9=0,"No","Yes")</f>
        <v>Yes</v>
      </c>
      <c r="N19">
        <f>Import!U9</f>
        <v>5</v>
      </c>
      <c r="O19">
        <f>Import!V9</f>
        <v>1</v>
      </c>
      <c r="P19" t="str">
        <f>IF(Import!W9="True","Yes","No")</f>
        <v>No</v>
      </c>
      <c r="Q19">
        <f>Import!X9</f>
        <v>1</v>
      </c>
      <c r="R19" t="str">
        <f>VLOOKUP(Import!Y9,CleanParam!$E$4:$F$103,2,0)</f>
        <v>Machine Shops</v>
      </c>
      <c r="S19" t="str">
        <f>IF(Import!AC9&gt;0,"Yes","No")</f>
        <v>No</v>
      </c>
      <c r="T19">
        <f>Import!AD9</f>
        <v>100000</v>
      </c>
      <c r="U19">
        <f>Import!AE9</f>
        <v>0</v>
      </c>
      <c r="V19">
        <f>Import!AF9</f>
        <v>100000</v>
      </c>
      <c r="W19" t="str">
        <f>INDEX(CleanParam!$P$4:$P$7,MATCH(Import!AG9,CleanParam!$O$4:$O$7,-1),0)</f>
        <v>80-100%</v>
      </c>
      <c r="X19" t="str">
        <f>Import!AH9</f>
        <v>SPECIAL</v>
      </c>
      <c r="Y19">
        <f>Import!AK9</f>
        <v>7</v>
      </c>
      <c r="Z19" t="str">
        <f>VLOOKUP(Import!AO9,CleanParam!$H$4:$I$9,2,0)</f>
        <v>Partial, No Central Alarm</v>
      </c>
      <c r="AA19" t="str">
        <f>VLOOKUP(Import!AP9,CleanParam!$K$3:$L$53,2,0)</f>
        <v>Louisiana</v>
      </c>
      <c r="AB19" t="str">
        <f>IF(Import!AU9,"Yes","No")</f>
        <v>No</v>
      </c>
      <c r="AC19" t="str">
        <f>IF(2016-Import!AV9=D19,"",2016-Import!AV9)</f>
        <v/>
      </c>
      <c r="AD19" t="str">
        <f>IF(Import!AR9,"Yes","No")</f>
        <v>Yes</v>
      </c>
      <c r="AE19" t="str">
        <f>IF(Import!AS9,"Yes","No")</f>
        <v>No</v>
      </c>
      <c r="AH19" s="229">
        <f>Import!E9</f>
        <v>0</v>
      </c>
      <c r="AI19" t="str">
        <f>Import!F9</f>
        <v>[]</v>
      </c>
      <c r="AJ19" t="b">
        <f>Import!K9</f>
        <v>1</v>
      </c>
      <c r="AK19" t="b">
        <f>Import!L9</f>
        <v>1</v>
      </c>
      <c r="AL19" s="240">
        <f>Import!P9</f>
        <v>42461</v>
      </c>
      <c r="AM19" s="240">
        <f>Import!Q9</f>
        <v>42826</v>
      </c>
      <c r="AN19">
        <f>Import!S9</f>
        <v>0.06</v>
      </c>
      <c r="AO19">
        <f>Import!Z9</f>
        <v>0</v>
      </c>
      <c r="AP19">
        <f>Import!AA9</f>
        <v>0</v>
      </c>
      <c r="AQ19">
        <f>Import!AB9</f>
        <v>100</v>
      </c>
      <c r="AR19" t="b">
        <f>Import!AI9</f>
        <v>0</v>
      </c>
      <c r="AS19" t="str">
        <f>Import!AJ9</f>
        <v>5c8e43e5-ad2f-4a06-8082-b55e301b90c4</v>
      </c>
      <c r="AT19" t="b">
        <f>Import!AL9</f>
        <v>1</v>
      </c>
      <c r="AU19">
        <f>Import!AN9</f>
        <v>3.5000000000000003E-2</v>
      </c>
      <c r="AV19">
        <f>Import!AT9</f>
        <v>0</v>
      </c>
    </row>
    <row r="20" spans="1:48" x14ac:dyDescent="0.2">
      <c r="A20">
        <f>Import!A10</f>
        <v>338</v>
      </c>
      <c r="B20" t="str">
        <f>Import!B10</f>
        <v>Human Resources</v>
      </c>
      <c r="C20" t="str">
        <f>Import!C10</f>
        <v>17474 Old Jefferson Hwy</v>
      </c>
      <c r="D20">
        <f>2016-Import!D10</f>
        <v>2005</v>
      </c>
      <c r="E20">
        <f>Import!G10</f>
        <v>0</v>
      </c>
      <c r="F20">
        <f>Import!H10</f>
        <v>60000</v>
      </c>
      <c r="G20">
        <f>Import!I10</f>
        <v>7</v>
      </c>
      <c r="H20">
        <f>Import!J10</f>
        <v>368000</v>
      </c>
      <c r="I20" t="str">
        <f>IFERROR(VLOOKUP(Import!M10,CleanParam!$B$4:$C$11,2,0),"")</f>
        <v>ISO 3 – Non-Combustible</v>
      </c>
      <c r="J20">
        <f>Import!N10+Import!AM10+Import!AQ10</f>
        <v>7500</v>
      </c>
      <c r="K20">
        <f>Import!O10</f>
        <v>50000</v>
      </c>
      <c r="L20">
        <f>Import!R10</f>
        <v>30</v>
      </c>
      <c r="M20" t="str">
        <f>IF(Import!T10=0,"No","Yes")</f>
        <v>Yes</v>
      </c>
      <c r="N20">
        <f>Import!U10</f>
        <v>5</v>
      </c>
      <c r="O20">
        <f>Import!V10</f>
        <v>1</v>
      </c>
      <c r="P20" t="str">
        <f>IF(Import!W10="True","Yes","No")</f>
        <v>No</v>
      </c>
      <c r="Q20">
        <f>Import!X10</f>
        <v>1</v>
      </c>
      <c r="R20" t="str">
        <f>VLOOKUP(Import!Y10,CleanParam!$E$4:$F$103,2,0)</f>
        <v>Office</v>
      </c>
      <c r="S20" t="str">
        <f>IF(Import!AC10&gt;0,"Yes","No")</f>
        <v>No</v>
      </c>
      <c r="T20">
        <f>Import!AD10</f>
        <v>100000</v>
      </c>
      <c r="U20">
        <f>Import!AE10</f>
        <v>0</v>
      </c>
      <c r="V20">
        <f>Import!AF10</f>
        <v>100000</v>
      </c>
      <c r="W20" t="str">
        <f>INDEX(CleanParam!$P$4:$P$7,MATCH(Import!AG10,CleanParam!$O$4:$O$7,-1),0)</f>
        <v>80-100%</v>
      </c>
      <c r="X20" t="str">
        <f>Import!AH10</f>
        <v>SPECIAL</v>
      </c>
      <c r="Y20">
        <f>Import!AK10</f>
        <v>7</v>
      </c>
      <c r="Z20" t="str">
        <f>VLOOKUP(Import!AO10,CleanParam!$H$4:$I$9,2,0)</f>
        <v>Partial, No Central Alarm</v>
      </c>
      <c r="AA20" t="str">
        <f>VLOOKUP(Import!AP10,CleanParam!$K$3:$L$53,2,0)</f>
        <v>Louisiana</v>
      </c>
      <c r="AB20" t="str">
        <f>IF(Import!AU10,"Yes","No")</f>
        <v>No</v>
      </c>
      <c r="AC20" t="str">
        <f>IF(2016-Import!AV10=D20,"",2016-Import!AV10)</f>
        <v/>
      </c>
      <c r="AD20" t="str">
        <f>IF(Import!AR10,"Yes","No")</f>
        <v>Yes</v>
      </c>
      <c r="AE20" t="str">
        <f>IF(Import!AS10,"Yes","No")</f>
        <v>No</v>
      </c>
      <c r="AH20" s="229">
        <f>Import!E10</f>
        <v>0</v>
      </c>
      <c r="AI20" t="str">
        <f>Import!F10</f>
        <v>[]</v>
      </c>
      <c r="AJ20" t="b">
        <f>Import!K10</f>
        <v>1</v>
      </c>
      <c r="AK20" t="b">
        <f>Import!L10</f>
        <v>1</v>
      </c>
      <c r="AL20" s="240">
        <f>Import!P10</f>
        <v>42461</v>
      </c>
      <c r="AM20" s="240">
        <f>Import!Q10</f>
        <v>42826</v>
      </c>
      <c r="AN20">
        <f>Import!S10</f>
        <v>0.06</v>
      </c>
      <c r="AO20">
        <f>Import!Z10</f>
        <v>0</v>
      </c>
      <c r="AP20">
        <f>Import!AA10</f>
        <v>0</v>
      </c>
      <c r="AQ20">
        <f>Import!AB10</f>
        <v>100</v>
      </c>
      <c r="AR20" t="b">
        <f>Import!AI10</f>
        <v>0</v>
      </c>
      <c r="AS20" t="str">
        <f>Import!AJ10</f>
        <v>5c8e43e5-ad2f-4a06-8082-b55e301b90c4</v>
      </c>
      <c r="AT20" t="b">
        <f>Import!AL10</f>
        <v>1</v>
      </c>
      <c r="AU20">
        <f>Import!AN10</f>
        <v>3.5000000000000003E-2</v>
      </c>
      <c r="AV20">
        <f>Import!AT10</f>
        <v>0</v>
      </c>
    </row>
    <row r="21" spans="1:48" x14ac:dyDescent="0.2">
      <c r="A21">
        <f>Import!A11</f>
        <v>339</v>
      </c>
      <c r="B21" t="str">
        <f>Import!B11</f>
        <v>Estimating Office</v>
      </c>
      <c r="C21" t="str">
        <f>Import!C11</f>
        <v>17474 Old Jefferson Hwy</v>
      </c>
      <c r="D21">
        <f>2016-Import!D11</f>
        <v>1920</v>
      </c>
      <c r="E21">
        <f>Import!G11</f>
        <v>0</v>
      </c>
      <c r="F21">
        <f>Import!H11</f>
        <v>145000</v>
      </c>
      <c r="G21">
        <f>Import!I11</f>
        <v>8</v>
      </c>
      <c r="H21">
        <f>Import!J11</f>
        <v>368000</v>
      </c>
      <c r="I21" t="str">
        <f>IFERROR(VLOOKUP(Import!M11,CleanParam!$B$4:$C$11,2,0),"")</f>
        <v>ISO 3 – Non-Combustible</v>
      </c>
      <c r="J21">
        <f>Import!N11+Import!AM11+Import!AQ11</f>
        <v>35000</v>
      </c>
      <c r="K21">
        <f>Import!O11</f>
        <v>50000</v>
      </c>
      <c r="L21">
        <f>Import!R11</f>
        <v>30</v>
      </c>
      <c r="M21" t="str">
        <f>IF(Import!T11=0,"No","Yes")</f>
        <v>Yes</v>
      </c>
      <c r="N21">
        <f>Import!U11</f>
        <v>5</v>
      </c>
      <c r="O21">
        <f>Import!V11</f>
        <v>1</v>
      </c>
      <c r="P21" t="str">
        <f>IF(Import!W11="True","Yes","No")</f>
        <v>No</v>
      </c>
      <c r="Q21">
        <f>Import!X11</f>
        <v>1</v>
      </c>
      <c r="R21" t="str">
        <f>VLOOKUP(Import!Y11,CleanParam!$E$4:$F$103,2,0)</f>
        <v>Office</v>
      </c>
      <c r="S21" t="str">
        <f>IF(Import!AC11&gt;0,"Yes","No")</f>
        <v>No</v>
      </c>
      <c r="T21">
        <f>Import!AD11</f>
        <v>100000</v>
      </c>
      <c r="U21">
        <f>Import!AE11</f>
        <v>0</v>
      </c>
      <c r="V21">
        <f>Import!AF11</f>
        <v>100000</v>
      </c>
      <c r="W21" t="str">
        <f>INDEX(CleanParam!$P$4:$P$7,MATCH(Import!AG11,CleanParam!$O$4:$O$7,-1),0)</f>
        <v>80-100%</v>
      </c>
      <c r="X21" t="str">
        <f>Import!AH11</f>
        <v>SPECIAL</v>
      </c>
      <c r="Y21">
        <f>Import!AK11</f>
        <v>7</v>
      </c>
      <c r="Z21" t="str">
        <f>VLOOKUP(Import!AO11,CleanParam!$H$4:$I$9,2,0)</f>
        <v>Partial, No Central Alarm</v>
      </c>
      <c r="AA21" t="str">
        <f>VLOOKUP(Import!AP11,CleanParam!$K$3:$L$53,2,0)</f>
        <v>Louisiana</v>
      </c>
      <c r="AB21" t="str">
        <f>IF(Import!AU11,"Yes","No")</f>
        <v>No</v>
      </c>
      <c r="AC21" t="str">
        <f>IF(2016-Import!AV11=D21,"",2016-Import!AV11)</f>
        <v/>
      </c>
      <c r="AD21" t="str">
        <f>IF(Import!AR11,"Yes","No")</f>
        <v>Yes</v>
      </c>
      <c r="AE21" t="str">
        <f>IF(Import!AS11,"Yes","No")</f>
        <v>No</v>
      </c>
      <c r="AH21" s="229">
        <f>Import!E11</f>
        <v>0</v>
      </c>
      <c r="AI21" t="str">
        <f>Import!F11</f>
        <v>[]</v>
      </c>
      <c r="AJ21" t="b">
        <f>Import!K11</f>
        <v>1</v>
      </c>
      <c r="AK21" t="b">
        <f>Import!L11</f>
        <v>1</v>
      </c>
      <c r="AL21" s="240">
        <f>Import!P11</f>
        <v>42461</v>
      </c>
      <c r="AM21" s="240">
        <f>Import!Q11</f>
        <v>42826</v>
      </c>
      <c r="AN21">
        <f>Import!S11</f>
        <v>0.06</v>
      </c>
      <c r="AO21">
        <f>Import!Z11</f>
        <v>0</v>
      </c>
      <c r="AP21">
        <f>Import!AA11</f>
        <v>0</v>
      </c>
      <c r="AQ21">
        <f>Import!AB11</f>
        <v>100</v>
      </c>
      <c r="AR21" t="b">
        <f>Import!AI11</f>
        <v>0</v>
      </c>
      <c r="AS21" t="str">
        <f>Import!AJ11</f>
        <v>5c8e43e5-ad2f-4a06-8082-b55e301b90c4</v>
      </c>
      <c r="AT21" t="b">
        <f>Import!AL11</f>
        <v>1</v>
      </c>
      <c r="AU21">
        <f>Import!AN11</f>
        <v>3.5000000000000003E-2</v>
      </c>
      <c r="AV21">
        <f>Import!AT11</f>
        <v>0</v>
      </c>
    </row>
    <row r="22" spans="1:48" x14ac:dyDescent="0.2">
      <c r="A22">
        <f>Import!A12</f>
        <v>340</v>
      </c>
      <c r="B22" t="str">
        <f>Import!B12</f>
        <v>HR Building</v>
      </c>
      <c r="C22" t="str">
        <f>Import!C12</f>
        <v>2450 Florida Ave</v>
      </c>
      <c r="D22">
        <f>2016-Import!D12</f>
        <v>2000</v>
      </c>
      <c r="E22">
        <f>Import!G12</f>
        <v>0</v>
      </c>
      <c r="F22">
        <f>Import!H12</f>
        <v>400000</v>
      </c>
      <c r="G22">
        <f>Import!I12</f>
        <v>1</v>
      </c>
      <c r="H22">
        <f>Import!J12</f>
        <v>736000</v>
      </c>
      <c r="I22" t="str">
        <f>IFERROR(VLOOKUP(Import!M12,CleanParam!$B$4:$C$11,2,0),"")</f>
        <v>ISO 3 – Non-Combustible</v>
      </c>
      <c r="J22">
        <f>Import!N12+Import!AM12+Import!AQ12</f>
        <v>65000</v>
      </c>
      <c r="K22">
        <f>Import!O12</f>
        <v>50000</v>
      </c>
      <c r="L22">
        <f>Import!R12</f>
        <v>30</v>
      </c>
      <c r="M22" t="str">
        <f>IF(Import!T12=0,"No","Yes")</f>
        <v>Yes</v>
      </c>
      <c r="N22">
        <f>Import!U12</f>
        <v>5</v>
      </c>
      <c r="O22">
        <f>Import!V12</f>
        <v>2</v>
      </c>
      <c r="P22" t="str">
        <f>IF(Import!W12="True","Yes","No")</f>
        <v>No</v>
      </c>
      <c r="Q22">
        <f>Import!X12</f>
        <v>1</v>
      </c>
      <c r="R22" t="str">
        <f>VLOOKUP(Import!Y12,CleanParam!$E$4:$F$103,2,0)</f>
        <v>Office</v>
      </c>
      <c r="S22" t="str">
        <f>IF(Import!AC12&gt;0,"Yes","No")</f>
        <v>No</v>
      </c>
      <c r="T22">
        <f>Import!AD12</f>
        <v>100000</v>
      </c>
      <c r="U22">
        <f>Import!AE12</f>
        <v>0</v>
      </c>
      <c r="V22">
        <f>Import!AF12</f>
        <v>100000</v>
      </c>
      <c r="W22" t="str">
        <f>INDEX(CleanParam!$P$4:$P$7,MATCH(Import!AG12,CleanParam!$O$4:$O$7,-1),0)</f>
        <v>80-100%</v>
      </c>
      <c r="X22" t="str">
        <f>Import!AH12</f>
        <v>SPECIAL</v>
      </c>
      <c r="Y22">
        <f>Import!AK12</f>
        <v>7</v>
      </c>
      <c r="Z22" t="str">
        <f>VLOOKUP(Import!AO12,CleanParam!$H$4:$I$9,2,0)</f>
        <v>Partial, No Central Alarm</v>
      </c>
      <c r="AA22" t="str">
        <f>VLOOKUP(Import!AP12,CleanParam!$K$3:$L$53,2,0)</f>
        <v>Louisiana</v>
      </c>
      <c r="AB22" t="str">
        <f>IF(Import!AU12,"Yes","No")</f>
        <v>No</v>
      </c>
      <c r="AC22" t="str">
        <f>IF(2016-Import!AV12=D22,"",2016-Import!AV12)</f>
        <v/>
      </c>
      <c r="AD22" t="str">
        <f>IF(Import!AR12,"Yes","No")</f>
        <v>Yes</v>
      </c>
      <c r="AE22" t="str">
        <f>IF(Import!AS12,"Yes","No")</f>
        <v>No</v>
      </c>
      <c r="AH22" s="229">
        <f>Import!E12</f>
        <v>0</v>
      </c>
      <c r="AI22" t="str">
        <f>Import!F12</f>
        <v>[]</v>
      </c>
      <c r="AJ22" t="b">
        <f>Import!K12</f>
        <v>1</v>
      </c>
      <c r="AK22" t="b">
        <f>Import!L12</f>
        <v>1</v>
      </c>
      <c r="AL22" s="240">
        <f>Import!P12</f>
        <v>42461</v>
      </c>
      <c r="AM22" s="240">
        <f>Import!Q12</f>
        <v>42826</v>
      </c>
      <c r="AN22">
        <f>Import!S12</f>
        <v>0.06</v>
      </c>
      <c r="AO22">
        <f>Import!Z12</f>
        <v>0</v>
      </c>
      <c r="AP22">
        <f>Import!AA12</f>
        <v>0</v>
      </c>
      <c r="AQ22">
        <f>Import!AB12</f>
        <v>100</v>
      </c>
      <c r="AR22" t="b">
        <f>Import!AI12</f>
        <v>0</v>
      </c>
      <c r="AS22" t="str">
        <f>Import!AJ12</f>
        <v>5c8e43e5-ad2f-4a06-8082-b55e301b90c4</v>
      </c>
      <c r="AT22" t="b">
        <f>Import!AL12</f>
        <v>1</v>
      </c>
      <c r="AU22">
        <f>Import!AN12</f>
        <v>3.5000000000000003E-2</v>
      </c>
      <c r="AV22">
        <f>Import!AT12</f>
        <v>0</v>
      </c>
    </row>
    <row r="23" spans="1:48" x14ac:dyDescent="0.2">
      <c r="A23">
        <f>Import!A13</f>
        <v>341</v>
      </c>
      <c r="B23" t="str">
        <f>Import!B13</f>
        <v>Paint Building</v>
      </c>
      <c r="C23" t="str">
        <f>Import!C13</f>
        <v>2450 Florida Ave</v>
      </c>
      <c r="D23">
        <f>2016-Import!D13</f>
        <v>1920</v>
      </c>
      <c r="E23">
        <f>Import!G13</f>
        <v>0</v>
      </c>
      <c r="F23">
        <f>Import!H13</f>
        <v>350000</v>
      </c>
      <c r="G23">
        <f>Import!I13</f>
        <v>2</v>
      </c>
      <c r="H23">
        <f>Import!J13</f>
        <v>2552700</v>
      </c>
      <c r="I23" t="str">
        <f>IFERROR(VLOOKUP(Import!M13,CleanParam!$B$4:$C$11,2,0),"")</f>
        <v>ISO 3 – Metal</v>
      </c>
      <c r="J23">
        <f>Import!N13+Import!AM13+Import!AQ13</f>
        <v>65000</v>
      </c>
      <c r="K23">
        <f>Import!O13</f>
        <v>50000</v>
      </c>
      <c r="L23">
        <f>Import!R13</f>
        <v>30</v>
      </c>
      <c r="M23" t="str">
        <f>IF(Import!T13=0,"No","Yes")</f>
        <v>Yes</v>
      </c>
      <c r="N23">
        <f>Import!U13</f>
        <v>5</v>
      </c>
      <c r="O23">
        <f>Import!V13</f>
        <v>2</v>
      </c>
      <c r="P23" t="str">
        <f>IF(Import!W13="True","Yes","No")</f>
        <v>No</v>
      </c>
      <c r="Q23">
        <f>Import!X13</f>
        <v>1</v>
      </c>
      <c r="R23" t="str">
        <f>VLOOKUP(Import!Y13,CleanParam!$E$4:$F$103,2,0)</f>
        <v>General Service</v>
      </c>
      <c r="S23" t="str">
        <f>IF(Import!AC13&gt;0,"Yes","No")</f>
        <v>No</v>
      </c>
      <c r="T23">
        <f>Import!AD13</f>
        <v>100000</v>
      </c>
      <c r="U23">
        <f>Import!AE13</f>
        <v>0</v>
      </c>
      <c r="V23">
        <f>Import!AF13</f>
        <v>100000</v>
      </c>
      <c r="W23" t="str">
        <f>INDEX(CleanParam!$P$4:$P$7,MATCH(Import!AG13,CleanParam!$O$4:$O$7,-1),0)</f>
        <v>80-100%</v>
      </c>
      <c r="X23" t="str">
        <f>Import!AH13</f>
        <v>SPECIAL</v>
      </c>
      <c r="Y23">
        <f>Import!AK13</f>
        <v>7</v>
      </c>
      <c r="Z23" t="str">
        <f>VLOOKUP(Import!AO13,CleanParam!$H$4:$I$9,2,0)</f>
        <v>Partial, No Central Alarm</v>
      </c>
      <c r="AA23" t="str">
        <f>VLOOKUP(Import!AP13,CleanParam!$K$3:$L$53,2,0)</f>
        <v>Louisiana</v>
      </c>
      <c r="AB23" t="str">
        <f>IF(Import!AU13,"Yes","No")</f>
        <v>No</v>
      </c>
      <c r="AC23" t="str">
        <f>IF(2016-Import!AV13=D23,"",2016-Import!AV13)</f>
        <v/>
      </c>
      <c r="AD23" t="str">
        <f>IF(Import!AR13,"Yes","No")</f>
        <v>Yes</v>
      </c>
      <c r="AE23" t="str">
        <f>IF(Import!AS13,"Yes","No")</f>
        <v>No</v>
      </c>
      <c r="AH23" s="229">
        <f>Import!E13</f>
        <v>0</v>
      </c>
      <c r="AI23" t="str">
        <f>Import!F13</f>
        <v>[]</v>
      </c>
      <c r="AJ23" t="b">
        <f>Import!K13</f>
        <v>1</v>
      </c>
      <c r="AK23" t="b">
        <f>Import!L13</f>
        <v>1</v>
      </c>
      <c r="AL23" s="240">
        <f>Import!P13</f>
        <v>42461</v>
      </c>
      <c r="AM23" s="240">
        <f>Import!Q13</f>
        <v>42826</v>
      </c>
      <c r="AN23">
        <f>Import!S13</f>
        <v>0.06</v>
      </c>
      <c r="AO23">
        <f>Import!Z13</f>
        <v>0</v>
      </c>
      <c r="AP23">
        <f>Import!AA13</f>
        <v>0</v>
      </c>
      <c r="AQ23">
        <f>Import!AB13</f>
        <v>100</v>
      </c>
      <c r="AR23" t="b">
        <f>Import!AI13</f>
        <v>0</v>
      </c>
      <c r="AS23" t="str">
        <f>Import!AJ13</f>
        <v>5c8e43e5-ad2f-4a06-8082-b55e301b90c4</v>
      </c>
      <c r="AT23" t="b">
        <f>Import!AL13</f>
        <v>1</v>
      </c>
      <c r="AU23">
        <f>Import!AN13</f>
        <v>3.5000000000000003E-2</v>
      </c>
      <c r="AV23">
        <f>Import!AT13</f>
        <v>0</v>
      </c>
    </row>
    <row r="24" spans="1:48" x14ac:dyDescent="0.2">
      <c r="A24">
        <f>Import!A14</f>
        <v>342</v>
      </c>
      <c r="B24" t="str">
        <f>Import!B14</f>
        <v>Out Building</v>
      </c>
      <c r="C24" t="str">
        <f>Import!C14</f>
        <v>157 Holubar Ave</v>
      </c>
      <c r="D24">
        <f>2016-Import!D14</f>
        <v>1920</v>
      </c>
      <c r="E24">
        <f>Import!G14</f>
        <v>0</v>
      </c>
      <c r="F24">
        <f>Import!H14</f>
        <v>128000</v>
      </c>
      <c r="G24">
        <f>Import!I14</f>
        <v>1</v>
      </c>
      <c r="H24">
        <f>Import!J14</f>
        <v>230595</v>
      </c>
      <c r="I24" t="str">
        <f>IFERROR(VLOOKUP(Import!M14,CleanParam!$B$4:$C$11,2,0),"")</f>
        <v>ISO 1 – Frame</v>
      </c>
      <c r="J24">
        <f>Import!N14+Import!AM14+Import!AQ14</f>
        <v>0</v>
      </c>
      <c r="K24">
        <f>Import!O14</f>
        <v>50000</v>
      </c>
      <c r="L24">
        <f>Import!R14</f>
        <v>30</v>
      </c>
      <c r="M24" t="str">
        <f>IF(Import!T14=0,"No","Yes")</f>
        <v>Yes</v>
      </c>
      <c r="N24">
        <f>Import!U14</f>
        <v>5</v>
      </c>
      <c r="O24">
        <f>Import!V14</f>
        <v>3</v>
      </c>
      <c r="P24" t="str">
        <f>IF(Import!W14="True","Yes","No")</f>
        <v>No</v>
      </c>
      <c r="Q24">
        <f>Import!X14</f>
        <v>1</v>
      </c>
      <c r="R24" t="str">
        <f>VLOOKUP(Import!Y14,CleanParam!$E$4:$F$103,2,0)</f>
        <v>General Service</v>
      </c>
      <c r="S24" t="str">
        <f>IF(Import!AC14&gt;0,"Yes","No")</f>
        <v>No</v>
      </c>
      <c r="T24">
        <f>Import!AD14</f>
        <v>100000</v>
      </c>
      <c r="U24">
        <f>Import!AE14</f>
        <v>0</v>
      </c>
      <c r="V24">
        <f>Import!AF14</f>
        <v>100000</v>
      </c>
      <c r="W24" t="str">
        <f>INDEX(CleanParam!$P$4:$P$7,MATCH(Import!AG14,CleanParam!$O$4:$O$7,-1),0)</f>
        <v>80-100%</v>
      </c>
      <c r="X24" t="str">
        <f>Import!AH14</f>
        <v>SPECIAL</v>
      </c>
      <c r="Y24">
        <f>Import!AK14</f>
        <v>7</v>
      </c>
      <c r="Z24" t="str">
        <f>VLOOKUP(Import!AO14,CleanParam!$H$4:$I$9,2,0)</f>
        <v>Partial, No Central Alarm</v>
      </c>
      <c r="AA24" t="str">
        <f>VLOOKUP(Import!AP14,CleanParam!$K$3:$L$53,2,0)</f>
        <v>Louisiana</v>
      </c>
      <c r="AB24" t="str">
        <f>IF(Import!AU14,"Yes","No")</f>
        <v>No</v>
      </c>
      <c r="AC24" t="str">
        <f>IF(2016-Import!AV14=D24,"",2016-Import!AV14)</f>
        <v/>
      </c>
      <c r="AD24" t="str">
        <f>IF(Import!AR14,"Yes","No")</f>
        <v>Yes</v>
      </c>
      <c r="AE24" t="str">
        <f>IF(Import!AS14,"Yes","No")</f>
        <v>No</v>
      </c>
      <c r="AH24" s="229">
        <f>Import!E14</f>
        <v>0</v>
      </c>
      <c r="AI24" t="str">
        <f>Import!F14</f>
        <v>[]</v>
      </c>
      <c r="AJ24" t="b">
        <f>Import!K14</f>
        <v>1</v>
      </c>
      <c r="AK24" t="b">
        <f>Import!L14</f>
        <v>1</v>
      </c>
      <c r="AL24" s="240">
        <f>Import!P14</f>
        <v>42461</v>
      </c>
      <c r="AM24" s="240">
        <f>Import!Q14</f>
        <v>42826</v>
      </c>
      <c r="AN24">
        <f>Import!S14</f>
        <v>0.06</v>
      </c>
      <c r="AO24">
        <f>Import!Z14</f>
        <v>0</v>
      </c>
      <c r="AP24">
        <f>Import!AA14</f>
        <v>0</v>
      </c>
      <c r="AQ24">
        <f>Import!AB14</f>
        <v>100</v>
      </c>
      <c r="AR24" t="b">
        <f>Import!AI14</f>
        <v>0</v>
      </c>
      <c r="AS24" t="str">
        <f>Import!AJ14</f>
        <v>5c8e43e5-ad2f-4a06-8082-b55e301b90c4</v>
      </c>
      <c r="AT24" t="b">
        <f>Import!AL14</f>
        <v>1</v>
      </c>
      <c r="AU24">
        <f>Import!AN14</f>
        <v>3.5000000000000003E-2</v>
      </c>
      <c r="AV24">
        <f>Import!AT14</f>
        <v>0</v>
      </c>
    </row>
    <row r="25" spans="1:48" x14ac:dyDescent="0.2">
      <c r="A25">
        <f>Import!A15</f>
        <v>0</v>
      </c>
      <c r="B25">
        <f>Import!B15</f>
        <v>0</v>
      </c>
      <c r="C25">
        <f>Import!C15</f>
        <v>0</v>
      </c>
      <c r="D25">
        <f>2016-Import!D15</f>
        <v>2016</v>
      </c>
      <c r="E25">
        <f>Import!G15</f>
        <v>0</v>
      </c>
      <c r="F25">
        <f>Import!H15</f>
        <v>0</v>
      </c>
      <c r="G25">
        <f>Import!I15</f>
        <v>0</v>
      </c>
      <c r="H25">
        <f>Import!J15</f>
        <v>0</v>
      </c>
      <c r="I25" t="str">
        <f>IFERROR(VLOOKUP(Import!M15,CleanParam!$B$4:$C$11,2,0),"")</f>
        <v/>
      </c>
      <c r="J25">
        <f>Import!N15+Import!AM15+Import!AQ15</f>
        <v>0</v>
      </c>
      <c r="K25">
        <f>Import!O15</f>
        <v>0</v>
      </c>
      <c r="L25">
        <f>Import!R15</f>
        <v>0</v>
      </c>
      <c r="M25" t="str">
        <f>IF(Import!T15=0,"No","Yes")</f>
        <v>No</v>
      </c>
      <c r="N25">
        <f>Import!U15</f>
        <v>0</v>
      </c>
      <c r="O25">
        <f>Import!V15</f>
        <v>0</v>
      </c>
      <c r="P25" t="str">
        <f>IF(Import!W15="True","Yes","No")</f>
        <v>No</v>
      </c>
      <c r="Q25">
        <f>Import!X15</f>
        <v>0</v>
      </c>
      <c r="R25" t="e">
        <f>VLOOKUP(Import!Y15,CleanParam!$E$4:$F$103,2,0)</f>
        <v>#N/A</v>
      </c>
      <c r="S25" t="str">
        <f>IF(Import!AC15&gt;0,"Yes","No")</f>
        <v>No</v>
      </c>
      <c r="T25">
        <f>Import!AD15</f>
        <v>0</v>
      </c>
      <c r="U25">
        <f>Import!AE15</f>
        <v>0</v>
      </c>
      <c r="V25">
        <f>Import!AF15</f>
        <v>0</v>
      </c>
      <c r="W25" t="str">
        <f>INDEX(CleanParam!$P$4:$P$7,MATCH(Import!AG15,CleanParam!$O$4:$O$7,-1),0)</f>
        <v>0-25%</v>
      </c>
      <c r="X25">
        <f>Import!AH15</f>
        <v>0</v>
      </c>
      <c r="Y25">
        <f>Import!AK15</f>
        <v>0</v>
      </c>
      <c r="Z25" t="e">
        <f>VLOOKUP(Import!AO15,CleanParam!$H$4:$I$9,2,0)</f>
        <v>#N/A</v>
      </c>
      <c r="AA25" t="e">
        <f>VLOOKUP(Import!AP15,CleanParam!$K$3:$L$53,2,0)</f>
        <v>#N/A</v>
      </c>
      <c r="AB25" t="str">
        <f>IF(Import!AU15,"Yes","No")</f>
        <v>No</v>
      </c>
      <c r="AC25" t="str">
        <f>IF(2016-Import!AV15=D25,"",2016-Import!AV15)</f>
        <v/>
      </c>
      <c r="AD25" t="str">
        <f>IF(Import!AR15,"Yes","No")</f>
        <v>No</v>
      </c>
      <c r="AE25" t="str">
        <f>IF(Import!AS15,"Yes","No")</f>
        <v>No</v>
      </c>
      <c r="AH25" s="229">
        <f>Import!E15</f>
        <v>0</v>
      </c>
      <c r="AI25">
        <f>Import!F15</f>
        <v>0</v>
      </c>
      <c r="AJ25">
        <f>Import!K15</f>
        <v>0</v>
      </c>
      <c r="AK25">
        <f>Import!L15</f>
        <v>0</v>
      </c>
      <c r="AL25" s="240">
        <f>Import!P15</f>
        <v>0</v>
      </c>
      <c r="AM25" s="240">
        <f>Import!Q15</f>
        <v>0</v>
      </c>
      <c r="AN25">
        <f>Import!S15</f>
        <v>0</v>
      </c>
      <c r="AO25">
        <f>Import!Z15</f>
        <v>0</v>
      </c>
      <c r="AP25">
        <f>Import!AA15</f>
        <v>0</v>
      </c>
      <c r="AQ25">
        <f>Import!AB15</f>
        <v>0</v>
      </c>
      <c r="AR25">
        <f>Import!AI15</f>
        <v>0</v>
      </c>
      <c r="AS25">
        <f>Import!AJ15</f>
        <v>0</v>
      </c>
      <c r="AT25">
        <f>Import!AL15</f>
        <v>0</v>
      </c>
      <c r="AU25">
        <f>Import!AN15</f>
        <v>0</v>
      </c>
      <c r="AV25">
        <f>Import!AT15</f>
        <v>0</v>
      </c>
    </row>
    <row r="26" spans="1:48" x14ac:dyDescent="0.2">
      <c r="A26">
        <f>Import!A16</f>
        <v>0</v>
      </c>
      <c r="B26">
        <f>Import!B16</f>
        <v>0</v>
      </c>
      <c r="C26">
        <f>Import!C16</f>
        <v>0</v>
      </c>
      <c r="D26">
        <f>2016-Import!D16</f>
        <v>2016</v>
      </c>
      <c r="E26">
        <f>Import!G16</f>
        <v>0</v>
      </c>
      <c r="F26">
        <f>Import!H16</f>
        <v>0</v>
      </c>
      <c r="G26">
        <f>Import!I16</f>
        <v>0</v>
      </c>
      <c r="H26">
        <f>Import!J16</f>
        <v>0</v>
      </c>
      <c r="I26" t="str">
        <f>IFERROR(VLOOKUP(Import!M16,CleanParam!$B$4:$C$11,2,0),"")</f>
        <v/>
      </c>
      <c r="J26">
        <f>Import!N16+Import!AM16+Import!AQ16</f>
        <v>0</v>
      </c>
      <c r="K26">
        <f>Import!O16</f>
        <v>0</v>
      </c>
      <c r="L26">
        <f>Import!R16</f>
        <v>0</v>
      </c>
      <c r="M26" t="str">
        <f>IF(Import!T16=0,"No","Yes")</f>
        <v>No</v>
      </c>
      <c r="N26">
        <f>Import!U16</f>
        <v>0</v>
      </c>
      <c r="O26">
        <f>Import!V16</f>
        <v>0</v>
      </c>
      <c r="P26" t="str">
        <f>IF(Import!W16="True","Yes","No")</f>
        <v>No</v>
      </c>
      <c r="Q26">
        <f>Import!X16</f>
        <v>0</v>
      </c>
      <c r="R26" t="e">
        <f>VLOOKUP(Import!Y16,CleanParam!$E$4:$F$103,2,0)</f>
        <v>#N/A</v>
      </c>
      <c r="S26" t="str">
        <f>IF(Import!AC16&gt;0,"Yes","No")</f>
        <v>No</v>
      </c>
      <c r="T26">
        <f>Import!AD16</f>
        <v>0</v>
      </c>
      <c r="U26">
        <f>Import!AE16</f>
        <v>0</v>
      </c>
      <c r="V26">
        <f>Import!AF16</f>
        <v>0</v>
      </c>
      <c r="W26" t="str">
        <f>INDEX(CleanParam!$P$4:$P$7,MATCH(Import!AG16,CleanParam!$O$4:$O$7,-1),0)</f>
        <v>0-25%</v>
      </c>
      <c r="X26">
        <f>Import!AH16</f>
        <v>0</v>
      </c>
      <c r="Y26">
        <f>Import!AK16</f>
        <v>0</v>
      </c>
      <c r="Z26" t="e">
        <f>VLOOKUP(Import!AO16,CleanParam!$H$4:$I$9,2,0)</f>
        <v>#N/A</v>
      </c>
      <c r="AA26" t="e">
        <f>VLOOKUP(Import!AP16,CleanParam!$K$3:$L$53,2,0)</f>
        <v>#N/A</v>
      </c>
      <c r="AB26" t="str">
        <f>IF(Import!AU16,"Yes","No")</f>
        <v>No</v>
      </c>
      <c r="AC26" t="str">
        <f>IF(2016-Import!AV16=D26,"",2016-Import!AV16)</f>
        <v/>
      </c>
      <c r="AD26" t="str">
        <f>IF(Import!AR16,"Yes","No")</f>
        <v>No</v>
      </c>
      <c r="AE26" t="str">
        <f>IF(Import!AS16,"Yes","No")</f>
        <v>No</v>
      </c>
      <c r="AH26" s="229">
        <f>Import!E16</f>
        <v>0</v>
      </c>
      <c r="AI26">
        <f>Import!F16</f>
        <v>0</v>
      </c>
      <c r="AJ26">
        <f>Import!K16</f>
        <v>0</v>
      </c>
      <c r="AK26">
        <f>Import!L16</f>
        <v>0</v>
      </c>
      <c r="AL26" s="240">
        <f>Import!P16</f>
        <v>0</v>
      </c>
      <c r="AM26" s="240">
        <f>Import!Q16</f>
        <v>0</v>
      </c>
      <c r="AN26">
        <f>Import!S16</f>
        <v>0</v>
      </c>
      <c r="AO26">
        <f>Import!Z16</f>
        <v>0</v>
      </c>
      <c r="AP26">
        <f>Import!AA16</f>
        <v>0</v>
      </c>
      <c r="AQ26">
        <f>Import!AB16</f>
        <v>0</v>
      </c>
      <c r="AR26">
        <f>Import!AI16</f>
        <v>0</v>
      </c>
      <c r="AS26">
        <f>Import!AJ16</f>
        <v>0</v>
      </c>
      <c r="AT26">
        <f>Import!AL16</f>
        <v>0</v>
      </c>
      <c r="AU26">
        <f>Import!AN16</f>
        <v>0</v>
      </c>
      <c r="AV26">
        <f>Import!AT16</f>
        <v>0</v>
      </c>
    </row>
    <row r="27" spans="1:48" x14ac:dyDescent="0.2">
      <c r="A27">
        <f>Import!A17</f>
        <v>0</v>
      </c>
      <c r="B27">
        <f>Import!B17</f>
        <v>0</v>
      </c>
      <c r="C27">
        <f>Import!C17</f>
        <v>0</v>
      </c>
      <c r="D27">
        <f>2016-Import!D17</f>
        <v>2016</v>
      </c>
      <c r="E27">
        <f>Import!G17</f>
        <v>0</v>
      </c>
      <c r="F27">
        <f>Import!H17</f>
        <v>0</v>
      </c>
      <c r="G27">
        <f>Import!I17</f>
        <v>0</v>
      </c>
      <c r="H27">
        <f>Import!J17</f>
        <v>0</v>
      </c>
      <c r="I27" t="str">
        <f>IFERROR(VLOOKUP(Import!M17,CleanParam!$B$4:$C$11,2,0),"")</f>
        <v/>
      </c>
      <c r="J27">
        <f>Import!N17+Import!AM17+Import!AQ17</f>
        <v>0</v>
      </c>
      <c r="K27">
        <f>Import!O17</f>
        <v>0</v>
      </c>
      <c r="L27">
        <f>Import!R17</f>
        <v>0</v>
      </c>
      <c r="M27" t="str">
        <f>IF(Import!T17=0,"No","Yes")</f>
        <v>No</v>
      </c>
      <c r="N27">
        <f>Import!U17</f>
        <v>0</v>
      </c>
      <c r="O27">
        <f>Import!V17</f>
        <v>0</v>
      </c>
      <c r="P27" t="str">
        <f>IF(Import!W17="True","Yes","No")</f>
        <v>No</v>
      </c>
      <c r="Q27">
        <f>Import!X17</f>
        <v>0</v>
      </c>
      <c r="R27" t="e">
        <f>VLOOKUP(Import!Y17,CleanParam!$E$4:$F$103,2,0)</f>
        <v>#N/A</v>
      </c>
      <c r="S27" t="str">
        <f>IF(Import!AC17&gt;0,"Yes","No")</f>
        <v>No</v>
      </c>
      <c r="T27">
        <f>Import!AD17</f>
        <v>0</v>
      </c>
      <c r="U27">
        <f>Import!AE17</f>
        <v>0</v>
      </c>
      <c r="V27">
        <f>Import!AF17</f>
        <v>0</v>
      </c>
      <c r="W27" t="str">
        <f>INDEX(CleanParam!$P$4:$P$7,MATCH(Import!AG17,CleanParam!$O$4:$O$7,-1),0)</f>
        <v>0-25%</v>
      </c>
      <c r="X27">
        <f>Import!AH17</f>
        <v>0</v>
      </c>
      <c r="Y27">
        <f>Import!AK17</f>
        <v>0</v>
      </c>
      <c r="Z27" t="e">
        <f>VLOOKUP(Import!AO17,CleanParam!$H$4:$I$9,2,0)</f>
        <v>#N/A</v>
      </c>
      <c r="AA27" t="e">
        <f>VLOOKUP(Import!AP17,CleanParam!$K$3:$L$53,2,0)</f>
        <v>#N/A</v>
      </c>
      <c r="AB27" t="str">
        <f>IF(Import!AU17,"Yes","No")</f>
        <v>No</v>
      </c>
      <c r="AC27" t="str">
        <f>IF(2016-Import!AV17=D27,"",2016-Import!AV17)</f>
        <v/>
      </c>
      <c r="AD27" t="str">
        <f>IF(Import!AR17,"Yes","No")</f>
        <v>No</v>
      </c>
      <c r="AE27" t="str">
        <f>IF(Import!AS17,"Yes","No")</f>
        <v>No</v>
      </c>
      <c r="AH27" s="229">
        <f>Import!E17</f>
        <v>0</v>
      </c>
      <c r="AI27">
        <f>Import!F17</f>
        <v>0</v>
      </c>
      <c r="AJ27">
        <f>Import!K17</f>
        <v>0</v>
      </c>
      <c r="AK27">
        <f>Import!L17</f>
        <v>0</v>
      </c>
      <c r="AL27" s="240">
        <f>Import!P17</f>
        <v>0</v>
      </c>
      <c r="AM27" s="240">
        <f>Import!Q17</f>
        <v>0</v>
      </c>
      <c r="AN27">
        <f>Import!S17</f>
        <v>0</v>
      </c>
      <c r="AO27">
        <f>Import!Z17</f>
        <v>0</v>
      </c>
      <c r="AP27">
        <f>Import!AA17</f>
        <v>0</v>
      </c>
      <c r="AQ27">
        <f>Import!AB17</f>
        <v>0</v>
      </c>
      <c r="AR27">
        <f>Import!AI17</f>
        <v>0</v>
      </c>
      <c r="AS27">
        <f>Import!AJ17</f>
        <v>0</v>
      </c>
      <c r="AT27">
        <f>Import!AL17</f>
        <v>0</v>
      </c>
      <c r="AU27">
        <f>Import!AN17</f>
        <v>0</v>
      </c>
      <c r="AV27">
        <f>Import!AT17</f>
        <v>0</v>
      </c>
    </row>
    <row r="28" spans="1:48" x14ac:dyDescent="0.2">
      <c r="A28">
        <f>Import!A18</f>
        <v>0</v>
      </c>
      <c r="B28">
        <f>Import!B18</f>
        <v>0</v>
      </c>
      <c r="C28">
        <f>Import!C18</f>
        <v>0</v>
      </c>
      <c r="D28">
        <f>2016-Import!D18</f>
        <v>2016</v>
      </c>
      <c r="E28">
        <f>Import!G18</f>
        <v>0</v>
      </c>
      <c r="F28">
        <f>Import!H18</f>
        <v>0</v>
      </c>
      <c r="G28">
        <f>Import!I18</f>
        <v>0</v>
      </c>
      <c r="H28">
        <f>Import!J18</f>
        <v>0</v>
      </c>
      <c r="I28" t="str">
        <f>IFERROR(VLOOKUP(Import!M18,CleanParam!$B$4:$C$11,2,0),"")</f>
        <v/>
      </c>
      <c r="J28">
        <f>Import!N18+Import!AM18+Import!AQ18</f>
        <v>0</v>
      </c>
      <c r="K28">
        <f>Import!O18</f>
        <v>0</v>
      </c>
      <c r="L28">
        <f>Import!R18</f>
        <v>0</v>
      </c>
      <c r="M28" t="str">
        <f>IF(Import!T18=0,"No","Yes")</f>
        <v>No</v>
      </c>
      <c r="N28">
        <f>Import!U18</f>
        <v>0</v>
      </c>
      <c r="O28">
        <f>Import!V18</f>
        <v>0</v>
      </c>
      <c r="P28" t="str">
        <f>IF(Import!W18="True","Yes","No")</f>
        <v>No</v>
      </c>
      <c r="Q28">
        <f>Import!X18</f>
        <v>0</v>
      </c>
      <c r="R28" t="e">
        <f>VLOOKUP(Import!Y18,CleanParam!$E$4:$F$103,2,0)</f>
        <v>#N/A</v>
      </c>
      <c r="S28" t="str">
        <f>IF(Import!AC18&gt;0,"Yes","No")</f>
        <v>No</v>
      </c>
      <c r="T28">
        <f>Import!AD18</f>
        <v>0</v>
      </c>
      <c r="U28">
        <f>Import!AE18</f>
        <v>0</v>
      </c>
      <c r="V28">
        <f>Import!AF18</f>
        <v>0</v>
      </c>
      <c r="W28" t="str">
        <f>INDEX(CleanParam!$P$4:$P$7,MATCH(Import!AG18,CleanParam!$O$4:$O$7,-1),0)</f>
        <v>0-25%</v>
      </c>
      <c r="X28">
        <f>Import!AH18</f>
        <v>0</v>
      </c>
      <c r="Y28">
        <f>Import!AK18</f>
        <v>0</v>
      </c>
      <c r="Z28" t="e">
        <f>VLOOKUP(Import!AO18,CleanParam!$H$4:$I$9,2,0)</f>
        <v>#N/A</v>
      </c>
      <c r="AA28" t="e">
        <f>VLOOKUP(Import!AP18,CleanParam!$K$3:$L$53,2,0)</f>
        <v>#N/A</v>
      </c>
      <c r="AB28" t="str">
        <f>IF(Import!AU18,"Yes","No")</f>
        <v>No</v>
      </c>
      <c r="AC28" t="str">
        <f>IF(2016-Import!AV18=D28,"",2016-Import!AV18)</f>
        <v/>
      </c>
      <c r="AD28" t="str">
        <f>IF(Import!AR18,"Yes","No")</f>
        <v>No</v>
      </c>
      <c r="AE28" t="str">
        <f>IF(Import!AS18,"Yes","No")</f>
        <v>No</v>
      </c>
      <c r="AH28" s="229">
        <f>Import!E18</f>
        <v>0</v>
      </c>
      <c r="AI28">
        <f>Import!F18</f>
        <v>0</v>
      </c>
      <c r="AJ28">
        <f>Import!K18</f>
        <v>0</v>
      </c>
      <c r="AK28">
        <f>Import!L18</f>
        <v>0</v>
      </c>
      <c r="AL28" s="240">
        <f>Import!P18</f>
        <v>0</v>
      </c>
      <c r="AM28" s="240">
        <f>Import!Q18</f>
        <v>0</v>
      </c>
      <c r="AN28">
        <f>Import!S18</f>
        <v>0</v>
      </c>
      <c r="AO28">
        <f>Import!Z18</f>
        <v>0</v>
      </c>
      <c r="AP28">
        <f>Import!AA18</f>
        <v>0</v>
      </c>
      <c r="AQ28">
        <f>Import!AB18</f>
        <v>0</v>
      </c>
      <c r="AR28">
        <f>Import!AI18</f>
        <v>0</v>
      </c>
      <c r="AS28">
        <f>Import!AJ18</f>
        <v>0</v>
      </c>
      <c r="AT28">
        <f>Import!AL18</f>
        <v>0</v>
      </c>
      <c r="AU28">
        <f>Import!AN18</f>
        <v>0</v>
      </c>
      <c r="AV28">
        <f>Import!AT18</f>
        <v>0</v>
      </c>
    </row>
    <row r="29" spans="1:48" x14ac:dyDescent="0.2">
      <c r="A29">
        <f>Import!A19</f>
        <v>0</v>
      </c>
      <c r="B29">
        <f>Import!B19</f>
        <v>0</v>
      </c>
      <c r="C29">
        <f>Import!C19</f>
        <v>0</v>
      </c>
      <c r="D29">
        <f>2016-Import!D19</f>
        <v>2016</v>
      </c>
      <c r="E29">
        <f>Import!G19</f>
        <v>0</v>
      </c>
      <c r="F29">
        <f>Import!H19</f>
        <v>0</v>
      </c>
      <c r="G29">
        <f>Import!I19</f>
        <v>0</v>
      </c>
      <c r="H29">
        <f>Import!J19</f>
        <v>0</v>
      </c>
      <c r="I29" t="str">
        <f>IFERROR(VLOOKUP(Import!M19,CleanParam!$B$4:$C$11,2,0),"")</f>
        <v/>
      </c>
      <c r="J29">
        <f>Import!N19+Import!AM19+Import!AQ19</f>
        <v>0</v>
      </c>
      <c r="K29">
        <f>Import!O19</f>
        <v>0</v>
      </c>
      <c r="L29">
        <f>Import!R19</f>
        <v>0</v>
      </c>
      <c r="M29" t="str">
        <f>IF(Import!T19=0,"No","Yes")</f>
        <v>No</v>
      </c>
      <c r="N29">
        <f>Import!U19</f>
        <v>0</v>
      </c>
      <c r="O29">
        <f>Import!V19</f>
        <v>0</v>
      </c>
      <c r="P29" t="str">
        <f>IF(Import!W19="True","Yes","No")</f>
        <v>No</v>
      </c>
      <c r="Q29">
        <f>Import!X19</f>
        <v>0</v>
      </c>
      <c r="R29" t="e">
        <f>VLOOKUP(Import!Y19,CleanParam!$E$4:$F$103,2,0)</f>
        <v>#N/A</v>
      </c>
      <c r="S29" t="str">
        <f>IF(Import!AC19&gt;0,"Yes","No")</f>
        <v>No</v>
      </c>
      <c r="T29">
        <f>Import!AD19</f>
        <v>0</v>
      </c>
      <c r="U29">
        <f>Import!AE19</f>
        <v>0</v>
      </c>
      <c r="V29">
        <f>Import!AF19</f>
        <v>0</v>
      </c>
      <c r="W29" t="str">
        <f>INDEX(CleanParam!$P$4:$P$7,MATCH(Import!AG19,CleanParam!$O$4:$O$7,-1),0)</f>
        <v>0-25%</v>
      </c>
      <c r="X29">
        <f>Import!AH19</f>
        <v>0</v>
      </c>
      <c r="Y29">
        <f>Import!AK19</f>
        <v>0</v>
      </c>
      <c r="Z29" t="e">
        <f>VLOOKUP(Import!AO19,CleanParam!$H$4:$I$9,2,0)</f>
        <v>#N/A</v>
      </c>
      <c r="AA29" t="e">
        <f>VLOOKUP(Import!AP19,CleanParam!$K$3:$L$53,2,0)</f>
        <v>#N/A</v>
      </c>
      <c r="AB29" t="str">
        <f>IF(Import!AU19,"Yes","No")</f>
        <v>No</v>
      </c>
      <c r="AC29" t="str">
        <f>IF(2016-Import!AV19=D29,"",2016-Import!AV19)</f>
        <v/>
      </c>
      <c r="AD29" t="str">
        <f>IF(Import!AR19,"Yes","No")</f>
        <v>No</v>
      </c>
      <c r="AE29" t="str">
        <f>IF(Import!AS19,"Yes","No")</f>
        <v>No</v>
      </c>
      <c r="AH29" s="229">
        <f>Import!E19</f>
        <v>0</v>
      </c>
      <c r="AI29">
        <f>Import!F19</f>
        <v>0</v>
      </c>
      <c r="AJ29">
        <f>Import!K19</f>
        <v>0</v>
      </c>
      <c r="AK29">
        <f>Import!L19</f>
        <v>0</v>
      </c>
      <c r="AL29" s="240">
        <f>Import!P19</f>
        <v>0</v>
      </c>
      <c r="AM29" s="240">
        <f>Import!Q19</f>
        <v>0</v>
      </c>
      <c r="AN29">
        <f>Import!S19</f>
        <v>0</v>
      </c>
      <c r="AO29">
        <f>Import!Z19</f>
        <v>0</v>
      </c>
      <c r="AP29">
        <f>Import!AA19</f>
        <v>0</v>
      </c>
      <c r="AQ29">
        <f>Import!AB19</f>
        <v>0</v>
      </c>
      <c r="AR29">
        <f>Import!AI19</f>
        <v>0</v>
      </c>
      <c r="AS29">
        <f>Import!AJ19</f>
        <v>0</v>
      </c>
      <c r="AT29">
        <f>Import!AL19</f>
        <v>0</v>
      </c>
      <c r="AU29">
        <f>Import!AN19</f>
        <v>0</v>
      </c>
      <c r="AV29">
        <f>Import!AT19</f>
        <v>0</v>
      </c>
    </row>
    <row r="30" spans="1:48" x14ac:dyDescent="0.2">
      <c r="A30">
        <f>Import!A20</f>
        <v>0</v>
      </c>
      <c r="B30">
        <f>Import!B20</f>
        <v>0</v>
      </c>
      <c r="C30">
        <f>Import!C20</f>
        <v>0</v>
      </c>
      <c r="D30">
        <f>2016-Import!D20</f>
        <v>2016</v>
      </c>
      <c r="E30">
        <f>Import!G20</f>
        <v>0</v>
      </c>
      <c r="F30">
        <f>Import!H20</f>
        <v>0</v>
      </c>
      <c r="G30">
        <f>Import!I20</f>
        <v>0</v>
      </c>
      <c r="H30">
        <f>Import!J20</f>
        <v>0</v>
      </c>
      <c r="I30" t="str">
        <f>IFERROR(VLOOKUP(Import!M20,CleanParam!$B$4:$C$11,2,0),"")</f>
        <v/>
      </c>
      <c r="J30">
        <f>Import!N20+Import!AM20+Import!AQ20</f>
        <v>0</v>
      </c>
      <c r="K30">
        <f>Import!O20</f>
        <v>0</v>
      </c>
      <c r="L30">
        <f>Import!R20</f>
        <v>0</v>
      </c>
      <c r="M30" t="str">
        <f>IF(Import!T20=0,"No","Yes")</f>
        <v>No</v>
      </c>
      <c r="N30">
        <f>Import!U20</f>
        <v>0</v>
      </c>
      <c r="O30">
        <f>Import!V20</f>
        <v>0</v>
      </c>
      <c r="P30" t="str">
        <f>IF(Import!W20="True","Yes","No")</f>
        <v>No</v>
      </c>
      <c r="Q30">
        <f>Import!X20</f>
        <v>0</v>
      </c>
      <c r="R30" t="e">
        <f>VLOOKUP(Import!Y20,CleanParam!$E$4:$F$103,2,0)</f>
        <v>#N/A</v>
      </c>
      <c r="S30" t="str">
        <f>IF(Import!AC20&gt;0,"Yes","No")</f>
        <v>No</v>
      </c>
      <c r="T30">
        <f>Import!AD20</f>
        <v>0</v>
      </c>
      <c r="U30">
        <f>Import!AE20</f>
        <v>0</v>
      </c>
      <c r="V30">
        <f>Import!AF20</f>
        <v>0</v>
      </c>
      <c r="W30" t="str">
        <f>INDEX(CleanParam!$P$4:$P$7,MATCH(Import!AG20,CleanParam!$O$4:$O$7,-1),0)</f>
        <v>0-25%</v>
      </c>
      <c r="X30">
        <f>Import!AH20</f>
        <v>0</v>
      </c>
      <c r="Y30">
        <f>Import!AK20</f>
        <v>0</v>
      </c>
      <c r="Z30" t="e">
        <f>VLOOKUP(Import!AO20,CleanParam!$H$4:$I$9,2,0)</f>
        <v>#N/A</v>
      </c>
      <c r="AA30" t="e">
        <f>VLOOKUP(Import!AP20,CleanParam!$K$3:$L$53,2,0)</f>
        <v>#N/A</v>
      </c>
      <c r="AB30" t="str">
        <f>IF(Import!AU20,"Yes","No")</f>
        <v>No</v>
      </c>
      <c r="AC30" t="str">
        <f>IF(2016-Import!AV20=D30,"",2016-Import!AV20)</f>
        <v/>
      </c>
      <c r="AD30" t="str">
        <f>IF(Import!AR20,"Yes","No")</f>
        <v>No</v>
      </c>
      <c r="AE30" t="str">
        <f>IF(Import!AS20,"Yes","No")</f>
        <v>No</v>
      </c>
      <c r="AH30" s="229">
        <f>Import!E20</f>
        <v>0</v>
      </c>
      <c r="AI30">
        <f>Import!F20</f>
        <v>0</v>
      </c>
      <c r="AJ30">
        <f>Import!K20</f>
        <v>0</v>
      </c>
      <c r="AK30">
        <f>Import!L20</f>
        <v>0</v>
      </c>
      <c r="AL30" s="240">
        <f>Import!P20</f>
        <v>0</v>
      </c>
      <c r="AM30" s="240">
        <f>Import!Q20</f>
        <v>0</v>
      </c>
      <c r="AN30">
        <f>Import!S20</f>
        <v>0</v>
      </c>
      <c r="AO30">
        <f>Import!Z20</f>
        <v>0</v>
      </c>
      <c r="AP30">
        <f>Import!AA20</f>
        <v>0</v>
      </c>
      <c r="AQ30">
        <f>Import!AB20</f>
        <v>0</v>
      </c>
      <c r="AR30">
        <f>Import!AI20</f>
        <v>0</v>
      </c>
      <c r="AS30">
        <f>Import!AJ20</f>
        <v>0</v>
      </c>
      <c r="AT30">
        <f>Import!AL20</f>
        <v>0</v>
      </c>
      <c r="AU30">
        <f>Import!AN20</f>
        <v>0</v>
      </c>
      <c r="AV30">
        <f>Import!AT20</f>
        <v>0</v>
      </c>
    </row>
    <row r="31" spans="1:48" x14ac:dyDescent="0.2">
      <c r="A31">
        <f>Import!A21</f>
        <v>0</v>
      </c>
      <c r="B31">
        <f>Import!B21</f>
        <v>0</v>
      </c>
      <c r="C31">
        <f>Import!C21</f>
        <v>0</v>
      </c>
      <c r="D31">
        <f>2016-Import!D21</f>
        <v>2016</v>
      </c>
      <c r="E31">
        <f>Import!G21</f>
        <v>0</v>
      </c>
      <c r="F31">
        <f>Import!H21</f>
        <v>0</v>
      </c>
      <c r="G31">
        <f>Import!I21</f>
        <v>0</v>
      </c>
      <c r="H31">
        <f>Import!J21</f>
        <v>0</v>
      </c>
      <c r="I31" t="str">
        <f>IFERROR(VLOOKUP(Import!M21,CleanParam!$B$4:$C$11,2,0),"")</f>
        <v/>
      </c>
      <c r="J31">
        <f>Import!N21+Import!AM21+Import!AQ21</f>
        <v>0</v>
      </c>
      <c r="K31">
        <f>Import!O21</f>
        <v>0</v>
      </c>
      <c r="L31">
        <f>Import!R21</f>
        <v>0</v>
      </c>
      <c r="M31" t="str">
        <f>IF(Import!T21=0,"No","Yes")</f>
        <v>No</v>
      </c>
      <c r="N31">
        <f>Import!U21</f>
        <v>0</v>
      </c>
      <c r="O31">
        <f>Import!V21</f>
        <v>0</v>
      </c>
      <c r="P31" t="str">
        <f>IF(Import!W21="True","Yes","No")</f>
        <v>No</v>
      </c>
      <c r="Q31">
        <f>Import!X21</f>
        <v>0</v>
      </c>
      <c r="R31" t="e">
        <f>VLOOKUP(Import!Y21,CleanParam!$E$4:$F$103,2,0)</f>
        <v>#N/A</v>
      </c>
      <c r="S31" t="str">
        <f>IF(Import!AC21&gt;0,"Yes","No")</f>
        <v>No</v>
      </c>
      <c r="T31">
        <f>Import!AD21</f>
        <v>0</v>
      </c>
      <c r="U31">
        <f>Import!AE21</f>
        <v>0</v>
      </c>
      <c r="V31">
        <f>Import!AF21</f>
        <v>0</v>
      </c>
      <c r="W31" t="str">
        <f>INDEX(CleanParam!$P$4:$P$7,MATCH(Import!AG21,CleanParam!$O$4:$O$7,-1),0)</f>
        <v>0-25%</v>
      </c>
      <c r="X31">
        <f>Import!AH21</f>
        <v>0</v>
      </c>
      <c r="Y31">
        <f>Import!AK21</f>
        <v>0</v>
      </c>
      <c r="Z31" t="e">
        <f>VLOOKUP(Import!AO21,CleanParam!$H$4:$I$9,2,0)</f>
        <v>#N/A</v>
      </c>
      <c r="AA31" t="e">
        <f>VLOOKUP(Import!AP21,CleanParam!$K$3:$L$53,2,0)</f>
        <v>#N/A</v>
      </c>
      <c r="AB31" t="str">
        <f>IF(Import!AU21,"Yes","No")</f>
        <v>No</v>
      </c>
      <c r="AC31" t="str">
        <f>IF(2016-Import!AV21=D31,"",2016-Import!AV21)</f>
        <v/>
      </c>
      <c r="AD31" t="str">
        <f>IF(Import!AR21,"Yes","No")</f>
        <v>No</v>
      </c>
      <c r="AE31" t="str">
        <f>IF(Import!AS21,"Yes","No")</f>
        <v>No</v>
      </c>
      <c r="AH31" s="229">
        <f>Import!E21</f>
        <v>0</v>
      </c>
      <c r="AI31">
        <f>Import!F21</f>
        <v>0</v>
      </c>
      <c r="AJ31">
        <f>Import!K21</f>
        <v>0</v>
      </c>
      <c r="AK31">
        <f>Import!L21</f>
        <v>0</v>
      </c>
      <c r="AL31" s="240">
        <f>Import!P21</f>
        <v>0</v>
      </c>
      <c r="AM31" s="240">
        <f>Import!Q21</f>
        <v>0</v>
      </c>
      <c r="AN31">
        <f>Import!S21</f>
        <v>0</v>
      </c>
      <c r="AO31">
        <f>Import!Z21</f>
        <v>0</v>
      </c>
      <c r="AP31">
        <f>Import!AA21</f>
        <v>0</v>
      </c>
      <c r="AQ31">
        <f>Import!AB21</f>
        <v>0</v>
      </c>
      <c r="AR31">
        <f>Import!AI21</f>
        <v>0</v>
      </c>
      <c r="AS31">
        <f>Import!AJ21</f>
        <v>0</v>
      </c>
      <c r="AT31">
        <f>Import!AL21</f>
        <v>0</v>
      </c>
      <c r="AU31">
        <f>Import!AN21</f>
        <v>0</v>
      </c>
      <c r="AV31">
        <f>Import!AT21</f>
        <v>0</v>
      </c>
    </row>
    <row r="32" spans="1:48" x14ac:dyDescent="0.2">
      <c r="A32">
        <f>Import!A22</f>
        <v>0</v>
      </c>
      <c r="B32">
        <f>Import!B22</f>
        <v>0</v>
      </c>
      <c r="C32">
        <f>Import!C22</f>
        <v>0</v>
      </c>
      <c r="D32">
        <f>2016-Import!D22</f>
        <v>2016</v>
      </c>
      <c r="E32">
        <f>Import!G22</f>
        <v>0</v>
      </c>
      <c r="F32">
        <f>Import!H22</f>
        <v>0</v>
      </c>
      <c r="G32">
        <f>Import!I22</f>
        <v>0</v>
      </c>
      <c r="H32">
        <f>Import!J22</f>
        <v>0</v>
      </c>
      <c r="I32" t="str">
        <f>IFERROR(VLOOKUP(Import!M22,CleanParam!$B$4:$C$11,2,0),"")</f>
        <v/>
      </c>
      <c r="J32">
        <f>Import!N22+Import!AM22+Import!AQ22</f>
        <v>0</v>
      </c>
      <c r="K32">
        <f>Import!O22</f>
        <v>0</v>
      </c>
      <c r="L32">
        <f>Import!R22</f>
        <v>0</v>
      </c>
      <c r="M32" t="str">
        <f>IF(Import!T22=0,"No","Yes")</f>
        <v>No</v>
      </c>
      <c r="N32">
        <f>Import!U22</f>
        <v>0</v>
      </c>
      <c r="O32">
        <f>Import!V22</f>
        <v>0</v>
      </c>
      <c r="P32" t="str">
        <f>IF(Import!W22="True","Yes","No")</f>
        <v>No</v>
      </c>
      <c r="Q32">
        <f>Import!X22</f>
        <v>0</v>
      </c>
      <c r="R32" t="e">
        <f>VLOOKUP(Import!Y22,CleanParam!$E$4:$F$103,2,0)</f>
        <v>#N/A</v>
      </c>
      <c r="S32" t="str">
        <f>IF(Import!AC22&gt;0,"Yes","No")</f>
        <v>No</v>
      </c>
      <c r="T32">
        <f>Import!AD22</f>
        <v>0</v>
      </c>
      <c r="U32">
        <f>Import!AE22</f>
        <v>0</v>
      </c>
      <c r="V32">
        <f>Import!AF22</f>
        <v>0</v>
      </c>
      <c r="W32" t="str">
        <f>INDEX(CleanParam!$P$4:$P$7,MATCH(Import!AG22,CleanParam!$O$4:$O$7,-1),0)</f>
        <v>0-25%</v>
      </c>
      <c r="X32">
        <f>Import!AH22</f>
        <v>0</v>
      </c>
      <c r="Y32">
        <f>Import!AK22</f>
        <v>0</v>
      </c>
      <c r="Z32" t="e">
        <f>VLOOKUP(Import!AO22,CleanParam!$H$4:$I$9,2,0)</f>
        <v>#N/A</v>
      </c>
      <c r="AA32" t="e">
        <f>VLOOKUP(Import!AP22,CleanParam!$K$3:$L$53,2,0)</f>
        <v>#N/A</v>
      </c>
      <c r="AB32" t="str">
        <f>IF(Import!AU22,"Yes","No")</f>
        <v>No</v>
      </c>
      <c r="AC32" t="str">
        <f>IF(2016-Import!AV22=D32,"",2016-Import!AV22)</f>
        <v/>
      </c>
      <c r="AD32" t="str">
        <f>IF(Import!AR22,"Yes","No")</f>
        <v>No</v>
      </c>
      <c r="AE32" t="str">
        <f>IF(Import!AS22,"Yes","No")</f>
        <v>No</v>
      </c>
      <c r="AH32" s="229">
        <f>Import!E22</f>
        <v>0</v>
      </c>
      <c r="AI32">
        <f>Import!F22</f>
        <v>0</v>
      </c>
      <c r="AJ32">
        <f>Import!K22</f>
        <v>0</v>
      </c>
      <c r="AK32">
        <f>Import!L22</f>
        <v>0</v>
      </c>
      <c r="AL32" s="240">
        <f>Import!P22</f>
        <v>0</v>
      </c>
      <c r="AM32" s="240">
        <f>Import!Q22</f>
        <v>0</v>
      </c>
      <c r="AN32">
        <f>Import!S22</f>
        <v>0</v>
      </c>
      <c r="AO32">
        <f>Import!Z22</f>
        <v>0</v>
      </c>
      <c r="AP32">
        <f>Import!AA22</f>
        <v>0</v>
      </c>
      <c r="AQ32">
        <f>Import!AB22</f>
        <v>0</v>
      </c>
      <c r="AR32">
        <f>Import!AI22</f>
        <v>0</v>
      </c>
      <c r="AS32">
        <f>Import!AJ22</f>
        <v>0</v>
      </c>
      <c r="AT32">
        <f>Import!AL22</f>
        <v>0</v>
      </c>
      <c r="AU32">
        <f>Import!AN22</f>
        <v>0</v>
      </c>
      <c r="AV32">
        <f>Import!AT22</f>
        <v>0</v>
      </c>
    </row>
    <row r="33" spans="1:48" x14ac:dyDescent="0.2">
      <c r="A33">
        <f>Import!A23</f>
        <v>0</v>
      </c>
      <c r="B33">
        <f>Import!B23</f>
        <v>0</v>
      </c>
      <c r="C33">
        <f>Import!C23</f>
        <v>0</v>
      </c>
      <c r="D33">
        <f>2016-Import!D23</f>
        <v>2016</v>
      </c>
      <c r="E33">
        <f>Import!G23</f>
        <v>0</v>
      </c>
      <c r="F33">
        <f>Import!H23</f>
        <v>0</v>
      </c>
      <c r="G33">
        <f>Import!I23</f>
        <v>0</v>
      </c>
      <c r="H33">
        <f>Import!J23</f>
        <v>0</v>
      </c>
      <c r="I33" t="str">
        <f>IFERROR(VLOOKUP(Import!M23,CleanParam!$B$4:$C$11,2,0),"")</f>
        <v/>
      </c>
      <c r="J33">
        <f>Import!N23+Import!AM23+Import!AQ23</f>
        <v>0</v>
      </c>
      <c r="K33">
        <f>Import!O23</f>
        <v>0</v>
      </c>
      <c r="L33">
        <f>Import!R23</f>
        <v>0</v>
      </c>
      <c r="M33" t="str">
        <f>IF(Import!T23=0,"No","Yes")</f>
        <v>No</v>
      </c>
      <c r="N33">
        <f>Import!U23</f>
        <v>0</v>
      </c>
      <c r="O33">
        <f>Import!V23</f>
        <v>0</v>
      </c>
      <c r="P33" t="str">
        <f>IF(Import!W23="True","Yes","No")</f>
        <v>No</v>
      </c>
      <c r="Q33">
        <f>Import!X23</f>
        <v>0</v>
      </c>
      <c r="R33" t="e">
        <f>VLOOKUP(Import!Y23,CleanParam!$E$4:$F$103,2,0)</f>
        <v>#N/A</v>
      </c>
      <c r="S33" t="str">
        <f>IF(Import!AC23&gt;0,"Yes","No")</f>
        <v>No</v>
      </c>
      <c r="T33">
        <f>Import!AD23</f>
        <v>0</v>
      </c>
      <c r="U33">
        <f>Import!AE23</f>
        <v>0</v>
      </c>
      <c r="V33">
        <f>Import!AF23</f>
        <v>0</v>
      </c>
      <c r="W33" t="str">
        <f>INDEX(CleanParam!$P$4:$P$7,MATCH(Import!AG23,CleanParam!$O$4:$O$7,-1),0)</f>
        <v>0-25%</v>
      </c>
      <c r="X33">
        <f>Import!AH23</f>
        <v>0</v>
      </c>
      <c r="Y33">
        <f>Import!AK23</f>
        <v>0</v>
      </c>
      <c r="Z33" t="e">
        <f>VLOOKUP(Import!AO23,CleanParam!$H$4:$I$9,2,0)</f>
        <v>#N/A</v>
      </c>
      <c r="AA33" t="e">
        <f>VLOOKUP(Import!AP23,CleanParam!$K$3:$L$53,2,0)</f>
        <v>#N/A</v>
      </c>
      <c r="AB33" t="str">
        <f>IF(Import!AU23,"Yes","No")</f>
        <v>No</v>
      </c>
      <c r="AC33" t="str">
        <f>IF(2016-Import!AV23=D33,"",2016-Import!AV23)</f>
        <v/>
      </c>
      <c r="AD33" t="str">
        <f>IF(Import!AR23,"Yes","No")</f>
        <v>No</v>
      </c>
      <c r="AE33" t="str">
        <f>IF(Import!AS23,"Yes","No")</f>
        <v>No</v>
      </c>
      <c r="AH33" s="229">
        <f>Import!E23</f>
        <v>0</v>
      </c>
      <c r="AI33">
        <f>Import!F23</f>
        <v>0</v>
      </c>
      <c r="AJ33">
        <f>Import!K23</f>
        <v>0</v>
      </c>
      <c r="AK33">
        <f>Import!L23</f>
        <v>0</v>
      </c>
      <c r="AL33" s="240">
        <f>Import!P23</f>
        <v>0</v>
      </c>
      <c r="AM33" s="240">
        <f>Import!Q23</f>
        <v>0</v>
      </c>
      <c r="AN33">
        <f>Import!S23</f>
        <v>0</v>
      </c>
      <c r="AO33">
        <f>Import!Z23</f>
        <v>0</v>
      </c>
      <c r="AP33">
        <f>Import!AA23</f>
        <v>0</v>
      </c>
      <c r="AQ33">
        <f>Import!AB23</f>
        <v>0</v>
      </c>
      <c r="AR33">
        <f>Import!AI23</f>
        <v>0</v>
      </c>
      <c r="AS33">
        <f>Import!AJ23</f>
        <v>0</v>
      </c>
      <c r="AT33">
        <f>Import!AL23</f>
        <v>0</v>
      </c>
      <c r="AU33">
        <f>Import!AN23</f>
        <v>0</v>
      </c>
      <c r="AV33">
        <f>Import!AT23</f>
        <v>0</v>
      </c>
    </row>
    <row r="34" spans="1:48" x14ac:dyDescent="0.2">
      <c r="A34">
        <f>Import!A24</f>
        <v>0</v>
      </c>
      <c r="B34">
        <f>Import!B24</f>
        <v>0</v>
      </c>
      <c r="C34">
        <f>Import!C24</f>
        <v>0</v>
      </c>
      <c r="D34">
        <f>2016-Import!D24</f>
        <v>2016</v>
      </c>
      <c r="E34">
        <f>Import!G24</f>
        <v>0</v>
      </c>
      <c r="F34">
        <f>Import!H24</f>
        <v>0</v>
      </c>
      <c r="G34">
        <f>Import!I24</f>
        <v>0</v>
      </c>
      <c r="H34">
        <f>Import!J24</f>
        <v>0</v>
      </c>
      <c r="I34" t="str">
        <f>IFERROR(VLOOKUP(Import!M24,CleanParam!$B$4:$C$11,2,0),"")</f>
        <v/>
      </c>
      <c r="J34">
        <f>Import!N24+Import!AM24+Import!AQ24</f>
        <v>0</v>
      </c>
      <c r="K34">
        <f>Import!O24</f>
        <v>0</v>
      </c>
      <c r="L34">
        <f>Import!R24</f>
        <v>0</v>
      </c>
      <c r="M34" t="str">
        <f>IF(Import!T24=0,"No","Yes")</f>
        <v>No</v>
      </c>
      <c r="N34">
        <f>Import!U24</f>
        <v>0</v>
      </c>
      <c r="O34">
        <f>Import!V24</f>
        <v>0</v>
      </c>
      <c r="P34" t="str">
        <f>IF(Import!W24="True","Yes","No")</f>
        <v>No</v>
      </c>
      <c r="Q34">
        <f>Import!X24</f>
        <v>0</v>
      </c>
      <c r="R34" t="e">
        <f>VLOOKUP(Import!Y24,CleanParam!$E$4:$F$103,2,0)</f>
        <v>#N/A</v>
      </c>
      <c r="S34" t="str">
        <f>IF(Import!AC24&gt;0,"Yes","No")</f>
        <v>No</v>
      </c>
      <c r="T34">
        <f>Import!AD24</f>
        <v>0</v>
      </c>
      <c r="U34">
        <f>Import!AE24</f>
        <v>0</v>
      </c>
      <c r="V34">
        <f>Import!AF24</f>
        <v>0</v>
      </c>
      <c r="W34" t="str">
        <f>INDEX(CleanParam!$P$4:$P$7,MATCH(Import!AG24,CleanParam!$O$4:$O$7,-1),0)</f>
        <v>0-25%</v>
      </c>
      <c r="X34">
        <f>Import!AH24</f>
        <v>0</v>
      </c>
      <c r="Y34">
        <f>Import!AK24</f>
        <v>0</v>
      </c>
      <c r="Z34" t="e">
        <f>VLOOKUP(Import!AO24,CleanParam!$H$4:$I$9,2,0)</f>
        <v>#N/A</v>
      </c>
      <c r="AA34" t="e">
        <f>VLOOKUP(Import!AP24,CleanParam!$K$3:$L$53,2,0)</f>
        <v>#N/A</v>
      </c>
      <c r="AB34" t="str">
        <f>IF(Import!AU24,"Yes","No")</f>
        <v>No</v>
      </c>
      <c r="AC34" t="str">
        <f>IF(2016-Import!AV24=D34,"",2016-Import!AV24)</f>
        <v/>
      </c>
      <c r="AD34" t="str">
        <f>IF(Import!AR24,"Yes","No")</f>
        <v>No</v>
      </c>
      <c r="AE34" t="str">
        <f>IF(Import!AS24,"Yes","No")</f>
        <v>No</v>
      </c>
      <c r="AH34" s="229">
        <f>Import!E24</f>
        <v>0</v>
      </c>
      <c r="AI34">
        <f>Import!F24</f>
        <v>0</v>
      </c>
      <c r="AJ34">
        <f>Import!K24</f>
        <v>0</v>
      </c>
      <c r="AK34">
        <f>Import!L24</f>
        <v>0</v>
      </c>
      <c r="AL34" s="240">
        <f>Import!P24</f>
        <v>0</v>
      </c>
      <c r="AM34" s="240">
        <f>Import!Q24</f>
        <v>0</v>
      </c>
      <c r="AN34">
        <f>Import!S24</f>
        <v>0</v>
      </c>
      <c r="AO34">
        <f>Import!Z24</f>
        <v>0</v>
      </c>
      <c r="AP34">
        <f>Import!AA24</f>
        <v>0</v>
      </c>
      <c r="AQ34">
        <f>Import!AB24</f>
        <v>0</v>
      </c>
      <c r="AR34">
        <f>Import!AI24</f>
        <v>0</v>
      </c>
      <c r="AS34">
        <f>Import!AJ24</f>
        <v>0</v>
      </c>
      <c r="AT34">
        <f>Import!AL24</f>
        <v>0</v>
      </c>
      <c r="AU34">
        <f>Import!AN24</f>
        <v>0</v>
      </c>
      <c r="AV34">
        <f>Import!AT24</f>
        <v>0</v>
      </c>
    </row>
    <row r="35" spans="1:48" x14ac:dyDescent="0.2">
      <c r="A35">
        <f>Import!A25</f>
        <v>0</v>
      </c>
      <c r="B35">
        <f>Import!B25</f>
        <v>0</v>
      </c>
      <c r="C35">
        <f>Import!C25</f>
        <v>0</v>
      </c>
      <c r="D35">
        <f>2016-Import!D25</f>
        <v>2016</v>
      </c>
      <c r="E35">
        <f>Import!G25</f>
        <v>0</v>
      </c>
      <c r="F35">
        <f>Import!H25</f>
        <v>0</v>
      </c>
      <c r="G35">
        <f>Import!I25</f>
        <v>0</v>
      </c>
      <c r="H35">
        <f>Import!J25</f>
        <v>0</v>
      </c>
      <c r="I35" t="str">
        <f>IFERROR(VLOOKUP(Import!M25,CleanParam!$B$4:$C$11,2,0),"")</f>
        <v/>
      </c>
      <c r="J35">
        <f>Import!N25+Import!AM25+Import!AQ25</f>
        <v>0</v>
      </c>
      <c r="K35">
        <f>Import!O25</f>
        <v>0</v>
      </c>
      <c r="L35">
        <f>Import!R25</f>
        <v>0</v>
      </c>
      <c r="M35" t="str">
        <f>IF(Import!T25=0,"No","Yes")</f>
        <v>No</v>
      </c>
      <c r="N35">
        <f>Import!U25</f>
        <v>0</v>
      </c>
      <c r="O35">
        <f>Import!V25</f>
        <v>0</v>
      </c>
      <c r="P35" t="str">
        <f>IF(Import!W25="True","Yes","No")</f>
        <v>No</v>
      </c>
      <c r="Q35">
        <f>Import!X25</f>
        <v>0</v>
      </c>
      <c r="R35" t="e">
        <f>VLOOKUP(Import!Y25,CleanParam!$E$4:$F$103,2,0)</f>
        <v>#N/A</v>
      </c>
      <c r="S35" t="str">
        <f>IF(Import!AC25&gt;0,"Yes","No")</f>
        <v>No</v>
      </c>
      <c r="T35">
        <f>Import!AD25</f>
        <v>0</v>
      </c>
      <c r="U35">
        <f>Import!AE25</f>
        <v>0</v>
      </c>
      <c r="V35">
        <f>Import!AF25</f>
        <v>0</v>
      </c>
      <c r="W35" t="str">
        <f>INDEX(CleanParam!$P$4:$P$7,MATCH(Import!AG25,CleanParam!$O$4:$O$7,-1),0)</f>
        <v>0-25%</v>
      </c>
      <c r="X35">
        <f>Import!AH25</f>
        <v>0</v>
      </c>
      <c r="Y35">
        <f>Import!AK25</f>
        <v>0</v>
      </c>
      <c r="Z35" t="e">
        <f>VLOOKUP(Import!AO25,CleanParam!$H$4:$I$9,2,0)</f>
        <v>#N/A</v>
      </c>
      <c r="AA35" t="e">
        <f>VLOOKUP(Import!AP25,CleanParam!$K$3:$L$53,2,0)</f>
        <v>#N/A</v>
      </c>
      <c r="AB35" t="str">
        <f>IF(Import!AU25,"Yes","No")</f>
        <v>No</v>
      </c>
      <c r="AC35" t="str">
        <f>IF(2016-Import!AV25=D35,"",2016-Import!AV25)</f>
        <v/>
      </c>
      <c r="AD35" t="str">
        <f>IF(Import!AR25,"Yes","No")</f>
        <v>No</v>
      </c>
      <c r="AE35" t="str">
        <f>IF(Import!AS25,"Yes","No")</f>
        <v>No</v>
      </c>
      <c r="AH35" s="229">
        <f>Import!E25</f>
        <v>0</v>
      </c>
      <c r="AI35">
        <f>Import!F25</f>
        <v>0</v>
      </c>
      <c r="AJ35">
        <f>Import!K25</f>
        <v>0</v>
      </c>
      <c r="AK35">
        <f>Import!L25</f>
        <v>0</v>
      </c>
      <c r="AL35" s="240">
        <f>Import!P25</f>
        <v>0</v>
      </c>
      <c r="AM35" s="240">
        <f>Import!Q25</f>
        <v>0</v>
      </c>
      <c r="AN35">
        <f>Import!S25</f>
        <v>0</v>
      </c>
      <c r="AO35">
        <f>Import!Z25</f>
        <v>0</v>
      </c>
      <c r="AP35">
        <f>Import!AA25</f>
        <v>0</v>
      </c>
      <c r="AQ35">
        <f>Import!AB25</f>
        <v>0</v>
      </c>
      <c r="AR35">
        <f>Import!AI25</f>
        <v>0</v>
      </c>
      <c r="AS35">
        <f>Import!AJ25</f>
        <v>0</v>
      </c>
      <c r="AT35">
        <f>Import!AL25</f>
        <v>0</v>
      </c>
      <c r="AU35">
        <f>Import!AN25</f>
        <v>0</v>
      </c>
      <c r="AV35">
        <f>Import!AT25</f>
        <v>0</v>
      </c>
    </row>
    <row r="36" spans="1:48" x14ac:dyDescent="0.2">
      <c r="A36">
        <f>Import!A26</f>
        <v>0</v>
      </c>
      <c r="B36">
        <f>Import!B26</f>
        <v>0</v>
      </c>
      <c r="C36">
        <f>Import!C26</f>
        <v>0</v>
      </c>
      <c r="D36">
        <f>2016-Import!D26</f>
        <v>2016</v>
      </c>
      <c r="E36">
        <f>Import!G26</f>
        <v>0</v>
      </c>
      <c r="F36">
        <f>Import!H26</f>
        <v>0</v>
      </c>
      <c r="G36">
        <f>Import!I26</f>
        <v>0</v>
      </c>
      <c r="H36">
        <f>Import!J26</f>
        <v>0</v>
      </c>
      <c r="I36" t="str">
        <f>IFERROR(VLOOKUP(Import!M26,CleanParam!$B$4:$C$11,2,0),"")</f>
        <v/>
      </c>
      <c r="J36">
        <f>Import!N26+Import!AM26+Import!AQ26</f>
        <v>0</v>
      </c>
      <c r="K36">
        <f>Import!O26</f>
        <v>0</v>
      </c>
      <c r="L36">
        <f>Import!R26</f>
        <v>0</v>
      </c>
      <c r="M36" t="str">
        <f>IF(Import!T26=0,"No","Yes")</f>
        <v>No</v>
      </c>
      <c r="N36">
        <f>Import!U26</f>
        <v>0</v>
      </c>
      <c r="O36">
        <f>Import!V26</f>
        <v>0</v>
      </c>
      <c r="P36" t="str">
        <f>IF(Import!W26="True","Yes","No")</f>
        <v>No</v>
      </c>
      <c r="Q36">
        <f>Import!X26</f>
        <v>0</v>
      </c>
      <c r="R36" t="e">
        <f>VLOOKUP(Import!Y26,CleanParam!$E$4:$F$103,2,0)</f>
        <v>#N/A</v>
      </c>
      <c r="S36" t="str">
        <f>IF(Import!AC26&gt;0,"Yes","No")</f>
        <v>No</v>
      </c>
      <c r="T36">
        <f>Import!AD26</f>
        <v>0</v>
      </c>
      <c r="U36">
        <f>Import!AE26</f>
        <v>0</v>
      </c>
      <c r="V36">
        <f>Import!AF26</f>
        <v>0</v>
      </c>
      <c r="W36" t="str">
        <f>INDEX(CleanParam!$P$4:$P$7,MATCH(Import!AG26,CleanParam!$O$4:$O$7,-1),0)</f>
        <v>0-25%</v>
      </c>
      <c r="X36">
        <f>Import!AH26</f>
        <v>0</v>
      </c>
      <c r="Y36">
        <f>Import!AK26</f>
        <v>0</v>
      </c>
      <c r="Z36" t="e">
        <f>VLOOKUP(Import!AO26,CleanParam!$H$4:$I$9,2,0)</f>
        <v>#N/A</v>
      </c>
      <c r="AA36" t="e">
        <f>VLOOKUP(Import!AP26,CleanParam!$K$3:$L$53,2,0)</f>
        <v>#N/A</v>
      </c>
      <c r="AB36" t="str">
        <f>IF(Import!AU26,"Yes","No")</f>
        <v>No</v>
      </c>
      <c r="AC36" t="str">
        <f>IF(2016-Import!AV26=D36,"",2016-Import!AV26)</f>
        <v/>
      </c>
      <c r="AD36" t="str">
        <f>IF(Import!AR26,"Yes","No")</f>
        <v>No</v>
      </c>
      <c r="AE36" t="str">
        <f>IF(Import!AS26,"Yes","No")</f>
        <v>No</v>
      </c>
      <c r="AH36" s="229">
        <f>Import!E26</f>
        <v>0</v>
      </c>
      <c r="AI36">
        <f>Import!F26</f>
        <v>0</v>
      </c>
      <c r="AJ36">
        <f>Import!K26</f>
        <v>0</v>
      </c>
      <c r="AK36">
        <f>Import!L26</f>
        <v>0</v>
      </c>
      <c r="AL36" s="240">
        <f>Import!P26</f>
        <v>0</v>
      </c>
      <c r="AM36" s="240">
        <f>Import!Q26</f>
        <v>0</v>
      </c>
      <c r="AN36">
        <f>Import!S26</f>
        <v>0</v>
      </c>
      <c r="AO36">
        <f>Import!Z26</f>
        <v>0</v>
      </c>
      <c r="AP36">
        <f>Import!AA26</f>
        <v>0</v>
      </c>
      <c r="AQ36">
        <f>Import!AB26</f>
        <v>0</v>
      </c>
      <c r="AR36">
        <f>Import!AI26</f>
        <v>0</v>
      </c>
      <c r="AS36">
        <f>Import!AJ26</f>
        <v>0</v>
      </c>
      <c r="AT36">
        <f>Import!AL26</f>
        <v>0</v>
      </c>
      <c r="AU36">
        <f>Import!AN26</f>
        <v>0</v>
      </c>
      <c r="AV36">
        <f>Import!AT26</f>
        <v>0</v>
      </c>
    </row>
    <row r="37" spans="1:48" x14ac:dyDescent="0.2">
      <c r="A37">
        <f>Import!A27</f>
        <v>0</v>
      </c>
      <c r="B37">
        <f>Import!B27</f>
        <v>0</v>
      </c>
      <c r="C37">
        <f>Import!C27</f>
        <v>0</v>
      </c>
      <c r="D37">
        <f>2016-Import!D27</f>
        <v>2016</v>
      </c>
      <c r="E37">
        <f>Import!G27</f>
        <v>0</v>
      </c>
      <c r="F37">
        <f>Import!H27</f>
        <v>0</v>
      </c>
      <c r="G37">
        <f>Import!I27</f>
        <v>0</v>
      </c>
      <c r="H37">
        <f>Import!J27</f>
        <v>0</v>
      </c>
      <c r="I37" t="str">
        <f>IFERROR(VLOOKUP(Import!M27,CleanParam!$B$4:$C$11,2,0),"")</f>
        <v/>
      </c>
      <c r="J37">
        <f>Import!N27+Import!AM27+Import!AQ27</f>
        <v>0</v>
      </c>
      <c r="K37">
        <f>Import!O27</f>
        <v>0</v>
      </c>
      <c r="L37">
        <f>Import!R27</f>
        <v>0</v>
      </c>
      <c r="M37" t="str">
        <f>IF(Import!T27=0,"No","Yes")</f>
        <v>No</v>
      </c>
      <c r="N37">
        <f>Import!U27</f>
        <v>0</v>
      </c>
      <c r="O37">
        <f>Import!V27</f>
        <v>0</v>
      </c>
      <c r="P37" t="str">
        <f>IF(Import!W27="True","Yes","No")</f>
        <v>No</v>
      </c>
      <c r="Q37">
        <f>Import!X27</f>
        <v>0</v>
      </c>
      <c r="R37" t="e">
        <f>VLOOKUP(Import!Y27,CleanParam!$E$4:$F$103,2,0)</f>
        <v>#N/A</v>
      </c>
      <c r="S37" t="str">
        <f>IF(Import!AC27&gt;0,"Yes","No")</f>
        <v>No</v>
      </c>
      <c r="T37">
        <f>Import!AD27</f>
        <v>0</v>
      </c>
      <c r="U37">
        <f>Import!AE27</f>
        <v>0</v>
      </c>
      <c r="V37">
        <f>Import!AF27</f>
        <v>0</v>
      </c>
      <c r="W37" t="str">
        <f>INDEX(CleanParam!$P$4:$P$7,MATCH(Import!AG27,CleanParam!$O$4:$O$7,-1),0)</f>
        <v>0-25%</v>
      </c>
      <c r="X37">
        <f>Import!AH27</f>
        <v>0</v>
      </c>
      <c r="Y37">
        <f>Import!AK27</f>
        <v>0</v>
      </c>
      <c r="Z37" t="e">
        <f>VLOOKUP(Import!AO27,CleanParam!$H$4:$I$9,2,0)</f>
        <v>#N/A</v>
      </c>
      <c r="AA37" t="e">
        <f>VLOOKUP(Import!AP27,CleanParam!$K$3:$L$53,2,0)</f>
        <v>#N/A</v>
      </c>
      <c r="AB37" t="str">
        <f>IF(Import!AU27,"Yes","No")</f>
        <v>No</v>
      </c>
      <c r="AC37" t="str">
        <f>IF(2016-Import!AV27=D37,"",2016-Import!AV27)</f>
        <v/>
      </c>
      <c r="AD37" t="str">
        <f>IF(Import!AR27,"Yes","No")</f>
        <v>No</v>
      </c>
      <c r="AE37" t="str">
        <f>IF(Import!AS27,"Yes","No")</f>
        <v>No</v>
      </c>
      <c r="AH37" s="229">
        <f>Import!E27</f>
        <v>0</v>
      </c>
      <c r="AI37">
        <f>Import!F27</f>
        <v>0</v>
      </c>
      <c r="AJ37">
        <f>Import!K27</f>
        <v>0</v>
      </c>
      <c r="AK37">
        <f>Import!L27</f>
        <v>0</v>
      </c>
      <c r="AL37" s="240">
        <f>Import!P27</f>
        <v>0</v>
      </c>
      <c r="AM37" s="240">
        <f>Import!Q27</f>
        <v>0</v>
      </c>
      <c r="AN37">
        <f>Import!S27</f>
        <v>0</v>
      </c>
      <c r="AO37">
        <f>Import!Z27</f>
        <v>0</v>
      </c>
      <c r="AP37">
        <f>Import!AA27</f>
        <v>0</v>
      </c>
      <c r="AQ37">
        <f>Import!AB27</f>
        <v>0</v>
      </c>
      <c r="AR37">
        <f>Import!AI27</f>
        <v>0</v>
      </c>
      <c r="AS37">
        <f>Import!AJ27</f>
        <v>0</v>
      </c>
      <c r="AT37">
        <f>Import!AL27</f>
        <v>0</v>
      </c>
      <c r="AU37">
        <f>Import!AN27</f>
        <v>0</v>
      </c>
      <c r="AV37">
        <f>Import!AT27</f>
        <v>0</v>
      </c>
    </row>
    <row r="38" spans="1:48" x14ac:dyDescent="0.2">
      <c r="A38">
        <f>Import!A28</f>
        <v>0</v>
      </c>
      <c r="B38">
        <f>Import!B28</f>
        <v>0</v>
      </c>
      <c r="C38">
        <f>Import!C28</f>
        <v>0</v>
      </c>
      <c r="D38">
        <f>2016-Import!D28</f>
        <v>2016</v>
      </c>
      <c r="E38">
        <f>Import!G28</f>
        <v>0</v>
      </c>
      <c r="F38">
        <f>Import!H28</f>
        <v>0</v>
      </c>
      <c r="G38">
        <f>Import!I28</f>
        <v>0</v>
      </c>
      <c r="H38">
        <f>Import!J28</f>
        <v>0</v>
      </c>
      <c r="I38" t="str">
        <f>IFERROR(VLOOKUP(Import!M28,CleanParam!$B$4:$C$11,2,0),"")</f>
        <v/>
      </c>
      <c r="J38">
        <f>Import!N28+Import!AM28+Import!AQ28</f>
        <v>0</v>
      </c>
      <c r="K38">
        <f>Import!O28</f>
        <v>0</v>
      </c>
      <c r="L38">
        <f>Import!R28</f>
        <v>0</v>
      </c>
      <c r="M38" t="str">
        <f>IF(Import!T28=0,"No","Yes")</f>
        <v>No</v>
      </c>
      <c r="N38">
        <f>Import!U28</f>
        <v>0</v>
      </c>
      <c r="O38">
        <f>Import!V28</f>
        <v>0</v>
      </c>
      <c r="P38" t="str">
        <f>IF(Import!W28="True","Yes","No")</f>
        <v>No</v>
      </c>
      <c r="Q38">
        <f>Import!X28</f>
        <v>0</v>
      </c>
      <c r="R38" t="e">
        <f>VLOOKUP(Import!Y28,CleanParam!$E$4:$F$103,2,0)</f>
        <v>#N/A</v>
      </c>
      <c r="S38" t="str">
        <f>IF(Import!AC28&gt;0,"Yes","No")</f>
        <v>No</v>
      </c>
      <c r="T38">
        <f>Import!AD28</f>
        <v>0</v>
      </c>
      <c r="U38">
        <f>Import!AE28</f>
        <v>0</v>
      </c>
      <c r="V38">
        <f>Import!AF28</f>
        <v>0</v>
      </c>
      <c r="W38" t="str">
        <f>INDEX(CleanParam!$P$4:$P$7,MATCH(Import!AG28,CleanParam!$O$4:$O$7,-1),0)</f>
        <v>0-25%</v>
      </c>
      <c r="X38">
        <f>Import!AH28</f>
        <v>0</v>
      </c>
      <c r="Y38">
        <f>Import!AK28</f>
        <v>0</v>
      </c>
      <c r="Z38" t="e">
        <f>VLOOKUP(Import!AO28,CleanParam!$H$4:$I$9,2,0)</f>
        <v>#N/A</v>
      </c>
      <c r="AA38" t="e">
        <f>VLOOKUP(Import!AP28,CleanParam!$K$3:$L$53,2,0)</f>
        <v>#N/A</v>
      </c>
      <c r="AB38" t="str">
        <f>IF(Import!AU28,"Yes","No")</f>
        <v>No</v>
      </c>
      <c r="AC38" t="str">
        <f>IF(2016-Import!AV28=D38,"",2016-Import!AV28)</f>
        <v/>
      </c>
      <c r="AD38" t="str">
        <f>IF(Import!AR28,"Yes","No")</f>
        <v>No</v>
      </c>
      <c r="AE38" t="str">
        <f>IF(Import!AS28,"Yes","No")</f>
        <v>No</v>
      </c>
      <c r="AH38" s="229">
        <f>Import!E28</f>
        <v>0</v>
      </c>
      <c r="AI38">
        <f>Import!F28</f>
        <v>0</v>
      </c>
      <c r="AJ38">
        <f>Import!K28</f>
        <v>0</v>
      </c>
      <c r="AK38">
        <f>Import!L28</f>
        <v>0</v>
      </c>
      <c r="AL38" s="240">
        <f>Import!P28</f>
        <v>0</v>
      </c>
      <c r="AM38" s="240">
        <f>Import!Q28</f>
        <v>0</v>
      </c>
      <c r="AN38">
        <f>Import!S28</f>
        <v>0</v>
      </c>
      <c r="AO38">
        <f>Import!Z28</f>
        <v>0</v>
      </c>
      <c r="AP38">
        <f>Import!AA28</f>
        <v>0</v>
      </c>
      <c r="AQ38">
        <f>Import!AB28</f>
        <v>0</v>
      </c>
      <c r="AR38">
        <f>Import!AI28</f>
        <v>0</v>
      </c>
      <c r="AS38">
        <f>Import!AJ28</f>
        <v>0</v>
      </c>
      <c r="AT38">
        <f>Import!AL28</f>
        <v>0</v>
      </c>
      <c r="AU38">
        <f>Import!AN28</f>
        <v>0</v>
      </c>
      <c r="AV38">
        <f>Import!AT28</f>
        <v>0</v>
      </c>
    </row>
    <row r="39" spans="1:48" x14ac:dyDescent="0.2">
      <c r="A39">
        <f>Import!A29</f>
        <v>0</v>
      </c>
      <c r="B39">
        <f>Import!B29</f>
        <v>0</v>
      </c>
      <c r="C39">
        <f>Import!C29</f>
        <v>0</v>
      </c>
      <c r="D39">
        <f>2016-Import!D29</f>
        <v>2016</v>
      </c>
      <c r="E39">
        <f>Import!G29</f>
        <v>0</v>
      </c>
      <c r="F39">
        <f>Import!H29</f>
        <v>0</v>
      </c>
      <c r="G39">
        <f>Import!I29</f>
        <v>0</v>
      </c>
      <c r="H39">
        <f>Import!J29</f>
        <v>0</v>
      </c>
      <c r="I39" t="str">
        <f>IFERROR(VLOOKUP(Import!M29,CleanParam!$B$4:$C$11,2,0),"")</f>
        <v/>
      </c>
      <c r="J39">
        <f>Import!N29+Import!AM29+Import!AQ29</f>
        <v>0</v>
      </c>
      <c r="K39">
        <f>Import!O29</f>
        <v>0</v>
      </c>
      <c r="L39">
        <f>Import!R29</f>
        <v>0</v>
      </c>
      <c r="M39" t="str">
        <f>IF(Import!T29=0,"No","Yes")</f>
        <v>No</v>
      </c>
      <c r="N39">
        <f>Import!U29</f>
        <v>0</v>
      </c>
      <c r="O39">
        <f>Import!V29</f>
        <v>0</v>
      </c>
      <c r="P39" t="str">
        <f>IF(Import!W29="True","Yes","No")</f>
        <v>No</v>
      </c>
      <c r="Q39">
        <f>Import!X29</f>
        <v>0</v>
      </c>
      <c r="R39" t="e">
        <f>VLOOKUP(Import!Y29,CleanParam!$E$4:$F$103,2,0)</f>
        <v>#N/A</v>
      </c>
      <c r="S39" t="str">
        <f>IF(Import!AC29&gt;0,"Yes","No")</f>
        <v>No</v>
      </c>
      <c r="T39">
        <f>Import!AD29</f>
        <v>0</v>
      </c>
      <c r="U39">
        <f>Import!AE29</f>
        <v>0</v>
      </c>
      <c r="V39">
        <f>Import!AF29</f>
        <v>0</v>
      </c>
      <c r="W39" t="str">
        <f>INDEX(CleanParam!$P$4:$P$7,MATCH(Import!AG29,CleanParam!$O$4:$O$7,-1),0)</f>
        <v>0-25%</v>
      </c>
      <c r="X39">
        <f>Import!AH29</f>
        <v>0</v>
      </c>
      <c r="Y39">
        <f>Import!AK29</f>
        <v>0</v>
      </c>
      <c r="Z39" t="e">
        <f>VLOOKUP(Import!AO29,CleanParam!$H$4:$I$9,2,0)</f>
        <v>#N/A</v>
      </c>
      <c r="AA39" t="e">
        <f>VLOOKUP(Import!AP29,CleanParam!$K$3:$L$53,2,0)</f>
        <v>#N/A</v>
      </c>
      <c r="AB39" t="str">
        <f>IF(Import!AU29,"Yes","No")</f>
        <v>No</v>
      </c>
      <c r="AC39" t="str">
        <f>IF(2016-Import!AV29=D39,"",2016-Import!AV29)</f>
        <v/>
      </c>
      <c r="AD39" t="str">
        <f>IF(Import!AR29,"Yes","No")</f>
        <v>No</v>
      </c>
      <c r="AE39" t="str">
        <f>IF(Import!AS29,"Yes","No")</f>
        <v>No</v>
      </c>
      <c r="AH39" s="229">
        <f>Import!E29</f>
        <v>0</v>
      </c>
      <c r="AI39">
        <f>Import!F29</f>
        <v>0</v>
      </c>
      <c r="AJ39">
        <f>Import!K29</f>
        <v>0</v>
      </c>
      <c r="AK39">
        <f>Import!L29</f>
        <v>0</v>
      </c>
      <c r="AL39" s="240">
        <f>Import!P29</f>
        <v>0</v>
      </c>
      <c r="AM39" s="240">
        <f>Import!Q29</f>
        <v>0</v>
      </c>
      <c r="AN39">
        <f>Import!S29</f>
        <v>0</v>
      </c>
      <c r="AO39">
        <f>Import!Z29</f>
        <v>0</v>
      </c>
      <c r="AP39">
        <f>Import!AA29</f>
        <v>0</v>
      </c>
      <c r="AQ39">
        <f>Import!AB29</f>
        <v>0</v>
      </c>
      <c r="AR39">
        <f>Import!AI29</f>
        <v>0</v>
      </c>
      <c r="AS39">
        <f>Import!AJ29</f>
        <v>0</v>
      </c>
      <c r="AT39">
        <f>Import!AL29</f>
        <v>0</v>
      </c>
      <c r="AU39">
        <f>Import!AN29</f>
        <v>0</v>
      </c>
      <c r="AV39">
        <f>Import!AT29</f>
        <v>0</v>
      </c>
    </row>
    <row r="40" spans="1:48" x14ac:dyDescent="0.2">
      <c r="A40">
        <f>Import!A30</f>
        <v>0</v>
      </c>
      <c r="B40">
        <f>Import!B30</f>
        <v>0</v>
      </c>
      <c r="C40">
        <f>Import!C30</f>
        <v>0</v>
      </c>
      <c r="D40">
        <f>2016-Import!D30</f>
        <v>2016</v>
      </c>
      <c r="E40">
        <f>Import!G30</f>
        <v>0</v>
      </c>
      <c r="F40">
        <f>Import!H30</f>
        <v>0</v>
      </c>
      <c r="G40">
        <f>Import!I30</f>
        <v>0</v>
      </c>
      <c r="H40">
        <f>Import!J30</f>
        <v>0</v>
      </c>
      <c r="I40" t="str">
        <f>IFERROR(VLOOKUP(Import!M30,CleanParam!$B$4:$C$11,2,0),"")</f>
        <v/>
      </c>
      <c r="J40">
        <f>Import!N30+Import!AM30+Import!AQ30</f>
        <v>0</v>
      </c>
      <c r="K40">
        <f>Import!O30</f>
        <v>0</v>
      </c>
      <c r="L40">
        <f>Import!R30</f>
        <v>0</v>
      </c>
      <c r="M40" t="str">
        <f>IF(Import!T30=0,"No","Yes")</f>
        <v>No</v>
      </c>
      <c r="N40">
        <f>Import!U30</f>
        <v>0</v>
      </c>
      <c r="O40">
        <f>Import!V30</f>
        <v>0</v>
      </c>
      <c r="P40" t="str">
        <f>IF(Import!W30="True","Yes","No")</f>
        <v>No</v>
      </c>
      <c r="Q40">
        <f>Import!X30</f>
        <v>0</v>
      </c>
      <c r="R40" t="e">
        <f>VLOOKUP(Import!Y30,CleanParam!$E$4:$F$103,2,0)</f>
        <v>#N/A</v>
      </c>
      <c r="S40" t="str">
        <f>IF(Import!AC30&gt;0,"Yes","No")</f>
        <v>No</v>
      </c>
      <c r="T40">
        <f>Import!AD30</f>
        <v>0</v>
      </c>
      <c r="U40">
        <f>Import!AE30</f>
        <v>0</v>
      </c>
      <c r="V40">
        <f>Import!AF30</f>
        <v>0</v>
      </c>
      <c r="W40" t="str">
        <f>INDEX(CleanParam!$P$4:$P$7,MATCH(Import!AG30,CleanParam!$O$4:$O$7,-1),0)</f>
        <v>0-25%</v>
      </c>
      <c r="X40">
        <f>Import!AH30</f>
        <v>0</v>
      </c>
      <c r="Y40">
        <f>Import!AK30</f>
        <v>0</v>
      </c>
      <c r="Z40" t="e">
        <f>VLOOKUP(Import!AO30,CleanParam!$H$4:$I$9,2,0)</f>
        <v>#N/A</v>
      </c>
      <c r="AA40" t="e">
        <f>VLOOKUP(Import!AP30,CleanParam!$K$3:$L$53,2,0)</f>
        <v>#N/A</v>
      </c>
      <c r="AB40" t="str">
        <f>IF(Import!AU30,"Yes","No")</f>
        <v>No</v>
      </c>
      <c r="AC40" t="str">
        <f>IF(2016-Import!AV30=D40,"",2016-Import!AV30)</f>
        <v/>
      </c>
      <c r="AD40" t="str">
        <f>IF(Import!AR30,"Yes","No")</f>
        <v>No</v>
      </c>
      <c r="AE40" t="str">
        <f>IF(Import!AS30,"Yes","No")</f>
        <v>No</v>
      </c>
      <c r="AH40" s="229">
        <f>Import!E30</f>
        <v>0</v>
      </c>
      <c r="AI40">
        <f>Import!F30</f>
        <v>0</v>
      </c>
      <c r="AJ40">
        <f>Import!K30</f>
        <v>0</v>
      </c>
      <c r="AK40">
        <f>Import!L30</f>
        <v>0</v>
      </c>
      <c r="AL40" s="240">
        <f>Import!P30</f>
        <v>0</v>
      </c>
      <c r="AM40" s="240">
        <f>Import!Q30</f>
        <v>0</v>
      </c>
      <c r="AN40">
        <f>Import!S30</f>
        <v>0</v>
      </c>
      <c r="AO40">
        <f>Import!Z30</f>
        <v>0</v>
      </c>
      <c r="AP40">
        <f>Import!AA30</f>
        <v>0</v>
      </c>
      <c r="AQ40">
        <f>Import!AB30</f>
        <v>0</v>
      </c>
      <c r="AR40">
        <f>Import!AI30</f>
        <v>0</v>
      </c>
      <c r="AS40">
        <f>Import!AJ30</f>
        <v>0</v>
      </c>
      <c r="AT40">
        <f>Import!AL30</f>
        <v>0</v>
      </c>
      <c r="AU40">
        <f>Import!AN30</f>
        <v>0</v>
      </c>
      <c r="AV40">
        <f>Import!AT30</f>
        <v>0</v>
      </c>
    </row>
    <row r="41" spans="1:48" x14ac:dyDescent="0.2">
      <c r="A41">
        <f>Import!A31</f>
        <v>0</v>
      </c>
      <c r="B41">
        <f>Import!B31</f>
        <v>0</v>
      </c>
      <c r="C41">
        <f>Import!C31</f>
        <v>0</v>
      </c>
      <c r="D41">
        <f>2016-Import!D31</f>
        <v>2016</v>
      </c>
      <c r="E41">
        <f>Import!G31</f>
        <v>0</v>
      </c>
      <c r="F41">
        <f>Import!H31</f>
        <v>0</v>
      </c>
      <c r="G41">
        <f>Import!I31</f>
        <v>0</v>
      </c>
      <c r="H41">
        <f>Import!J31</f>
        <v>0</v>
      </c>
      <c r="I41" t="str">
        <f>IFERROR(VLOOKUP(Import!M31,CleanParam!$B$4:$C$11,2,0),"")</f>
        <v/>
      </c>
      <c r="J41">
        <f>Import!N31+Import!AM31+Import!AQ31</f>
        <v>0</v>
      </c>
      <c r="K41">
        <f>Import!O31</f>
        <v>0</v>
      </c>
      <c r="L41">
        <f>Import!R31</f>
        <v>0</v>
      </c>
      <c r="M41" t="str">
        <f>IF(Import!T31=0,"No","Yes")</f>
        <v>No</v>
      </c>
      <c r="N41">
        <f>Import!U31</f>
        <v>0</v>
      </c>
      <c r="O41">
        <f>Import!V31</f>
        <v>0</v>
      </c>
      <c r="P41" t="str">
        <f>IF(Import!W31="True","Yes","No")</f>
        <v>No</v>
      </c>
      <c r="Q41">
        <f>Import!X31</f>
        <v>0</v>
      </c>
      <c r="R41" t="e">
        <f>VLOOKUP(Import!Y31,CleanParam!$E$4:$F$103,2,0)</f>
        <v>#N/A</v>
      </c>
      <c r="S41" t="str">
        <f>IF(Import!AC31&gt;0,"Yes","No")</f>
        <v>No</v>
      </c>
      <c r="T41">
        <f>Import!AD31</f>
        <v>0</v>
      </c>
      <c r="U41">
        <f>Import!AE31</f>
        <v>0</v>
      </c>
      <c r="V41">
        <f>Import!AF31</f>
        <v>0</v>
      </c>
      <c r="W41" t="str">
        <f>INDEX(CleanParam!$P$4:$P$7,MATCH(Import!AG31,CleanParam!$O$4:$O$7,-1),0)</f>
        <v>0-25%</v>
      </c>
      <c r="X41">
        <f>Import!AH31</f>
        <v>0</v>
      </c>
      <c r="Y41">
        <f>Import!AK31</f>
        <v>0</v>
      </c>
      <c r="Z41" t="e">
        <f>VLOOKUP(Import!AO31,CleanParam!$H$4:$I$9,2,0)</f>
        <v>#N/A</v>
      </c>
      <c r="AA41" t="e">
        <f>VLOOKUP(Import!AP31,CleanParam!$K$3:$L$53,2,0)</f>
        <v>#N/A</v>
      </c>
      <c r="AB41" t="str">
        <f>IF(Import!AU31,"Yes","No")</f>
        <v>No</v>
      </c>
      <c r="AC41" t="str">
        <f>IF(2016-Import!AV31=D41,"",2016-Import!AV31)</f>
        <v/>
      </c>
      <c r="AD41" t="str">
        <f>IF(Import!AR31,"Yes","No")</f>
        <v>No</v>
      </c>
      <c r="AE41" t="str">
        <f>IF(Import!AS31,"Yes","No")</f>
        <v>No</v>
      </c>
      <c r="AH41" s="229">
        <f>Import!E31</f>
        <v>0</v>
      </c>
      <c r="AI41">
        <f>Import!F31</f>
        <v>0</v>
      </c>
      <c r="AJ41">
        <f>Import!K31</f>
        <v>0</v>
      </c>
      <c r="AK41">
        <f>Import!L31</f>
        <v>0</v>
      </c>
      <c r="AL41" s="240">
        <f>Import!P31</f>
        <v>0</v>
      </c>
      <c r="AM41" s="240">
        <f>Import!Q31</f>
        <v>0</v>
      </c>
      <c r="AN41">
        <f>Import!S31</f>
        <v>0</v>
      </c>
      <c r="AO41">
        <f>Import!Z31</f>
        <v>0</v>
      </c>
      <c r="AP41">
        <f>Import!AA31</f>
        <v>0</v>
      </c>
      <c r="AQ41">
        <f>Import!AB31</f>
        <v>0</v>
      </c>
      <c r="AR41">
        <f>Import!AI31</f>
        <v>0</v>
      </c>
      <c r="AS41">
        <f>Import!AJ31</f>
        <v>0</v>
      </c>
      <c r="AT41">
        <f>Import!AL31</f>
        <v>0</v>
      </c>
      <c r="AU41">
        <f>Import!AN31</f>
        <v>0</v>
      </c>
      <c r="AV41">
        <f>Import!AT31</f>
        <v>0</v>
      </c>
    </row>
    <row r="42" spans="1:48" x14ac:dyDescent="0.2">
      <c r="A42">
        <f>Import!A32</f>
        <v>0</v>
      </c>
      <c r="B42">
        <f>Import!B32</f>
        <v>0</v>
      </c>
      <c r="C42">
        <f>Import!C32</f>
        <v>0</v>
      </c>
      <c r="D42">
        <f>2016-Import!D32</f>
        <v>2016</v>
      </c>
      <c r="E42">
        <f>Import!G32</f>
        <v>0</v>
      </c>
      <c r="F42">
        <f>Import!H32</f>
        <v>0</v>
      </c>
      <c r="G42">
        <f>Import!I32</f>
        <v>0</v>
      </c>
      <c r="H42">
        <f>Import!J32</f>
        <v>0</v>
      </c>
      <c r="I42" t="str">
        <f>IFERROR(VLOOKUP(Import!M32,CleanParam!$B$4:$C$11,2,0),"")</f>
        <v/>
      </c>
      <c r="J42">
        <f>Import!N32+Import!AM32+Import!AQ32</f>
        <v>0</v>
      </c>
      <c r="K42">
        <f>Import!O32</f>
        <v>0</v>
      </c>
      <c r="L42">
        <f>Import!R32</f>
        <v>0</v>
      </c>
      <c r="M42" t="str">
        <f>IF(Import!T32=0,"No","Yes")</f>
        <v>No</v>
      </c>
      <c r="N42">
        <f>Import!U32</f>
        <v>0</v>
      </c>
      <c r="O42">
        <f>Import!V32</f>
        <v>0</v>
      </c>
      <c r="P42" t="str">
        <f>IF(Import!W32="True","Yes","No")</f>
        <v>No</v>
      </c>
      <c r="Q42">
        <f>Import!X32</f>
        <v>0</v>
      </c>
      <c r="R42" t="e">
        <f>VLOOKUP(Import!Y32,CleanParam!$E$4:$F$103,2,0)</f>
        <v>#N/A</v>
      </c>
      <c r="S42" t="str">
        <f>IF(Import!AC32&gt;0,"Yes","No")</f>
        <v>No</v>
      </c>
      <c r="T42">
        <f>Import!AD32</f>
        <v>0</v>
      </c>
      <c r="U42">
        <f>Import!AE32</f>
        <v>0</v>
      </c>
      <c r="V42">
        <f>Import!AF32</f>
        <v>0</v>
      </c>
      <c r="W42" t="str">
        <f>INDEX(CleanParam!$P$4:$P$7,MATCH(Import!AG32,CleanParam!$O$4:$O$7,-1),0)</f>
        <v>0-25%</v>
      </c>
      <c r="X42">
        <f>Import!AH32</f>
        <v>0</v>
      </c>
      <c r="Y42">
        <f>Import!AK32</f>
        <v>0</v>
      </c>
      <c r="Z42" t="e">
        <f>VLOOKUP(Import!AO32,CleanParam!$H$4:$I$9,2,0)</f>
        <v>#N/A</v>
      </c>
      <c r="AA42" t="e">
        <f>VLOOKUP(Import!AP32,CleanParam!$K$3:$L$53,2,0)</f>
        <v>#N/A</v>
      </c>
      <c r="AB42" t="str">
        <f>IF(Import!AU32,"Yes","No")</f>
        <v>No</v>
      </c>
      <c r="AC42" t="str">
        <f>IF(2016-Import!AV32=D42,"",2016-Import!AV32)</f>
        <v/>
      </c>
      <c r="AD42" t="str">
        <f>IF(Import!AR32,"Yes","No")</f>
        <v>No</v>
      </c>
      <c r="AE42" t="str">
        <f>IF(Import!AS32,"Yes","No")</f>
        <v>No</v>
      </c>
      <c r="AH42" s="229">
        <f>Import!E32</f>
        <v>0</v>
      </c>
      <c r="AI42">
        <f>Import!F32</f>
        <v>0</v>
      </c>
      <c r="AJ42">
        <f>Import!K32</f>
        <v>0</v>
      </c>
      <c r="AK42">
        <f>Import!L32</f>
        <v>0</v>
      </c>
      <c r="AL42" s="240">
        <f>Import!P32</f>
        <v>0</v>
      </c>
      <c r="AM42" s="240">
        <f>Import!Q32</f>
        <v>0</v>
      </c>
      <c r="AN42">
        <f>Import!S32</f>
        <v>0</v>
      </c>
      <c r="AO42">
        <f>Import!Z32</f>
        <v>0</v>
      </c>
      <c r="AP42">
        <f>Import!AA32</f>
        <v>0</v>
      </c>
      <c r="AQ42">
        <f>Import!AB32</f>
        <v>0</v>
      </c>
      <c r="AR42">
        <f>Import!AI32</f>
        <v>0</v>
      </c>
      <c r="AS42">
        <f>Import!AJ32</f>
        <v>0</v>
      </c>
      <c r="AT42">
        <f>Import!AL32</f>
        <v>0</v>
      </c>
      <c r="AU42">
        <f>Import!AN32</f>
        <v>0</v>
      </c>
      <c r="AV42">
        <f>Import!AT32</f>
        <v>0</v>
      </c>
    </row>
    <row r="43" spans="1:48" x14ac:dyDescent="0.2">
      <c r="A43">
        <f>Import!A33</f>
        <v>0</v>
      </c>
      <c r="B43">
        <f>Import!B33</f>
        <v>0</v>
      </c>
      <c r="C43">
        <f>Import!C33</f>
        <v>0</v>
      </c>
      <c r="D43">
        <f>2016-Import!D33</f>
        <v>2016</v>
      </c>
      <c r="E43">
        <f>Import!G33</f>
        <v>0</v>
      </c>
      <c r="F43">
        <f>Import!H33</f>
        <v>0</v>
      </c>
      <c r="G43">
        <f>Import!I33</f>
        <v>0</v>
      </c>
      <c r="H43">
        <f>Import!J33</f>
        <v>0</v>
      </c>
      <c r="I43" t="str">
        <f>IFERROR(VLOOKUP(Import!M33,CleanParam!$B$4:$C$11,2,0),"")</f>
        <v/>
      </c>
      <c r="J43">
        <f>Import!N33+Import!AM33+Import!AQ33</f>
        <v>0</v>
      </c>
      <c r="K43">
        <f>Import!O33</f>
        <v>0</v>
      </c>
      <c r="L43">
        <f>Import!R33</f>
        <v>0</v>
      </c>
      <c r="M43" t="str">
        <f>IF(Import!T33=0,"No","Yes")</f>
        <v>No</v>
      </c>
      <c r="N43">
        <f>Import!U33</f>
        <v>0</v>
      </c>
      <c r="O43">
        <f>Import!V33</f>
        <v>0</v>
      </c>
      <c r="P43" t="str">
        <f>IF(Import!W33="True","Yes","No")</f>
        <v>No</v>
      </c>
      <c r="Q43">
        <f>Import!X33</f>
        <v>0</v>
      </c>
      <c r="R43" t="e">
        <f>VLOOKUP(Import!Y33,CleanParam!$E$4:$F$103,2,0)</f>
        <v>#N/A</v>
      </c>
      <c r="S43" t="str">
        <f>IF(Import!AC33&gt;0,"Yes","No")</f>
        <v>No</v>
      </c>
      <c r="T43">
        <f>Import!AD33</f>
        <v>0</v>
      </c>
      <c r="U43">
        <f>Import!AE33</f>
        <v>0</v>
      </c>
      <c r="V43">
        <f>Import!AF33</f>
        <v>0</v>
      </c>
      <c r="W43" t="str">
        <f>INDEX(CleanParam!$P$4:$P$7,MATCH(Import!AG33,CleanParam!$O$4:$O$7,-1),0)</f>
        <v>0-25%</v>
      </c>
      <c r="X43">
        <f>Import!AH33</f>
        <v>0</v>
      </c>
      <c r="Y43">
        <f>Import!AK33</f>
        <v>0</v>
      </c>
      <c r="Z43" t="e">
        <f>VLOOKUP(Import!AO33,CleanParam!$H$4:$I$9,2,0)</f>
        <v>#N/A</v>
      </c>
      <c r="AA43" t="e">
        <f>VLOOKUP(Import!AP33,CleanParam!$K$3:$L$53,2,0)</f>
        <v>#N/A</v>
      </c>
      <c r="AB43" t="str">
        <f>IF(Import!AU33,"Yes","No")</f>
        <v>No</v>
      </c>
      <c r="AC43" t="str">
        <f>IF(2016-Import!AV33=D43,"",2016-Import!AV33)</f>
        <v/>
      </c>
      <c r="AD43" t="str">
        <f>IF(Import!AR33,"Yes","No")</f>
        <v>No</v>
      </c>
      <c r="AE43" t="str">
        <f>IF(Import!AS33,"Yes","No")</f>
        <v>No</v>
      </c>
      <c r="AH43" s="229">
        <f>Import!E33</f>
        <v>0</v>
      </c>
      <c r="AI43">
        <f>Import!F33</f>
        <v>0</v>
      </c>
      <c r="AJ43">
        <f>Import!K33</f>
        <v>0</v>
      </c>
      <c r="AK43">
        <f>Import!L33</f>
        <v>0</v>
      </c>
      <c r="AL43" s="240">
        <f>Import!P33</f>
        <v>0</v>
      </c>
      <c r="AM43" s="240">
        <f>Import!Q33</f>
        <v>0</v>
      </c>
      <c r="AN43">
        <f>Import!S33</f>
        <v>0</v>
      </c>
      <c r="AO43">
        <f>Import!Z33</f>
        <v>0</v>
      </c>
      <c r="AP43">
        <f>Import!AA33</f>
        <v>0</v>
      </c>
      <c r="AQ43">
        <f>Import!AB33</f>
        <v>0</v>
      </c>
      <c r="AR43">
        <f>Import!AI33</f>
        <v>0</v>
      </c>
      <c r="AS43">
        <f>Import!AJ33</f>
        <v>0</v>
      </c>
      <c r="AT43">
        <f>Import!AL33</f>
        <v>0</v>
      </c>
      <c r="AU43">
        <f>Import!AN33</f>
        <v>0</v>
      </c>
      <c r="AV43">
        <f>Import!AT33</f>
        <v>0</v>
      </c>
    </row>
    <row r="44" spans="1:48" x14ac:dyDescent="0.2">
      <c r="A44">
        <f>Import!A34</f>
        <v>0</v>
      </c>
      <c r="B44">
        <f>Import!B34</f>
        <v>0</v>
      </c>
      <c r="C44">
        <f>Import!C34</f>
        <v>0</v>
      </c>
      <c r="D44">
        <f>2016-Import!D34</f>
        <v>2016</v>
      </c>
      <c r="E44">
        <f>Import!G34</f>
        <v>0</v>
      </c>
      <c r="F44">
        <f>Import!H34</f>
        <v>0</v>
      </c>
      <c r="G44">
        <f>Import!I34</f>
        <v>0</v>
      </c>
      <c r="H44">
        <f>Import!J34</f>
        <v>0</v>
      </c>
      <c r="I44" t="str">
        <f>IFERROR(VLOOKUP(Import!M34,CleanParam!$B$4:$C$11,2,0),"")</f>
        <v/>
      </c>
      <c r="J44">
        <f>Import!N34+Import!AM34+Import!AQ34</f>
        <v>0</v>
      </c>
      <c r="K44">
        <f>Import!O34</f>
        <v>0</v>
      </c>
      <c r="L44">
        <f>Import!R34</f>
        <v>0</v>
      </c>
      <c r="M44" t="str">
        <f>IF(Import!T34=0,"No","Yes")</f>
        <v>No</v>
      </c>
      <c r="N44">
        <f>Import!U34</f>
        <v>0</v>
      </c>
      <c r="O44">
        <f>Import!V34</f>
        <v>0</v>
      </c>
      <c r="P44" t="str">
        <f>IF(Import!W34="True","Yes","No")</f>
        <v>No</v>
      </c>
      <c r="Q44">
        <f>Import!X34</f>
        <v>0</v>
      </c>
      <c r="R44" t="e">
        <f>VLOOKUP(Import!Y34,CleanParam!$E$4:$F$103,2,0)</f>
        <v>#N/A</v>
      </c>
      <c r="S44" t="str">
        <f>IF(Import!AC34&gt;0,"Yes","No")</f>
        <v>No</v>
      </c>
      <c r="T44">
        <f>Import!AD34</f>
        <v>0</v>
      </c>
      <c r="U44">
        <f>Import!AE34</f>
        <v>0</v>
      </c>
      <c r="V44">
        <f>Import!AF34</f>
        <v>0</v>
      </c>
      <c r="W44" t="str">
        <f>INDEX(CleanParam!$P$4:$P$7,MATCH(Import!AG34,CleanParam!$O$4:$O$7,-1),0)</f>
        <v>0-25%</v>
      </c>
      <c r="X44">
        <f>Import!AH34</f>
        <v>0</v>
      </c>
      <c r="Y44">
        <f>Import!AK34</f>
        <v>0</v>
      </c>
      <c r="Z44" t="e">
        <f>VLOOKUP(Import!AO34,CleanParam!$H$4:$I$9,2,0)</f>
        <v>#N/A</v>
      </c>
      <c r="AA44" t="e">
        <f>VLOOKUP(Import!AP34,CleanParam!$K$3:$L$53,2,0)</f>
        <v>#N/A</v>
      </c>
      <c r="AB44" t="str">
        <f>IF(Import!AU34,"Yes","No")</f>
        <v>No</v>
      </c>
      <c r="AC44" t="str">
        <f>IF(2016-Import!AV34=D44,"",2016-Import!AV34)</f>
        <v/>
      </c>
      <c r="AD44" t="str">
        <f>IF(Import!AR34,"Yes","No")</f>
        <v>No</v>
      </c>
      <c r="AE44" t="str">
        <f>IF(Import!AS34,"Yes","No")</f>
        <v>No</v>
      </c>
      <c r="AH44" s="229">
        <f>Import!E34</f>
        <v>0</v>
      </c>
      <c r="AI44">
        <f>Import!F34</f>
        <v>0</v>
      </c>
      <c r="AJ44">
        <f>Import!K34</f>
        <v>0</v>
      </c>
      <c r="AK44">
        <f>Import!L34</f>
        <v>0</v>
      </c>
      <c r="AL44" s="240">
        <f>Import!P34</f>
        <v>0</v>
      </c>
      <c r="AM44" s="240">
        <f>Import!Q34</f>
        <v>0</v>
      </c>
      <c r="AN44">
        <f>Import!S34</f>
        <v>0</v>
      </c>
      <c r="AO44">
        <f>Import!Z34</f>
        <v>0</v>
      </c>
      <c r="AP44">
        <f>Import!AA34</f>
        <v>0</v>
      </c>
      <c r="AQ44">
        <f>Import!AB34</f>
        <v>0</v>
      </c>
      <c r="AR44">
        <f>Import!AI34</f>
        <v>0</v>
      </c>
      <c r="AS44">
        <f>Import!AJ34</f>
        <v>0</v>
      </c>
      <c r="AT44">
        <f>Import!AL34</f>
        <v>0</v>
      </c>
      <c r="AU44">
        <f>Import!AN34</f>
        <v>0</v>
      </c>
      <c r="AV44">
        <f>Import!AT34</f>
        <v>0</v>
      </c>
    </row>
    <row r="45" spans="1:48" x14ac:dyDescent="0.2">
      <c r="A45">
        <f>Import!A35</f>
        <v>0</v>
      </c>
      <c r="B45">
        <f>Import!B35</f>
        <v>0</v>
      </c>
      <c r="C45">
        <f>Import!C35</f>
        <v>0</v>
      </c>
      <c r="D45">
        <f>2016-Import!D35</f>
        <v>2016</v>
      </c>
      <c r="E45">
        <f>Import!G35</f>
        <v>0</v>
      </c>
      <c r="F45">
        <f>Import!H35</f>
        <v>0</v>
      </c>
      <c r="G45">
        <f>Import!I35</f>
        <v>0</v>
      </c>
      <c r="H45">
        <f>Import!J35</f>
        <v>0</v>
      </c>
      <c r="I45" t="str">
        <f>IFERROR(VLOOKUP(Import!M35,CleanParam!$B$4:$C$11,2,0),"")</f>
        <v/>
      </c>
      <c r="J45">
        <f>Import!N35+Import!AM35+Import!AQ35</f>
        <v>0</v>
      </c>
      <c r="K45">
        <f>Import!O35</f>
        <v>0</v>
      </c>
      <c r="L45">
        <f>Import!R35</f>
        <v>0</v>
      </c>
      <c r="M45" t="str">
        <f>IF(Import!T35=0,"No","Yes")</f>
        <v>No</v>
      </c>
      <c r="N45">
        <f>Import!U35</f>
        <v>0</v>
      </c>
      <c r="O45">
        <f>Import!V35</f>
        <v>0</v>
      </c>
      <c r="P45" t="str">
        <f>IF(Import!W35="True","Yes","No")</f>
        <v>No</v>
      </c>
      <c r="Q45">
        <f>Import!X35</f>
        <v>0</v>
      </c>
      <c r="R45" t="e">
        <f>VLOOKUP(Import!Y35,CleanParam!$E$4:$F$103,2,0)</f>
        <v>#N/A</v>
      </c>
      <c r="S45" t="str">
        <f>IF(Import!AC35&gt;0,"Yes","No")</f>
        <v>No</v>
      </c>
      <c r="T45">
        <f>Import!AD35</f>
        <v>0</v>
      </c>
      <c r="U45">
        <f>Import!AE35</f>
        <v>0</v>
      </c>
      <c r="V45">
        <f>Import!AF35</f>
        <v>0</v>
      </c>
      <c r="W45" t="str">
        <f>INDEX(CleanParam!$P$4:$P$7,MATCH(Import!AG35,CleanParam!$O$4:$O$7,-1),0)</f>
        <v>0-25%</v>
      </c>
      <c r="X45">
        <f>Import!AH35</f>
        <v>0</v>
      </c>
      <c r="Y45">
        <f>Import!AK35</f>
        <v>0</v>
      </c>
      <c r="Z45" t="e">
        <f>VLOOKUP(Import!AO35,CleanParam!$H$4:$I$9,2,0)</f>
        <v>#N/A</v>
      </c>
      <c r="AA45" t="e">
        <f>VLOOKUP(Import!AP35,CleanParam!$K$3:$L$53,2,0)</f>
        <v>#N/A</v>
      </c>
      <c r="AB45" t="str">
        <f>IF(Import!AU35,"Yes","No")</f>
        <v>No</v>
      </c>
      <c r="AC45" t="str">
        <f>IF(2016-Import!AV35=D45,"",2016-Import!AV35)</f>
        <v/>
      </c>
      <c r="AD45" t="str">
        <f>IF(Import!AR35,"Yes","No")</f>
        <v>No</v>
      </c>
      <c r="AE45" t="str">
        <f>IF(Import!AS35,"Yes","No")</f>
        <v>No</v>
      </c>
      <c r="AH45" s="229">
        <f>Import!E35</f>
        <v>0</v>
      </c>
      <c r="AI45">
        <f>Import!F35</f>
        <v>0</v>
      </c>
      <c r="AJ45">
        <f>Import!K35</f>
        <v>0</v>
      </c>
      <c r="AK45">
        <f>Import!L35</f>
        <v>0</v>
      </c>
      <c r="AL45" s="240">
        <f>Import!P35</f>
        <v>0</v>
      </c>
      <c r="AM45" s="240">
        <f>Import!Q35</f>
        <v>0</v>
      </c>
      <c r="AN45">
        <f>Import!S35</f>
        <v>0</v>
      </c>
      <c r="AO45">
        <f>Import!Z35</f>
        <v>0</v>
      </c>
      <c r="AP45">
        <f>Import!AA35</f>
        <v>0</v>
      </c>
      <c r="AQ45">
        <f>Import!AB35</f>
        <v>0</v>
      </c>
      <c r="AR45">
        <f>Import!AI35</f>
        <v>0</v>
      </c>
      <c r="AS45">
        <f>Import!AJ35</f>
        <v>0</v>
      </c>
      <c r="AT45">
        <f>Import!AL35</f>
        <v>0</v>
      </c>
      <c r="AU45">
        <f>Import!AN35</f>
        <v>0</v>
      </c>
      <c r="AV45">
        <f>Import!AT35</f>
        <v>0</v>
      </c>
    </row>
    <row r="46" spans="1:48" x14ac:dyDescent="0.2">
      <c r="A46">
        <f>Import!A36</f>
        <v>0</v>
      </c>
      <c r="B46">
        <f>Import!B36</f>
        <v>0</v>
      </c>
      <c r="C46">
        <f>Import!C36</f>
        <v>0</v>
      </c>
      <c r="D46">
        <f>2016-Import!D36</f>
        <v>2016</v>
      </c>
      <c r="E46">
        <f>Import!G36</f>
        <v>0</v>
      </c>
      <c r="F46">
        <f>Import!H36</f>
        <v>0</v>
      </c>
      <c r="G46">
        <f>Import!I36</f>
        <v>0</v>
      </c>
      <c r="H46">
        <f>Import!J36</f>
        <v>0</v>
      </c>
      <c r="I46" t="str">
        <f>IFERROR(VLOOKUP(Import!M36,CleanParam!$B$4:$C$11,2,0),"")</f>
        <v/>
      </c>
      <c r="J46">
        <f>Import!N36+Import!AM36+Import!AQ36</f>
        <v>0</v>
      </c>
      <c r="K46">
        <f>Import!O36</f>
        <v>0</v>
      </c>
      <c r="L46">
        <f>Import!R36</f>
        <v>0</v>
      </c>
      <c r="M46" t="str">
        <f>IF(Import!T36=0,"No","Yes")</f>
        <v>No</v>
      </c>
      <c r="N46">
        <f>Import!U36</f>
        <v>0</v>
      </c>
      <c r="O46">
        <f>Import!V36</f>
        <v>0</v>
      </c>
      <c r="P46" t="str">
        <f>IF(Import!W36="True","Yes","No")</f>
        <v>No</v>
      </c>
      <c r="Q46">
        <f>Import!X36</f>
        <v>0</v>
      </c>
      <c r="R46" t="e">
        <f>VLOOKUP(Import!Y36,CleanParam!$E$4:$F$103,2,0)</f>
        <v>#N/A</v>
      </c>
      <c r="S46" t="str">
        <f>IF(Import!AC36&gt;0,"Yes","No")</f>
        <v>No</v>
      </c>
      <c r="T46">
        <f>Import!AD36</f>
        <v>0</v>
      </c>
      <c r="U46">
        <f>Import!AE36</f>
        <v>0</v>
      </c>
      <c r="V46">
        <f>Import!AF36</f>
        <v>0</v>
      </c>
      <c r="W46" t="str">
        <f>INDEX(CleanParam!$P$4:$P$7,MATCH(Import!AG36,CleanParam!$O$4:$O$7,-1),0)</f>
        <v>0-25%</v>
      </c>
      <c r="X46">
        <f>Import!AH36</f>
        <v>0</v>
      </c>
      <c r="Y46">
        <f>Import!AK36</f>
        <v>0</v>
      </c>
      <c r="Z46" t="e">
        <f>VLOOKUP(Import!AO36,CleanParam!$H$4:$I$9,2,0)</f>
        <v>#N/A</v>
      </c>
      <c r="AA46" t="e">
        <f>VLOOKUP(Import!AP36,CleanParam!$K$3:$L$53,2,0)</f>
        <v>#N/A</v>
      </c>
      <c r="AB46" t="str">
        <f>IF(Import!AU36,"Yes","No")</f>
        <v>No</v>
      </c>
      <c r="AC46" t="str">
        <f>IF(2016-Import!AV36=D46,"",2016-Import!AV36)</f>
        <v/>
      </c>
      <c r="AD46" t="str">
        <f>IF(Import!AR36,"Yes","No")</f>
        <v>No</v>
      </c>
      <c r="AE46" t="str">
        <f>IF(Import!AS36,"Yes","No")</f>
        <v>No</v>
      </c>
      <c r="AH46" s="229">
        <f>Import!E36</f>
        <v>0</v>
      </c>
      <c r="AI46">
        <f>Import!F36</f>
        <v>0</v>
      </c>
      <c r="AJ46">
        <f>Import!K36</f>
        <v>0</v>
      </c>
      <c r="AK46">
        <f>Import!L36</f>
        <v>0</v>
      </c>
      <c r="AL46" s="240">
        <f>Import!P36</f>
        <v>0</v>
      </c>
      <c r="AM46" s="240">
        <f>Import!Q36</f>
        <v>0</v>
      </c>
      <c r="AN46">
        <f>Import!S36</f>
        <v>0</v>
      </c>
      <c r="AO46">
        <f>Import!Z36</f>
        <v>0</v>
      </c>
      <c r="AP46">
        <f>Import!AA36</f>
        <v>0</v>
      </c>
      <c r="AQ46">
        <f>Import!AB36</f>
        <v>0</v>
      </c>
      <c r="AR46">
        <f>Import!AI36</f>
        <v>0</v>
      </c>
      <c r="AS46">
        <f>Import!AJ36</f>
        <v>0</v>
      </c>
      <c r="AT46">
        <f>Import!AL36</f>
        <v>0</v>
      </c>
      <c r="AU46">
        <f>Import!AN36</f>
        <v>0</v>
      </c>
      <c r="AV46">
        <f>Import!AT36</f>
        <v>0</v>
      </c>
    </row>
    <row r="47" spans="1:48" x14ac:dyDescent="0.2">
      <c r="A47">
        <f>Import!A37</f>
        <v>0</v>
      </c>
      <c r="B47">
        <f>Import!B37</f>
        <v>0</v>
      </c>
      <c r="C47">
        <f>Import!C37</f>
        <v>0</v>
      </c>
      <c r="D47">
        <f>2016-Import!D37</f>
        <v>2016</v>
      </c>
      <c r="E47">
        <f>Import!G37</f>
        <v>0</v>
      </c>
      <c r="F47">
        <f>Import!H37</f>
        <v>0</v>
      </c>
      <c r="G47">
        <f>Import!I37</f>
        <v>0</v>
      </c>
      <c r="H47">
        <f>Import!J37</f>
        <v>0</v>
      </c>
      <c r="I47" t="str">
        <f>IFERROR(VLOOKUP(Import!M37,CleanParam!$B$4:$C$11,2,0),"")</f>
        <v/>
      </c>
      <c r="J47">
        <f>Import!N37+Import!AM37+Import!AQ37</f>
        <v>0</v>
      </c>
      <c r="K47">
        <f>Import!O37</f>
        <v>0</v>
      </c>
      <c r="L47">
        <f>Import!R37</f>
        <v>0</v>
      </c>
      <c r="M47" t="str">
        <f>IF(Import!T37=0,"No","Yes")</f>
        <v>No</v>
      </c>
      <c r="N47">
        <f>Import!U37</f>
        <v>0</v>
      </c>
      <c r="O47">
        <f>Import!V37</f>
        <v>0</v>
      </c>
      <c r="P47" t="str">
        <f>IF(Import!W37="True","Yes","No")</f>
        <v>No</v>
      </c>
      <c r="Q47">
        <f>Import!X37</f>
        <v>0</v>
      </c>
      <c r="R47" t="e">
        <f>VLOOKUP(Import!Y37,CleanParam!$E$4:$F$103,2,0)</f>
        <v>#N/A</v>
      </c>
      <c r="S47" t="str">
        <f>IF(Import!AC37&gt;0,"Yes","No")</f>
        <v>No</v>
      </c>
      <c r="T47">
        <f>Import!AD37</f>
        <v>0</v>
      </c>
      <c r="U47">
        <f>Import!AE37</f>
        <v>0</v>
      </c>
      <c r="V47">
        <f>Import!AF37</f>
        <v>0</v>
      </c>
      <c r="W47" t="str">
        <f>INDEX(CleanParam!$P$4:$P$7,MATCH(Import!AG37,CleanParam!$O$4:$O$7,-1),0)</f>
        <v>0-25%</v>
      </c>
      <c r="X47">
        <f>Import!AH37</f>
        <v>0</v>
      </c>
      <c r="Y47">
        <f>Import!AK37</f>
        <v>0</v>
      </c>
      <c r="Z47" t="e">
        <f>VLOOKUP(Import!AO37,CleanParam!$H$4:$I$9,2,0)</f>
        <v>#N/A</v>
      </c>
      <c r="AA47" t="e">
        <f>VLOOKUP(Import!AP37,CleanParam!$K$3:$L$53,2,0)</f>
        <v>#N/A</v>
      </c>
      <c r="AB47" t="str">
        <f>IF(Import!AU37,"Yes","No")</f>
        <v>No</v>
      </c>
      <c r="AC47" t="str">
        <f>IF(2016-Import!AV37=D47,"",2016-Import!AV37)</f>
        <v/>
      </c>
      <c r="AD47" t="str">
        <f>IF(Import!AR37,"Yes","No")</f>
        <v>No</v>
      </c>
      <c r="AE47" t="str">
        <f>IF(Import!AS37,"Yes","No")</f>
        <v>No</v>
      </c>
      <c r="AH47" s="229">
        <f>Import!E37</f>
        <v>0</v>
      </c>
      <c r="AI47">
        <f>Import!F37</f>
        <v>0</v>
      </c>
      <c r="AJ47">
        <f>Import!K37</f>
        <v>0</v>
      </c>
      <c r="AK47">
        <f>Import!L37</f>
        <v>0</v>
      </c>
      <c r="AL47" s="240">
        <f>Import!P37</f>
        <v>0</v>
      </c>
      <c r="AM47" s="240">
        <f>Import!Q37</f>
        <v>0</v>
      </c>
      <c r="AN47">
        <f>Import!S37</f>
        <v>0</v>
      </c>
      <c r="AO47">
        <f>Import!Z37</f>
        <v>0</v>
      </c>
      <c r="AP47">
        <f>Import!AA37</f>
        <v>0</v>
      </c>
      <c r="AQ47">
        <f>Import!AB37</f>
        <v>0</v>
      </c>
      <c r="AR47">
        <f>Import!AI37</f>
        <v>0</v>
      </c>
      <c r="AS47">
        <f>Import!AJ37</f>
        <v>0</v>
      </c>
      <c r="AT47">
        <f>Import!AL37</f>
        <v>0</v>
      </c>
      <c r="AU47">
        <f>Import!AN37</f>
        <v>0</v>
      </c>
      <c r="AV47">
        <f>Import!AT37</f>
        <v>0</v>
      </c>
    </row>
    <row r="48" spans="1:48" x14ac:dyDescent="0.2">
      <c r="A48">
        <f>Import!A38</f>
        <v>0</v>
      </c>
      <c r="B48">
        <f>Import!B38</f>
        <v>0</v>
      </c>
      <c r="C48">
        <f>Import!C38</f>
        <v>0</v>
      </c>
      <c r="D48">
        <f>2016-Import!D38</f>
        <v>2016</v>
      </c>
      <c r="E48">
        <f>Import!G38</f>
        <v>0</v>
      </c>
      <c r="F48">
        <f>Import!H38</f>
        <v>0</v>
      </c>
      <c r="G48">
        <f>Import!I38</f>
        <v>0</v>
      </c>
      <c r="H48">
        <f>Import!J38</f>
        <v>0</v>
      </c>
      <c r="I48" t="str">
        <f>IFERROR(VLOOKUP(Import!M38,CleanParam!$B$4:$C$11,2,0),"")</f>
        <v/>
      </c>
      <c r="J48">
        <f>Import!N38+Import!AM38+Import!AQ38</f>
        <v>0</v>
      </c>
      <c r="K48">
        <f>Import!O38</f>
        <v>0</v>
      </c>
      <c r="L48">
        <f>Import!R38</f>
        <v>0</v>
      </c>
      <c r="M48" t="str">
        <f>IF(Import!T38=0,"No","Yes")</f>
        <v>No</v>
      </c>
      <c r="N48">
        <f>Import!U38</f>
        <v>0</v>
      </c>
      <c r="O48">
        <f>Import!V38</f>
        <v>0</v>
      </c>
      <c r="P48" t="str">
        <f>IF(Import!W38="True","Yes","No")</f>
        <v>No</v>
      </c>
      <c r="Q48">
        <f>Import!X38</f>
        <v>0</v>
      </c>
      <c r="R48" t="e">
        <f>VLOOKUP(Import!Y38,CleanParam!$E$4:$F$103,2,0)</f>
        <v>#N/A</v>
      </c>
      <c r="S48" t="str">
        <f>IF(Import!AC38&gt;0,"Yes","No")</f>
        <v>No</v>
      </c>
      <c r="T48">
        <f>Import!AD38</f>
        <v>0</v>
      </c>
      <c r="U48">
        <f>Import!AE38</f>
        <v>0</v>
      </c>
      <c r="V48">
        <f>Import!AF38</f>
        <v>0</v>
      </c>
      <c r="W48" t="str">
        <f>INDEX(CleanParam!$P$4:$P$7,MATCH(Import!AG38,CleanParam!$O$4:$O$7,-1),0)</f>
        <v>0-25%</v>
      </c>
      <c r="X48">
        <f>Import!AH38</f>
        <v>0</v>
      </c>
      <c r="Y48">
        <f>Import!AK38</f>
        <v>0</v>
      </c>
      <c r="Z48" t="e">
        <f>VLOOKUP(Import!AO38,CleanParam!$H$4:$I$9,2,0)</f>
        <v>#N/A</v>
      </c>
      <c r="AA48" t="e">
        <f>VLOOKUP(Import!AP38,CleanParam!$K$3:$L$53,2,0)</f>
        <v>#N/A</v>
      </c>
      <c r="AB48" t="str">
        <f>IF(Import!AU38,"Yes","No")</f>
        <v>No</v>
      </c>
      <c r="AC48" t="str">
        <f>IF(2016-Import!AV38=D48,"",2016-Import!AV38)</f>
        <v/>
      </c>
      <c r="AD48" t="str">
        <f>IF(Import!AR38,"Yes","No")</f>
        <v>No</v>
      </c>
      <c r="AE48" t="str">
        <f>IF(Import!AS38,"Yes","No")</f>
        <v>No</v>
      </c>
      <c r="AH48" s="229">
        <f>Import!E38</f>
        <v>0</v>
      </c>
      <c r="AI48">
        <f>Import!F38</f>
        <v>0</v>
      </c>
      <c r="AJ48">
        <f>Import!K38</f>
        <v>0</v>
      </c>
      <c r="AK48">
        <f>Import!L38</f>
        <v>0</v>
      </c>
      <c r="AL48" s="240">
        <f>Import!P38</f>
        <v>0</v>
      </c>
      <c r="AM48" s="240">
        <f>Import!Q38</f>
        <v>0</v>
      </c>
      <c r="AN48">
        <f>Import!S38</f>
        <v>0</v>
      </c>
      <c r="AO48">
        <f>Import!Z38</f>
        <v>0</v>
      </c>
      <c r="AP48">
        <f>Import!AA38</f>
        <v>0</v>
      </c>
      <c r="AQ48">
        <f>Import!AB38</f>
        <v>0</v>
      </c>
      <c r="AR48">
        <f>Import!AI38</f>
        <v>0</v>
      </c>
      <c r="AS48">
        <f>Import!AJ38</f>
        <v>0</v>
      </c>
      <c r="AT48">
        <f>Import!AL38</f>
        <v>0</v>
      </c>
      <c r="AU48">
        <f>Import!AN38</f>
        <v>0</v>
      </c>
      <c r="AV48">
        <f>Import!AT38</f>
        <v>0</v>
      </c>
    </row>
    <row r="49" spans="1:48" x14ac:dyDescent="0.2">
      <c r="A49">
        <f>Import!A39</f>
        <v>0</v>
      </c>
      <c r="B49">
        <f>Import!B39</f>
        <v>0</v>
      </c>
      <c r="C49">
        <f>Import!C39</f>
        <v>0</v>
      </c>
      <c r="D49">
        <f>2016-Import!D39</f>
        <v>2016</v>
      </c>
      <c r="E49">
        <f>Import!G39</f>
        <v>0</v>
      </c>
      <c r="F49">
        <f>Import!H39</f>
        <v>0</v>
      </c>
      <c r="G49">
        <f>Import!I39</f>
        <v>0</v>
      </c>
      <c r="H49">
        <f>Import!J39</f>
        <v>0</v>
      </c>
      <c r="I49" t="str">
        <f>IFERROR(VLOOKUP(Import!M39,CleanParam!$B$4:$C$11,2,0),"")</f>
        <v/>
      </c>
      <c r="J49">
        <f>Import!N39+Import!AM39+Import!AQ39</f>
        <v>0</v>
      </c>
      <c r="K49">
        <f>Import!O39</f>
        <v>0</v>
      </c>
      <c r="L49">
        <f>Import!R39</f>
        <v>0</v>
      </c>
      <c r="M49" t="str">
        <f>IF(Import!T39=0,"No","Yes")</f>
        <v>No</v>
      </c>
      <c r="N49">
        <f>Import!U39</f>
        <v>0</v>
      </c>
      <c r="O49">
        <f>Import!V39</f>
        <v>0</v>
      </c>
      <c r="P49" t="str">
        <f>IF(Import!W39="True","Yes","No")</f>
        <v>No</v>
      </c>
      <c r="Q49">
        <f>Import!X39</f>
        <v>0</v>
      </c>
      <c r="R49" t="e">
        <f>VLOOKUP(Import!Y39,CleanParam!$E$4:$F$103,2,0)</f>
        <v>#N/A</v>
      </c>
      <c r="S49" t="str">
        <f>IF(Import!AC39&gt;0,"Yes","No")</f>
        <v>No</v>
      </c>
      <c r="T49">
        <f>Import!AD39</f>
        <v>0</v>
      </c>
      <c r="U49">
        <f>Import!AE39</f>
        <v>0</v>
      </c>
      <c r="V49">
        <f>Import!AF39</f>
        <v>0</v>
      </c>
      <c r="W49" t="str">
        <f>INDEX(CleanParam!$P$4:$P$7,MATCH(Import!AG39,CleanParam!$O$4:$O$7,-1),0)</f>
        <v>0-25%</v>
      </c>
      <c r="X49">
        <f>Import!AH39</f>
        <v>0</v>
      </c>
      <c r="Y49">
        <f>Import!AK39</f>
        <v>0</v>
      </c>
      <c r="Z49" t="e">
        <f>VLOOKUP(Import!AO39,CleanParam!$H$4:$I$9,2,0)</f>
        <v>#N/A</v>
      </c>
      <c r="AA49" t="e">
        <f>VLOOKUP(Import!AP39,CleanParam!$K$3:$L$53,2,0)</f>
        <v>#N/A</v>
      </c>
      <c r="AB49" t="str">
        <f>IF(Import!AU39,"Yes","No")</f>
        <v>No</v>
      </c>
      <c r="AC49" t="str">
        <f>IF(2016-Import!AV39=D49,"",2016-Import!AV39)</f>
        <v/>
      </c>
      <c r="AD49" t="str">
        <f>IF(Import!AR39,"Yes","No")</f>
        <v>No</v>
      </c>
      <c r="AE49" t="str">
        <f>IF(Import!AS39,"Yes","No")</f>
        <v>No</v>
      </c>
      <c r="AH49" s="229">
        <f>Import!E39</f>
        <v>0</v>
      </c>
      <c r="AI49">
        <f>Import!F39</f>
        <v>0</v>
      </c>
      <c r="AJ49">
        <f>Import!K39</f>
        <v>0</v>
      </c>
      <c r="AK49">
        <f>Import!L39</f>
        <v>0</v>
      </c>
      <c r="AL49" s="240">
        <f>Import!P39</f>
        <v>0</v>
      </c>
      <c r="AM49" s="240">
        <f>Import!Q39</f>
        <v>0</v>
      </c>
      <c r="AN49">
        <f>Import!S39</f>
        <v>0</v>
      </c>
      <c r="AO49">
        <f>Import!Z39</f>
        <v>0</v>
      </c>
      <c r="AP49">
        <f>Import!AA39</f>
        <v>0</v>
      </c>
      <c r="AQ49">
        <f>Import!AB39</f>
        <v>0</v>
      </c>
      <c r="AR49">
        <f>Import!AI39</f>
        <v>0</v>
      </c>
      <c r="AS49">
        <f>Import!AJ39</f>
        <v>0</v>
      </c>
      <c r="AT49">
        <f>Import!AL39</f>
        <v>0</v>
      </c>
      <c r="AU49">
        <f>Import!AN39</f>
        <v>0</v>
      </c>
      <c r="AV49">
        <f>Import!AT39</f>
        <v>0</v>
      </c>
    </row>
    <row r="50" spans="1:48" x14ac:dyDescent="0.2">
      <c r="A50">
        <f>Import!A40</f>
        <v>0</v>
      </c>
      <c r="B50">
        <f>Import!B40</f>
        <v>0</v>
      </c>
      <c r="C50">
        <f>Import!C40</f>
        <v>0</v>
      </c>
      <c r="D50">
        <f>2016-Import!D40</f>
        <v>2016</v>
      </c>
      <c r="E50">
        <f>Import!G40</f>
        <v>0</v>
      </c>
      <c r="F50">
        <f>Import!H40</f>
        <v>0</v>
      </c>
      <c r="G50">
        <f>Import!I40</f>
        <v>0</v>
      </c>
      <c r="H50">
        <f>Import!J40</f>
        <v>0</v>
      </c>
      <c r="I50" t="str">
        <f>IFERROR(VLOOKUP(Import!M40,CleanParam!$B$4:$C$11,2,0),"")</f>
        <v/>
      </c>
      <c r="J50">
        <f>Import!N40+Import!AM40+Import!AQ40</f>
        <v>0</v>
      </c>
      <c r="K50">
        <f>Import!O40</f>
        <v>0</v>
      </c>
      <c r="L50">
        <f>Import!R40</f>
        <v>0</v>
      </c>
      <c r="M50" t="str">
        <f>IF(Import!T40=0,"No","Yes")</f>
        <v>No</v>
      </c>
      <c r="N50">
        <f>Import!U40</f>
        <v>0</v>
      </c>
      <c r="O50">
        <f>Import!V40</f>
        <v>0</v>
      </c>
      <c r="P50" t="str">
        <f>IF(Import!W40="True","Yes","No")</f>
        <v>No</v>
      </c>
      <c r="Q50">
        <f>Import!X40</f>
        <v>0</v>
      </c>
      <c r="R50" t="e">
        <f>VLOOKUP(Import!Y40,CleanParam!$E$4:$F$103,2,0)</f>
        <v>#N/A</v>
      </c>
      <c r="S50" t="str">
        <f>IF(Import!AC40&gt;0,"Yes","No")</f>
        <v>No</v>
      </c>
      <c r="T50">
        <f>Import!AD40</f>
        <v>0</v>
      </c>
      <c r="U50">
        <f>Import!AE40</f>
        <v>0</v>
      </c>
      <c r="V50">
        <f>Import!AF40</f>
        <v>0</v>
      </c>
      <c r="W50" t="str">
        <f>INDEX(CleanParam!$P$4:$P$7,MATCH(Import!AG40,CleanParam!$O$4:$O$7,-1),0)</f>
        <v>0-25%</v>
      </c>
      <c r="X50">
        <f>Import!AH40</f>
        <v>0</v>
      </c>
      <c r="Y50">
        <f>Import!AK40</f>
        <v>0</v>
      </c>
      <c r="Z50" t="e">
        <f>VLOOKUP(Import!AO40,CleanParam!$H$4:$I$9,2,0)</f>
        <v>#N/A</v>
      </c>
      <c r="AA50" t="e">
        <f>VLOOKUP(Import!AP40,CleanParam!$K$3:$L$53,2,0)</f>
        <v>#N/A</v>
      </c>
      <c r="AB50" t="str">
        <f>IF(Import!AU40,"Yes","No")</f>
        <v>No</v>
      </c>
      <c r="AC50" t="str">
        <f>IF(2016-Import!AV40=D50,"",2016-Import!AV40)</f>
        <v/>
      </c>
      <c r="AD50" t="str">
        <f>IF(Import!AR40,"Yes","No")</f>
        <v>No</v>
      </c>
      <c r="AE50" t="str">
        <f>IF(Import!AS40,"Yes","No")</f>
        <v>No</v>
      </c>
      <c r="AH50" s="229">
        <f>Import!E40</f>
        <v>0</v>
      </c>
      <c r="AI50">
        <f>Import!F40</f>
        <v>0</v>
      </c>
      <c r="AJ50">
        <f>Import!K40</f>
        <v>0</v>
      </c>
      <c r="AK50">
        <f>Import!L40</f>
        <v>0</v>
      </c>
      <c r="AL50" s="240">
        <f>Import!P40</f>
        <v>0</v>
      </c>
      <c r="AM50" s="240">
        <f>Import!Q40</f>
        <v>0</v>
      </c>
      <c r="AN50">
        <f>Import!S40</f>
        <v>0</v>
      </c>
      <c r="AO50">
        <f>Import!Z40</f>
        <v>0</v>
      </c>
      <c r="AP50">
        <f>Import!AA40</f>
        <v>0</v>
      </c>
      <c r="AQ50">
        <f>Import!AB40</f>
        <v>0</v>
      </c>
      <c r="AR50">
        <f>Import!AI40</f>
        <v>0</v>
      </c>
      <c r="AS50">
        <f>Import!AJ40</f>
        <v>0</v>
      </c>
      <c r="AT50">
        <f>Import!AL40</f>
        <v>0</v>
      </c>
      <c r="AU50">
        <f>Import!AN40</f>
        <v>0</v>
      </c>
      <c r="AV50">
        <f>Import!AT40</f>
        <v>0</v>
      </c>
    </row>
    <row r="51" spans="1:48" x14ac:dyDescent="0.2">
      <c r="A51">
        <f>Import!A41</f>
        <v>0</v>
      </c>
      <c r="B51">
        <f>Import!B41</f>
        <v>0</v>
      </c>
      <c r="C51">
        <f>Import!C41</f>
        <v>0</v>
      </c>
      <c r="D51">
        <f>2016-Import!D41</f>
        <v>2016</v>
      </c>
      <c r="E51">
        <f>Import!G41</f>
        <v>0</v>
      </c>
      <c r="F51">
        <f>Import!H41</f>
        <v>0</v>
      </c>
      <c r="G51">
        <f>Import!I41</f>
        <v>0</v>
      </c>
      <c r="H51">
        <f>Import!J41</f>
        <v>0</v>
      </c>
      <c r="I51" t="str">
        <f>IFERROR(VLOOKUP(Import!M41,CleanParam!$B$4:$C$11,2,0),"")</f>
        <v/>
      </c>
      <c r="J51">
        <f>Import!N41+Import!AM41+Import!AQ41</f>
        <v>0</v>
      </c>
      <c r="K51">
        <f>Import!O41</f>
        <v>0</v>
      </c>
      <c r="L51">
        <f>Import!R41</f>
        <v>0</v>
      </c>
      <c r="M51" t="str">
        <f>IF(Import!T41=0,"No","Yes")</f>
        <v>No</v>
      </c>
      <c r="N51">
        <f>Import!U41</f>
        <v>0</v>
      </c>
      <c r="O51">
        <f>Import!V41</f>
        <v>0</v>
      </c>
      <c r="P51" t="str">
        <f>IF(Import!W41="True","Yes","No")</f>
        <v>No</v>
      </c>
      <c r="Q51">
        <f>Import!X41</f>
        <v>0</v>
      </c>
      <c r="R51" t="e">
        <f>VLOOKUP(Import!Y41,CleanParam!$E$4:$F$103,2,0)</f>
        <v>#N/A</v>
      </c>
      <c r="S51" t="str">
        <f>IF(Import!AC41&gt;0,"Yes","No")</f>
        <v>No</v>
      </c>
      <c r="T51">
        <f>Import!AD41</f>
        <v>0</v>
      </c>
      <c r="U51">
        <f>Import!AE41</f>
        <v>0</v>
      </c>
      <c r="V51">
        <f>Import!AF41</f>
        <v>0</v>
      </c>
      <c r="W51" t="str">
        <f>INDEX(CleanParam!$P$4:$P$7,MATCH(Import!AG41,CleanParam!$O$4:$O$7,-1),0)</f>
        <v>0-25%</v>
      </c>
      <c r="X51">
        <f>Import!AH41</f>
        <v>0</v>
      </c>
      <c r="Y51">
        <f>Import!AK41</f>
        <v>0</v>
      </c>
      <c r="Z51" t="e">
        <f>VLOOKUP(Import!AO41,CleanParam!$H$4:$I$9,2,0)</f>
        <v>#N/A</v>
      </c>
      <c r="AA51" t="e">
        <f>VLOOKUP(Import!AP41,CleanParam!$K$3:$L$53,2,0)</f>
        <v>#N/A</v>
      </c>
      <c r="AB51" t="str">
        <f>IF(Import!AU41,"Yes","No")</f>
        <v>No</v>
      </c>
      <c r="AC51" t="str">
        <f>IF(2016-Import!AV41=D51,"",2016-Import!AV41)</f>
        <v/>
      </c>
      <c r="AD51" t="str">
        <f>IF(Import!AR41,"Yes","No")</f>
        <v>No</v>
      </c>
      <c r="AE51" t="str">
        <f>IF(Import!AS41,"Yes","No")</f>
        <v>No</v>
      </c>
      <c r="AH51" s="229">
        <f>Import!E41</f>
        <v>0</v>
      </c>
      <c r="AI51">
        <f>Import!F41</f>
        <v>0</v>
      </c>
      <c r="AJ51">
        <f>Import!K41</f>
        <v>0</v>
      </c>
      <c r="AK51">
        <f>Import!L41</f>
        <v>0</v>
      </c>
      <c r="AL51" s="240">
        <f>Import!P41</f>
        <v>0</v>
      </c>
      <c r="AM51" s="240">
        <f>Import!Q41</f>
        <v>0</v>
      </c>
      <c r="AN51">
        <f>Import!S41</f>
        <v>0</v>
      </c>
      <c r="AO51">
        <f>Import!Z41</f>
        <v>0</v>
      </c>
      <c r="AP51">
        <f>Import!AA41</f>
        <v>0</v>
      </c>
      <c r="AQ51">
        <f>Import!AB41</f>
        <v>0</v>
      </c>
      <c r="AR51">
        <f>Import!AI41</f>
        <v>0</v>
      </c>
      <c r="AS51">
        <f>Import!AJ41</f>
        <v>0</v>
      </c>
      <c r="AT51">
        <f>Import!AL41</f>
        <v>0</v>
      </c>
      <c r="AU51">
        <f>Import!AN41</f>
        <v>0</v>
      </c>
      <c r="AV51">
        <f>Import!AT41</f>
        <v>0</v>
      </c>
    </row>
    <row r="52" spans="1:48" x14ac:dyDescent="0.2">
      <c r="A52">
        <f>Import!A42</f>
        <v>0</v>
      </c>
      <c r="B52">
        <f>Import!B42</f>
        <v>0</v>
      </c>
      <c r="C52">
        <f>Import!C42</f>
        <v>0</v>
      </c>
      <c r="D52">
        <f>2016-Import!D42</f>
        <v>2016</v>
      </c>
      <c r="E52">
        <f>Import!G42</f>
        <v>0</v>
      </c>
      <c r="F52">
        <f>Import!H42</f>
        <v>0</v>
      </c>
      <c r="G52">
        <f>Import!I42</f>
        <v>0</v>
      </c>
      <c r="H52">
        <f>Import!J42</f>
        <v>0</v>
      </c>
      <c r="I52" t="str">
        <f>IFERROR(VLOOKUP(Import!M42,CleanParam!$B$4:$C$11,2,0),"")</f>
        <v/>
      </c>
      <c r="J52">
        <f>Import!N42+Import!AM42+Import!AQ42</f>
        <v>0</v>
      </c>
      <c r="K52">
        <f>Import!O42</f>
        <v>0</v>
      </c>
      <c r="L52">
        <f>Import!R42</f>
        <v>0</v>
      </c>
      <c r="M52" t="str">
        <f>IF(Import!T42=0,"No","Yes")</f>
        <v>No</v>
      </c>
      <c r="N52">
        <f>Import!U42</f>
        <v>0</v>
      </c>
      <c r="O52">
        <f>Import!V42</f>
        <v>0</v>
      </c>
      <c r="P52" t="str">
        <f>IF(Import!W42="True","Yes","No")</f>
        <v>No</v>
      </c>
      <c r="Q52">
        <f>Import!X42</f>
        <v>0</v>
      </c>
      <c r="R52" t="e">
        <f>VLOOKUP(Import!Y42,CleanParam!$E$4:$F$103,2,0)</f>
        <v>#N/A</v>
      </c>
      <c r="S52" t="str">
        <f>IF(Import!AC42&gt;0,"Yes","No")</f>
        <v>No</v>
      </c>
      <c r="T52">
        <f>Import!AD42</f>
        <v>0</v>
      </c>
      <c r="U52">
        <f>Import!AE42</f>
        <v>0</v>
      </c>
      <c r="V52">
        <f>Import!AF42</f>
        <v>0</v>
      </c>
      <c r="W52" t="str">
        <f>INDEX(CleanParam!$P$4:$P$7,MATCH(Import!AG42,CleanParam!$O$4:$O$7,-1),0)</f>
        <v>0-25%</v>
      </c>
      <c r="X52">
        <f>Import!AH42</f>
        <v>0</v>
      </c>
      <c r="Y52">
        <f>Import!AK42</f>
        <v>0</v>
      </c>
      <c r="Z52" t="e">
        <f>VLOOKUP(Import!AO42,CleanParam!$H$4:$I$9,2,0)</f>
        <v>#N/A</v>
      </c>
      <c r="AA52" t="e">
        <f>VLOOKUP(Import!AP42,CleanParam!$K$3:$L$53,2,0)</f>
        <v>#N/A</v>
      </c>
      <c r="AB52" t="str">
        <f>IF(Import!AU42,"Yes","No")</f>
        <v>No</v>
      </c>
      <c r="AC52" t="str">
        <f>IF(2016-Import!AV42=D52,"",2016-Import!AV42)</f>
        <v/>
      </c>
      <c r="AD52" t="str">
        <f>IF(Import!AR42,"Yes","No")</f>
        <v>No</v>
      </c>
      <c r="AE52" t="str">
        <f>IF(Import!AS42,"Yes","No")</f>
        <v>No</v>
      </c>
      <c r="AH52" s="229">
        <f>Import!E42</f>
        <v>0</v>
      </c>
      <c r="AI52">
        <f>Import!F42</f>
        <v>0</v>
      </c>
      <c r="AJ52">
        <f>Import!K42</f>
        <v>0</v>
      </c>
      <c r="AK52">
        <f>Import!L42</f>
        <v>0</v>
      </c>
      <c r="AL52" s="240">
        <f>Import!P42</f>
        <v>0</v>
      </c>
      <c r="AM52" s="240">
        <f>Import!Q42</f>
        <v>0</v>
      </c>
      <c r="AN52">
        <f>Import!S42</f>
        <v>0</v>
      </c>
      <c r="AO52">
        <f>Import!Z42</f>
        <v>0</v>
      </c>
      <c r="AP52">
        <f>Import!AA42</f>
        <v>0</v>
      </c>
      <c r="AQ52">
        <f>Import!AB42</f>
        <v>0</v>
      </c>
      <c r="AR52">
        <f>Import!AI42</f>
        <v>0</v>
      </c>
      <c r="AS52">
        <f>Import!AJ42</f>
        <v>0</v>
      </c>
      <c r="AT52">
        <f>Import!AL42</f>
        <v>0</v>
      </c>
      <c r="AU52">
        <f>Import!AN42</f>
        <v>0</v>
      </c>
      <c r="AV52">
        <f>Import!AT42</f>
        <v>0</v>
      </c>
    </row>
    <row r="53" spans="1:48" x14ac:dyDescent="0.2">
      <c r="A53">
        <f>Import!A43</f>
        <v>0</v>
      </c>
      <c r="B53">
        <f>Import!B43</f>
        <v>0</v>
      </c>
      <c r="C53">
        <f>Import!C43</f>
        <v>0</v>
      </c>
      <c r="D53">
        <f>2016-Import!D43</f>
        <v>2016</v>
      </c>
      <c r="E53">
        <f>Import!G43</f>
        <v>0</v>
      </c>
      <c r="F53">
        <f>Import!H43</f>
        <v>0</v>
      </c>
      <c r="G53">
        <f>Import!I43</f>
        <v>0</v>
      </c>
      <c r="H53">
        <f>Import!J43</f>
        <v>0</v>
      </c>
      <c r="I53" t="str">
        <f>IFERROR(VLOOKUP(Import!M43,CleanParam!$B$4:$C$11,2,0),"")</f>
        <v/>
      </c>
      <c r="J53">
        <f>Import!N43+Import!AM43+Import!AQ43</f>
        <v>0</v>
      </c>
      <c r="K53">
        <f>Import!O43</f>
        <v>0</v>
      </c>
      <c r="L53">
        <f>Import!R43</f>
        <v>0</v>
      </c>
      <c r="M53" t="str">
        <f>IF(Import!T43=0,"No","Yes")</f>
        <v>No</v>
      </c>
      <c r="N53">
        <f>Import!U43</f>
        <v>0</v>
      </c>
      <c r="O53">
        <f>Import!V43</f>
        <v>0</v>
      </c>
      <c r="P53" t="str">
        <f>IF(Import!W43="True","Yes","No")</f>
        <v>No</v>
      </c>
      <c r="Q53">
        <f>Import!X43</f>
        <v>0</v>
      </c>
      <c r="R53" t="e">
        <f>VLOOKUP(Import!Y43,CleanParam!$E$4:$F$103,2,0)</f>
        <v>#N/A</v>
      </c>
      <c r="S53" t="str">
        <f>IF(Import!AC43&gt;0,"Yes","No")</f>
        <v>No</v>
      </c>
      <c r="T53">
        <f>Import!AD43</f>
        <v>0</v>
      </c>
      <c r="U53">
        <f>Import!AE43</f>
        <v>0</v>
      </c>
      <c r="V53">
        <f>Import!AF43</f>
        <v>0</v>
      </c>
      <c r="W53" t="str">
        <f>INDEX(CleanParam!$P$4:$P$7,MATCH(Import!AG43,CleanParam!$O$4:$O$7,-1),0)</f>
        <v>0-25%</v>
      </c>
      <c r="X53">
        <f>Import!AH43</f>
        <v>0</v>
      </c>
      <c r="Y53">
        <f>Import!AK43</f>
        <v>0</v>
      </c>
      <c r="Z53" t="e">
        <f>VLOOKUP(Import!AO43,CleanParam!$H$4:$I$9,2,0)</f>
        <v>#N/A</v>
      </c>
      <c r="AA53" t="e">
        <f>VLOOKUP(Import!AP43,CleanParam!$K$3:$L$53,2,0)</f>
        <v>#N/A</v>
      </c>
      <c r="AB53" t="str">
        <f>IF(Import!AU43,"Yes","No")</f>
        <v>No</v>
      </c>
      <c r="AC53" t="str">
        <f>IF(2016-Import!AV43=D53,"",2016-Import!AV43)</f>
        <v/>
      </c>
      <c r="AD53" t="str">
        <f>IF(Import!AR43,"Yes","No")</f>
        <v>No</v>
      </c>
      <c r="AE53" t="str">
        <f>IF(Import!AS43,"Yes","No")</f>
        <v>No</v>
      </c>
      <c r="AH53" s="229">
        <f>Import!E43</f>
        <v>0</v>
      </c>
      <c r="AI53">
        <f>Import!F43</f>
        <v>0</v>
      </c>
      <c r="AJ53">
        <f>Import!K43</f>
        <v>0</v>
      </c>
      <c r="AK53">
        <f>Import!L43</f>
        <v>0</v>
      </c>
      <c r="AL53" s="240">
        <f>Import!P43</f>
        <v>0</v>
      </c>
      <c r="AM53" s="240">
        <f>Import!Q43</f>
        <v>0</v>
      </c>
      <c r="AN53">
        <f>Import!S43</f>
        <v>0</v>
      </c>
      <c r="AO53">
        <f>Import!Z43</f>
        <v>0</v>
      </c>
      <c r="AP53">
        <f>Import!AA43</f>
        <v>0</v>
      </c>
      <c r="AQ53">
        <f>Import!AB43</f>
        <v>0</v>
      </c>
      <c r="AR53">
        <f>Import!AI43</f>
        <v>0</v>
      </c>
      <c r="AS53">
        <f>Import!AJ43</f>
        <v>0</v>
      </c>
      <c r="AT53">
        <f>Import!AL43</f>
        <v>0</v>
      </c>
      <c r="AU53">
        <f>Import!AN43</f>
        <v>0</v>
      </c>
      <c r="AV53">
        <f>Import!AT43</f>
        <v>0</v>
      </c>
    </row>
    <row r="54" spans="1:48" x14ac:dyDescent="0.2">
      <c r="A54">
        <f>Import!A44</f>
        <v>0</v>
      </c>
      <c r="B54">
        <f>Import!B44</f>
        <v>0</v>
      </c>
      <c r="C54">
        <f>Import!C44</f>
        <v>0</v>
      </c>
      <c r="D54">
        <f>2016-Import!D44</f>
        <v>2016</v>
      </c>
      <c r="E54">
        <f>Import!G44</f>
        <v>0</v>
      </c>
      <c r="F54">
        <f>Import!H44</f>
        <v>0</v>
      </c>
      <c r="G54">
        <f>Import!I44</f>
        <v>0</v>
      </c>
      <c r="H54">
        <f>Import!J44</f>
        <v>0</v>
      </c>
      <c r="I54" t="str">
        <f>IFERROR(VLOOKUP(Import!M44,CleanParam!$B$4:$C$11,2,0),"")</f>
        <v/>
      </c>
      <c r="J54">
        <f>Import!N44+Import!AM44+Import!AQ44</f>
        <v>0</v>
      </c>
      <c r="K54">
        <f>Import!O44</f>
        <v>0</v>
      </c>
      <c r="L54">
        <f>Import!R44</f>
        <v>0</v>
      </c>
      <c r="M54" t="str">
        <f>IF(Import!T44=0,"No","Yes")</f>
        <v>No</v>
      </c>
      <c r="N54">
        <f>Import!U44</f>
        <v>0</v>
      </c>
      <c r="O54">
        <f>Import!V44</f>
        <v>0</v>
      </c>
      <c r="P54" t="str">
        <f>IF(Import!W44="True","Yes","No")</f>
        <v>No</v>
      </c>
      <c r="Q54">
        <f>Import!X44</f>
        <v>0</v>
      </c>
      <c r="R54" t="e">
        <f>VLOOKUP(Import!Y44,CleanParam!$E$4:$F$103,2,0)</f>
        <v>#N/A</v>
      </c>
      <c r="S54" t="str">
        <f>IF(Import!AC44&gt;0,"Yes","No")</f>
        <v>No</v>
      </c>
      <c r="T54">
        <f>Import!AD44</f>
        <v>0</v>
      </c>
      <c r="U54">
        <f>Import!AE44</f>
        <v>0</v>
      </c>
      <c r="V54">
        <f>Import!AF44</f>
        <v>0</v>
      </c>
      <c r="W54" t="str">
        <f>INDEX(CleanParam!$P$4:$P$7,MATCH(Import!AG44,CleanParam!$O$4:$O$7,-1),0)</f>
        <v>0-25%</v>
      </c>
      <c r="X54">
        <f>Import!AH44</f>
        <v>0</v>
      </c>
      <c r="Y54">
        <f>Import!AK44</f>
        <v>0</v>
      </c>
      <c r="Z54" t="e">
        <f>VLOOKUP(Import!AO44,CleanParam!$H$4:$I$9,2,0)</f>
        <v>#N/A</v>
      </c>
      <c r="AA54" t="e">
        <f>VLOOKUP(Import!AP44,CleanParam!$K$3:$L$53,2,0)</f>
        <v>#N/A</v>
      </c>
      <c r="AB54" t="str">
        <f>IF(Import!AU44,"Yes","No")</f>
        <v>No</v>
      </c>
      <c r="AC54" t="str">
        <f>IF(2016-Import!AV44=D54,"",2016-Import!AV44)</f>
        <v/>
      </c>
      <c r="AD54" t="str">
        <f>IF(Import!AR44,"Yes","No")</f>
        <v>No</v>
      </c>
      <c r="AE54" t="str">
        <f>IF(Import!AS44,"Yes","No")</f>
        <v>No</v>
      </c>
      <c r="AH54" s="229">
        <f>Import!E44</f>
        <v>0</v>
      </c>
      <c r="AI54">
        <f>Import!F44</f>
        <v>0</v>
      </c>
      <c r="AJ54">
        <f>Import!K44</f>
        <v>0</v>
      </c>
      <c r="AK54">
        <f>Import!L44</f>
        <v>0</v>
      </c>
      <c r="AL54" s="240">
        <f>Import!P44</f>
        <v>0</v>
      </c>
      <c r="AM54" s="240">
        <f>Import!Q44</f>
        <v>0</v>
      </c>
      <c r="AN54">
        <f>Import!S44</f>
        <v>0</v>
      </c>
      <c r="AO54">
        <f>Import!Z44</f>
        <v>0</v>
      </c>
      <c r="AP54">
        <f>Import!AA44</f>
        <v>0</v>
      </c>
      <c r="AQ54">
        <f>Import!AB44</f>
        <v>0</v>
      </c>
      <c r="AR54">
        <f>Import!AI44</f>
        <v>0</v>
      </c>
      <c r="AS54">
        <f>Import!AJ44</f>
        <v>0</v>
      </c>
      <c r="AT54">
        <f>Import!AL44</f>
        <v>0</v>
      </c>
      <c r="AU54">
        <f>Import!AN44</f>
        <v>0</v>
      </c>
      <c r="AV54">
        <f>Import!AT44</f>
        <v>0</v>
      </c>
    </row>
    <row r="55" spans="1:48" x14ac:dyDescent="0.2">
      <c r="A55">
        <f>Import!A45</f>
        <v>0</v>
      </c>
      <c r="B55">
        <f>Import!B45</f>
        <v>0</v>
      </c>
      <c r="C55">
        <f>Import!C45</f>
        <v>0</v>
      </c>
      <c r="D55">
        <f>2016-Import!D45</f>
        <v>2016</v>
      </c>
      <c r="E55">
        <f>Import!G45</f>
        <v>0</v>
      </c>
      <c r="F55">
        <f>Import!H45</f>
        <v>0</v>
      </c>
      <c r="G55">
        <f>Import!I45</f>
        <v>0</v>
      </c>
      <c r="H55">
        <f>Import!J45</f>
        <v>0</v>
      </c>
      <c r="I55" t="str">
        <f>IFERROR(VLOOKUP(Import!M45,CleanParam!$B$4:$C$11,2,0),"")</f>
        <v/>
      </c>
      <c r="J55">
        <f>Import!N45+Import!AM45+Import!AQ45</f>
        <v>0</v>
      </c>
      <c r="K55">
        <f>Import!O45</f>
        <v>0</v>
      </c>
      <c r="L55">
        <f>Import!R45</f>
        <v>0</v>
      </c>
      <c r="M55" t="str">
        <f>IF(Import!T45=0,"No","Yes")</f>
        <v>No</v>
      </c>
      <c r="N55">
        <f>Import!U45</f>
        <v>0</v>
      </c>
      <c r="O55">
        <f>Import!V45</f>
        <v>0</v>
      </c>
      <c r="P55" t="str">
        <f>IF(Import!W45="True","Yes","No")</f>
        <v>No</v>
      </c>
      <c r="Q55">
        <f>Import!X45</f>
        <v>0</v>
      </c>
      <c r="R55" t="e">
        <f>VLOOKUP(Import!Y45,CleanParam!$E$4:$F$103,2,0)</f>
        <v>#N/A</v>
      </c>
      <c r="S55" t="str">
        <f>IF(Import!AC45&gt;0,"Yes","No")</f>
        <v>No</v>
      </c>
      <c r="T55">
        <f>Import!AD45</f>
        <v>0</v>
      </c>
      <c r="U55">
        <f>Import!AE45</f>
        <v>0</v>
      </c>
      <c r="V55">
        <f>Import!AF45</f>
        <v>0</v>
      </c>
      <c r="W55" t="str">
        <f>INDEX(CleanParam!$P$4:$P$7,MATCH(Import!AG45,CleanParam!$O$4:$O$7,-1),0)</f>
        <v>0-25%</v>
      </c>
      <c r="X55">
        <f>Import!AH45</f>
        <v>0</v>
      </c>
      <c r="Y55">
        <f>Import!AK45</f>
        <v>0</v>
      </c>
      <c r="Z55" t="e">
        <f>VLOOKUP(Import!AO45,CleanParam!$H$4:$I$9,2,0)</f>
        <v>#N/A</v>
      </c>
      <c r="AA55" t="e">
        <f>VLOOKUP(Import!AP45,CleanParam!$K$3:$L$53,2,0)</f>
        <v>#N/A</v>
      </c>
      <c r="AB55" t="str">
        <f>IF(Import!AU45,"Yes","No")</f>
        <v>No</v>
      </c>
      <c r="AC55" t="str">
        <f>IF(2016-Import!AV45=D55,"",2016-Import!AV45)</f>
        <v/>
      </c>
      <c r="AD55" t="str">
        <f>IF(Import!AR45,"Yes","No")</f>
        <v>No</v>
      </c>
      <c r="AE55" t="str">
        <f>IF(Import!AS45,"Yes","No")</f>
        <v>No</v>
      </c>
      <c r="AH55" s="229">
        <f>Import!E45</f>
        <v>0</v>
      </c>
      <c r="AI55">
        <f>Import!F45</f>
        <v>0</v>
      </c>
      <c r="AJ55">
        <f>Import!K45</f>
        <v>0</v>
      </c>
      <c r="AK55">
        <f>Import!L45</f>
        <v>0</v>
      </c>
      <c r="AL55" s="240">
        <f>Import!P45</f>
        <v>0</v>
      </c>
      <c r="AM55" s="240">
        <f>Import!Q45</f>
        <v>0</v>
      </c>
      <c r="AN55">
        <f>Import!S45</f>
        <v>0</v>
      </c>
      <c r="AO55">
        <f>Import!Z45</f>
        <v>0</v>
      </c>
      <c r="AP55">
        <f>Import!AA45</f>
        <v>0</v>
      </c>
      <c r="AQ55">
        <f>Import!AB45</f>
        <v>0</v>
      </c>
      <c r="AR55">
        <f>Import!AI45</f>
        <v>0</v>
      </c>
      <c r="AS55">
        <f>Import!AJ45</f>
        <v>0</v>
      </c>
      <c r="AT55">
        <f>Import!AL45</f>
        <v>0</v>
      </c>
      <c r="AU55">
        <f>Import!AN45</f>
        <v>0</v>
      </c>
      <c r="AV55">
        <f>Import!AT45</f>
        <v>0</v>
      </c>
    </row>
    <row r="56" spans="1:48" x14ac:dyDescent="0.2">
      <c r="A56">
        <f>Import!A46</f>
        <v>0</v>
      </c>
      <c r="B56">
        <f>Import!B46</f>
        <v>0</v>
      </c>
      <c r="C56">
        <f>Import!C46</f>
        <v>0</v>
      </c>
      <c r="D56">
        <f>2016-Import!D46</f>
        <v>2016</v>
      </c>
      <c r="E56">
        <f>Import!G46</f>
        <v>0</v>
      </c>
      <c r="F56">
        <f>Import!H46</f>
        <v>0</v>
      </c>
      <c r="G56">
        <f>Import!I46</f>
        <v>0</v>
      </c>
      <c r="H56">
        <f>Import!J46</f>
        <v>0</v>
      </c>
      <c r="I56" t="str">
        <f>IFERROR(VLOOKUP(Import!M46,CleanParam!$B$4:$C$11,2,0),"")</f>
        <v/>
      </c>
      <c r="J56">
        <f>Import!N46+Import!AM46+Import!AQ46</f>
        <v>0</v>
      </c>
      <c r="K56">
        <f>Import!O46</f>
        <v>0</v>
      </c>
      <c r="L56">
        <f>Import!R46</f>
        <v>0</v>
      </c>
      <c r="M56" t="str">
        <f>IF(Import!T46=0,"No","Yes")</f>
        <v>No</v>
      </c>
      <c r="N56">
        <f>Import!U46</f>
        <v>0</v>
      </c>
      <c r="O56">
        <f>Import!V46</f>
        <v>0</v>
      </c>
      <c r="P56" t="str">
        <f>IF(Import!W46="True","Yes","No")</f>
        <v>No</v>
      </c>
      <c r="Q56">
        <f>Import!X46</f>
        <v>0</v>
      </c>
      <c r="R56" t="e">
        <f>VLOOKUP(Import!Y46,CleanParam!$E$4:$F$103,2,0)</f>
        <v>#N/A</v>
      </c>
      <c r="S56" t="str">
        <f>IF(Import!AC46&gt;0,"Yes","No")</f>
        <v>No</v>
      </c>
      <c r="T56">
        <f>Import!AD46</f>
        <v>0</v>
      </c>
      <c r="U56">
        <f>Import!AE46</f>
        <v>0</v>
      </c>
      <c r="V56">
        <f>Import!AF46</f>
        <v>0</v>
      </c>
      <c r="W56" t="str">
        <f>INDEX(CleanParam!$P$4:$P$7,MATCH(Import!AG46,CleanParam!$O$4:$O$7,-1),0)</f>
        <v>0-25%</v>
      </c>
      <c r="X56">
        <f>Import!AH46</f>
        <v>0</v>
      </c>
      <c r="Y56">
        <f>Import!AK46</f>
        <v>0</v>
      </c>
      <c r="Z56" t="e">
        <f>VLOOKUP(Import!AO46,CleanParam!$H$4:$I$9,2,0)</f>
        <v>#N/A</v>
      </c>
      <c r="AA56" t="e">
        <f>VLOOKUP(Import!AP46,CleanParam!$K$3:$L$53,2,0)</f>
        <v>#N/A</v>
      </c>
      <c r="AB56" t="str">
        <f>IF(Import!AU46,"Yes","No")</f>
        <v>No</v>
      </c>
      <c r="AC56" t="str">
        <f>IF(2016-Import!AV46=D56,"",2016-Import!AV46)</f>
        <v/>
      </c>
      <c r="AD56" t="str">
        <f>IF(Import!AR46,"Yes","No")</f>
        <v>No</v>
      </c>
      <c r="AE56" t="str">
        <f>IF(Import!AS46,"Yes","No")</f>
        <v>No</v>
      </c>
      <c r="AH56" s="229">
        <f>Import!E46</f>
        <v>0</v>
      </c>
      <c r="AI56">
        <f>Import!F46</f>
        <v>0</v>
      </c>
      <c r="AJ56">
        <f>Import!K46</f>
        <v>0</v>
      </c>
      <c r="AK56">
        <f>Import!L46</f>
        <v>0</v>
      </c>
      <c r="AL56" s="240">
        <f>Import!P46</f>
        <v>0</v>
      </c>
      <c r="AM56" s="240">
        <f>Import!Q46</f>
        <v>0</v>
      </c>
      <c r="AN56">
        <f>Import!S46</f>
        <v>0</v>
      </c>
      <c r="AO56">
        <f>Import!Z46</f>
        <v>0</v>
      </c>
      <c r="AP56">
        <f>Import!AA46</f>
        <v>0</v>
      </c>
      <c r="AQ56">
        <f>Import!AB46</f>
        <v>0</v>
      </c>
      <c r="AR56">
        <f>Import!AI46</f>
        <v>0</v>
      </c>
      <c r="AS56">
        <f>Import!AJ46</f>
        <v>0</v>
      </c>
      <c r="AT56">
        <f>Import!AL46</f>
        <v>0</v>
      </c>
      <c r="AU56">
        <f>Import!AN46</f>
        <v>0</v>
      </c>
      <c r="AV56">
        <f>Import!AT46</f>
        <v>0</v>
      </c>
    </row>
    <row r="57" spans="1:48" x14ac:dyDescent="0.2">
      <c r="A57">
        <f>Import!A47</f>
        <v>0</v>
      </c>
      <c r="B57">
        <f>Import!B47</f>
        <v>0</v>
      </c>
      <c r="C57">
        <f>Import!C47</f>
        <v>0</v>
      </c>
      <c r="D57">
        <f>2016-Import!D47</f>
        <v>2016</v>
      </c>
      <c r="E57">
        <f>Import!G47</f>
        <v>0</v>
      </c>
      <c r="F57">
        <f>Import!H47</f>
        <v>0</v>
      </c>
      <c r="G57">
        <f>Import!I47</f>
        <v>0</v>
      </c>
      <c r="H57">
        <f>Import!J47</f>
        <v>0</v>
      </c>
      <c r="I57" t="str">
        <f>IFERROR(VLOOKUP(Import!M47,CleanParam!$B$4:$C$11,2,0),"")</f>
        <v/>
      </c>
      <c r="J57">
        <f>Import!N47+Import!AM47+Import!AQ47</f>
        <v>0</v>
      </c>
      <c r="K57">
        <f>Import!O47</f>
        <v>0</v>
      </c>
      <c r="L57">
        <f>Import!R47</f>
        <v>0</v>
      </c>
      <c r="M57" t="str">
        <f>IF(Import!T47=0,"No","Yes")</f>
        <v>No</v>
      </c>
      <c r="N57">
        <f>Import!U47</f>
        <v>0</v>
      </c>
      <c r="O57">
        <f>Import!V47</f>
        <v>0</v>
      </c>
      <c r="P57" t="str">
        <f>IF(Import!W47="True","Yes","No")</f>
        <v>No</v>
      </c>
      <c r="Q57">
        <f>Import!X47</f>
        <v>0</v>
      </c>
      <c r="R57" t="e">
        <f>VLOOKUP(Import!Y47,CleanParam!$E$4:$F$103,2,0)</f>
        <v>#N/A</v>
      </c>
      <c r="S57" t="str">
        <f>IF(Import!AC47&gt;0,"Yes","No")</f>
        <v>No</v>
      </c>
      <c r="T57">
        <f>Import!AD47</f>
        <v>0</v>
      </c>
      <c r="U57">
        <f>Import!AE47</f>
        <v>0</v>
      </c>
      <c r="V57">
        <f>Import!AF47</f>
        <v>0</v>
      </c>
      <c r="W57" t="str">
        <f>INDEX(CleanParam!$P$4:$P$7,MATCH(Import!AG47,CleanParam!$O$4:$O$7,-1),0)</f>
        <v>0-25%</v>
      </c>
      <c r="X57">
        <f>Import!AH47</f>
        <v>0</v>
      </c>
      <c r="Y57">
        <f>Import!AK47</f>
        <v>0</v>
      </c>
      <c r="Z57" t="e">
        <f>VLOOKUP(Import!AO47,CleanParam!$H$4:$I$9,2,0)</f>
        <v>#N/A</v>
      </c>
      <c r="AA57" t="e">
        <f>VLOOKUP(Import!AP47,CleanParam!$K$3:$L$53,2,0)</f>
        <v>#N/A</v>
      </c>
      <c r="AB57" t="str">
        <f>IF(Import!AU47,"Yes","No")</f>
        <v>No</v>
      </c>
      <c r="AC57" t="str">
        <f>IF(2016-Import!AV47=D57,"",2016-Import!AV47)</f>
        <v/>
      </c>
      <c r="AD57" t="str">
        <f>IF(Import!AR47,"Yes","No")</f>
        <v>No</v>
      </c>
      <c r="AE57" t="str">
        <f>IF(Import!AS47,"Yes","No")</f>
        <v>No</v>
      </c>
      <c r="AH57" s="229">
        <f>Import!E47</f>
        <v>0</v>
      </c>
      <c r="AI57">
        <f>Import!F47</f>
        <v>0</v>
      </c>
      <c r="AJ57">
        <f>Import!K47</f>
        <v>0</v>
      </c>
      <c r="AK57">
        <f>Import!L47</f>
        <v>0</v>
      </c>
      <c r="AL57" s="240">
        <f>Import!P47</f>
        <v>0</v>
      </c>
      <c r="AM57" s="240">
        <f>Import!Q47</f>
        <v>0</v>
      </c>
      <c r="AN57">
        <f>Import!S47</f>
        <v>0</v>
      </c>
      <c r="AO57">
        <f>Import!Z47</f>
        <v>0</v>
      </c>
      <c r="AP57">
        <f>Import!AA47</f>
        <v>0</v>
      </c>
      <c r="AQ57">
        <f>Import!AB47</f>
        <v>0</v>
      </c>
      <c r="AR57">
        <f>Import!AI47</f>
        <v>0</v>
      </c>
      <c r="AS57">
        <f>Import!AJ47</f>
        <v>0</v>
      </c>
      <c r="AT57">
        <f>Import!AL47</f>
        <v>0</v>
      </c>
      <c r="AU57">
        <f>Import!AN47</f>
        <v>0</v>
      </c>
      <c r="AV57">
        <f>Import!AT47</f>
        <v>0</v>
      </c>
    </row>
    <row r="58" spans="1:48" x14ac:dyDescent="0.2">
      <c r="A58">
        <f>Import!A48</f>
        <v>0</v>
      </c>
      <c r="B58">
        <f>Import!B48</f>
        <v>0</v>
      </c>
      <c r="C58">
        <f>Import!C48</f>
        <v>0</v>
      </c>
      <c r="D58">
        <f>2016-Import!D48</f>
        <v>2016</v>
      </c>
      <c r="E58">
        <f>Import!G48</f>
        <v>0</v>
      </c>
      <c r="F58">
        <f>Import!H48</f>
        <v>0</v>
      </c>
      <c r="G58">
        <f>Import!I48</f>
        <v>0</v>
      </c>
      <c r="H58">
        <f>Import!J48</f>
        <v>0</v>
      </c>
      <c r="I58" t="str">
        <f>IFERROR(VLOOKUP(Import!M48,CleanParam!$B$4:$C$11,2,0),"")</f>
        <v/>
      </c>
      <c r="J58">
        <f>Import!N48+Import!AM48+Import!AQ48</f>
        <v>0</v>
      </c>
      <c r="K58">
        <f>Import!O48</f>
        <v>0</v>
      </c>
      <c r="L58">
        <f>Import!R48</f>
        <v>0</v>
      </c>
      <c r="M58" t="str">
        <f>IF(Import!T48=0,"No","Yes")</f>
        <v>No</v>
      </c>
      <c r="N58">
        <f>Import!U48</f>
        <v>0</v>
      </c>
      <c r="O58">
        <f>Import!V48</f>
        <v>0</v>
      </c>
      <c r="P58" t="str">
        <f>IF(Import!W48="True","Yes","No")</f>
        <v>No</v>
      </c>
      <c r="Q58">
        <f>Import!X48</f>
        <v>0</v>
      </c>
      <c r="R58" t="e">
        <f>VLOOKUP(Import!Y48,CleanParam!$E$4:$F$103,2,0)</f>
        <v>#N/A</v>
      </c>
      <c r="S58" t="str">
        <f>IF(Import!AC48&gt;0,"Yes","No")</f>
        <v>No</v>
      </c>
      <c r="T58">
        <f>Import!AD48</f>
        <v>0</v>
      </c>
      <c r="U58">
        <f>Import!AE48</f>
        <v>0</v>
      </c>
      <c r="V58">
        <f>Import!AF48</f>
        <v>0</v>
      </c>
      <c r="W58" t="str">
        <f>INDEX(CleanParam!$P$4:$P$7,MATCH(Import!AG48,CleanParam!$O$4:$O$7,-1),0)</f>
        <v>0-25%</v>
      </c>
      <c r="X58">
        <f>Import!AH48</f>
        <v>0</v>
      </c>
      <c r="Y58">
        <f>Import!AK48</f>
        <v>0</v>
      </c>
      <c r="Z58" t="e">
        <f>VLOOKUP(Import!AO48,CleanParam!$H$4:$I$9,2,0)</f>
        <v>#N/A</v>
      </c>
      <c r="AA58" t="e">
        <f>VLOOKUP(Import!AP48,CleanParam!$K$3:$L$53,2,0)</f>
        <v>#N/A</v>
      </c>
      <c r="AB58" t="str">
        <f>IF(Import!AU48,"Yes","No")</f>
        <v>No</v>
      </c>
      <c r="AC58" t="str">
        <f>IF(2016-Import!AV48=D58,"",2016-Import!AV48)</f>
        <v/>
      </c>
      <c r="AD58" t="str">
        <f>IF(Import!AR48,"Yes","No")</f>
        <v>No</v>
      </c>
      <c r="AE58" t="str">
        <f>IF(Import!AS48,"Yes","No")</f>
        <v>No</v>
      </c>
      <c r="AH58" s="229">
        <f>Import!E48</f>
        <v>0</v>
      </c>
      <c r="AI58">
        <f>Import!F48</f>
        <v>0</v>
      </c>
      <c r="AJ58">
        <f>Import!K48</f>
        <v>0</v>
      </c>
      <c r="AK58">
        <f>Import!L48</f>
        <v>0</v>
      </c>
      <c r="AL58" s="240">
        <f>Import!P48</f>
        <v>0</v>
      </c>
      <c r="AM58" s="240">
        <f>Import!Q48</f>
        <v>0</v>
      </c>
      <c r="AN58">
        <f>Import!S48</f>
        <v>0</v>
      </c>
      <c r="AO58">
        <f>Import!Z48</f>
        <v>0</v>
      </c>
      <c r="AP58">
        <f>Import!AA48</f>
        <v>0</v>
      </c>
      <c r="AQ58">
        <f>Import!AB48</f>
        <v>0</v>
      </c>
      <c r="AR58">
        <f>Import!AI48</f>
        <v>0</v>
      </c>
      <c r="AS58">
        <f>Import!AJ48</f>
        <v>0</v>
      </c>
      <c r="AT58">
        <f>Import!AL48</f>
        <v>0</v>
      </c>
      <c r="AU58">
        <f>Import!AN48</f>
        <v>0</v>
      </c>
      <c r="AV58">
        <f>Import!AT48</f>
        <v>0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auto_populate">
                <anchor moveWithCells="1" sizeWithCells="1">
                  <from>
                    <xdr:col>0</xdr:col>
                    <xdr:colOff>523875</xdr:colOff>
                    <xdr:row>4</xdr:row>
                    <xdr:rowOff>19050</xdr:rowOff>
                  </from>
                  <to>
                    <xdr:col>1</xdr:col>
                    <xdr:colOff>628650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3:P103"/>
  <sheetViews>
    <sheetView workbookViewId="0">
      <selection activeCell="B9" sqref="B9"/>
    </sheetView>
  </sheetViews>
  <sheetFormatPr defaultRowHeight="12.75" x14ac:dyDescent="0.2"/>
  <cols>
    <col min="2" max="2" width="29.140625" bestFit="1" customWidth="1"/>
    <col min="3" max="3" width="28.42578125" bestFit="1" customWidth="1"/>
    <col min="5" max="5" width="6.28515625" bestFit="1" customWidth="1"/>
    <col min="6" max="6" width="40.28515625" bestFit="1" customWidth="1"/>
    <col min="8" max="8" width="29.85546875" bestFit="1" customWidth="1"/>
    <col min="9" max="9" width="21.85546875" bestFit="1" customWidth="1"/>
    <col min="12" max="12" width="13.85546875" bestFit="1" customWidth="1"/>
  </cols>
  <sheetData>
    <row r="3" spans="2:16" x14ac:dyDescent="0.2">
      <c r="B3" s="224" t="s">
        <v>50</v>
      </c>
      <c r="C3" s="225"/>
      <c r="E3" s="224" t="s">
        <v>201</v>
      </c>
      <c r="F3" s="225" t="s">
        <v>179</v>
      </c>
      <c r="H3" s="224" t="s">
        <v>781</v>
      </c>
      <c r="I3" s="225"/>
      <c r="K3" s="224" t="s">
        <v>74</v>
      </c>
      <c r="L3" s="225"/>
    </row>
    <row r="4" spans="2:16" x14ac:dyDescent="0.2">
      <c r="B4" s="242" t="s">
        <v>763</v>
      </c>
      <c r="C4" s="243" t="s">
        <v>610</v>
      </c>
      <c r="E4" s="219" t="s">
        <v>408</v>
      </c>
      <c r="F4" s="221" t="s">
        <v>407</v>
      </c>
      <c r="H4" s="219" t="s">
        <v>770</v>
      </c>
      <c r="I4" s="220" t="s">
        <v>160</v>
      </c>
      <c r="K4" s="219" t="s">
        <v>782</v>
      </c>
      <c r="L4" s="221" t="s">
        <v>0</v>
      </c>
      <c r="O4">
        <v>101</v>
      </c>
      <c r="P4" s="216" t="s">
        <v>386</v>
      </c>
    </row>
    <row r="5" spans="2:16" x14ac:dyDescent="0.2">
      <c r="B5" s="219" t="s">
        <v>768</v>
      </c>
      <c r="C5" s="220" t="s">
        <v>611</v>
      </c>
      <c r="E5" s="219" t="s">
        <v>410</v>
      </c>
      <c r="F5" s="221" t="s">
        <v>409</v>
      </c>
      <c r="H5" s="219" t="s">
        <v>778</v>
      </c>
      <c r="I5" s="220" t="s">
        <v>173</v>
      </c>
      <c r="K5" s="219" t="s">
        <v>783</v>
      </c>
      <c r="L5" s="221" t="s">
        <v>830</v>
      </c>
      <c r="O5">
        <v>80</v>
      </c>
      <c r="P5" s="216" t="s">
        <v>387</v>
      </c>
    </row>
    <row r="6" spans="2:16" x14ac:dyDescent="0.2">
      <c r="B6" s="219" t="s">
        <v>773</v>
      </c>
      <c r="C6" s="220" t="s">
        <v>612</v>
      </c>
      <c r="E6" s="219" t="s">
        <v>412</v>
      </c>
      <c r="F6" s="221" t="s">
        <v>411</v>
      </c>
      <c r="H6" s="219" t="s">
        <v>771</v>
      </c>
      <c r="I6" s="220" t="s">
        <v>174</v>
      </c>
      <c r="K6" s="219" t="s">
        <v>784</v>
      </c>
      <c r="L6" s="221" t="s">
        <v>3</v>
      </c>
      <c r="O6">
        <v>50</v>
      </c>
      <c r="P6" s="216" t="s">
        <v>388</v>
      </c>
    </row>
    <row r="7" spans="2:16" x14ac:dyDescent="0.2">
      <c r="B7" s="219" t="s">
        <v>777</v>
      </c>
      <c r="C7" s="220" t="s">
        <v>613</v>
      </c>
      <c r="E7" s="219" t="s">
        <v>414</v>
      </c>
      <c r="F7" s="221" t="s">
        <v>413</v>
      </c>
      <c r="H7" s="219" t="s">
        <v>779</v>
      </c>
      <c r="I7" s="220" t="s">
        <v>175</v>
      </c>
      <c r="K7" s="219" t="s">
        <v>785</v>
      </c>
      <c r="L7" s="221" t="s">
        <v>6</v>
      </c>
      <c r="O7">
        <v>25</v>
      </c>
      <c r="P7" s="216" t="s">
        <v>389</v>
      </c>
    </row>
    <row r="8" spans="2:16" x14ac:dyDescent="0.2">
      <c r="B8" s="219" t="s">
        <v>769</v>
      </c>
      <c r="C8" s="220" t="s">
        <v>614</v>
      </c>
      <c r="E8" s="219" t="s">
        <v>416</v>
      </c>
      <c r="F8" s="221" t="s">
        <v>415</v>
      </c>
      <c r="H8" s="219" t="s">
        <v>766</v>
      </c>
      <c r="I8" s="220" t="s">
        <v>176</v>
      </c>
      <c r="K8" s="219" t="s">
        <v>786</v>
      </c>
      <c r="L8" s="221" t="s">
        <v>9</v>
      </c>
    </row>
    <row r="9" spans="2:16" x14ac:dyDescent="0.2">
      <c r="B9" s="219" t="s">
        <v>772</v>
      </c>
      <c r="C9" s="220" t="s">
        <v>615</v>
      </c>
      <c r="E9" s="219" t="s">
        <v>635</v>
      </c>
      <c r="F9" s="221" t="s">
        <v>620</v>
      </c>
      <c r="H9" s="222" t="s">
        <v>780</v>
      </c>
      <c r="I9" s="223" t="s">
        <v>633</v>
      </c>
      <c r="K9" s="219" t="s">
        <v>787</v>
      </c>
      <c r="L9" s="221" t="s">
        <v>12</v>
      </c>
      <c r="N9">
        <v>0</v>
      </c>
      <c r="O9">
        <f>MATCH(N9,$O$4:$O$7,-1)</f>
        <v>4</v>
      </c>
    </row>
    <row r="10" spans="2:16" x14ac:dyDescent="0.2">
      <c r="B10" s="219" t="s">
        <v>774</v>
      </c>
      <c r="C10" s="220" t="s">
        <v>616</v>
      </c>
      <c r="E10" s="219" t="s">
        <v>418</v>
      </c>
      <c r="F10" s="221" t="s">
        <v>417</v>
      </c>
      <c r="K10" s="219" t="s">
        <v>788</v>
      </c>
      <c r="L10" s="221" t="s">
        <v>15</v>
      </c>
      <c r="N10">
        <f>N9+5</f>
        <v>5</v>
      </c>
      <c r="O10">
        <f>MATCH(N10,$O$4:$O$7,-1)</f>
        <v>4</v>
      </c>
    </row>
    <row r="11" spans="2:16" x14ac:dyDescent="0.2">
      <c r="B11" s="219" t="s">
        <v>776</v>
      </c>
      <c r="C11" s="220" t="s">
        <v>618</v>
      </c>
      <c r="E11" s="219" t="s">
        <v>420</v>
      </c>
      <c r="F11" s="221" t="s">
        <v>419</v>
      </c>
      <c r="K11" s="219" t="s">
        <v>789</v>
      </c>
      <c r="L11" s="221" t="s">
        <v>21</v>
      </c>
      <c r="N11">
        <f t="shared" ref="N11:N26" si="0">N10+5</f>
        <v>10</v>
      </c>
      <c r="O11">
        <f t="shared" ref="O11:O29" si="1">MATCH(N11,$O$4:$O$7,-1)</f>
        <v>4</v>
      </c>
    </row>
    <row r="12" spans="2:16" x14ac:dyDescent="0.2">
      <c r="B12" s="219"/>
      <c r="C12" s="221"/>
      <c r="E12" s="219" t="s">
        <v>422</v>
      </c>
      <c r="F12" s="221" t="s">
        <v>421</v>
      </c>
      <c r="K12" s="219" t="s">
        <v>790</v>
      </c>
      <c r="L12" s="221" t="s">
        <v>23</v>
      </c>
      <c r="N12">
        <f t="shared" si="0"/>
        <v>15</v>
      </c>
      <c r="O12">
        <f t="shared" si="1"/>
        <v>4</v>
      </c>
    </row>
    <row r="13" spans="2:16" x14ac:dyDescent="0.2">
      <c r="B13" s="222"/>
      <c r="C13" s="223" t="s">
        <v>617</v>
      </c>
      <c r="E13" s="219" t="s">
        <v>424</v>
      </c>
      <c r="F13" s="221" t="s">
        <v>423</v>
      </c>
      <c r="K13" s="219" t="s">
        <v>791</v>
      </c>
      <c r="L13" s="221" t="s">
        <v>26</v>
      </c>
      <c r="N13">
        <f t="shared" si="0"/>
        <v>20</v>
      </c>
      <c r="O13">
        <f t="shared" si="1"/>
        <v>4</v>
      </c>
    </row>
    <row r="14" spans="2:16" x14ac:dyDescent="0.2">
      <c r="E14" s="219" t="s">
        <v>426</v>
      </c>
      <c r="F14" s="221" t="s">
        <v>425</v>
      </c>
      <c r="K14" s="219" t="s">
        <v>792</v>
      </c>
      <c r="L14" s="221" t="s">
        <v>29</v>
      </c>
      <c r="N14">
        <f t="shared" si="0"/>
        <v>25</v>
      </c>
      <c r="O14">
        <f t="shared" si="1"/>
        <v>4</v>
      </c>
    </row>
    <row r="15" spans="2:16" x14ac:dyDescent="0.2">
      <c r="E15" s="219" t="s">
        <v>428</v>
      </c>
      <c r="F15" s="221" t="s">
        <v>427</v>
      </c>
      <c r="K15" s="219" t="s">
        <v>793</v>
      </c>
      <c r="L15" s="221" t="s">
        <v>31</v>
      </c>
      <c r="N15">
        <f t="shared" si="0"/>
        <v>30</v>
      </c>
      <c r="O15">
        <f t="shared" si="1"/>
        <v>3</v>
      </c>
    </row>
    <row r="16" spans="2:16" x14ac:dyDescent="0.2">
      <c r="E16" s="219" t="s">
        <v>431</v>
      </c>
      <c r="F16" s="221" t="s">
        <v>430</v>
      </c>
      <c r="K16" s="219" t="s">
        <v>794</v>
      </c>
      <c r="L16" s="221" t="s">
        <v>34</v>
      </c>
      <c r="N16">
        <f t="shared" si="0"/>
        <v>35</v>
      </c>
      <c r="O16">
        <f t="shared" si="1"/>
        <v>3</v>
      </c>
    </row>
    <row r="17" spans="5:15" x14ac:dyDescent="0.2">
      <c r="E17" s="219" t="s">
        <v>432</v>
      </c>
      <c r="F17" s="221" t="s">
        <v>148</v>
      </c>
      <c r="K17" s="219" t="s">
        <v>795</v>
      </c>
      <c r="L17" s="221" t="s">
        <v>37</v>
      </c>
      <c r="N17">
        <f t="shared" si="0"/>
        <v>40</v>
      </c>
      <c r="O17">
        <f t="shared" si="1"/>
        <v>3</v>
      </c>
    </row>
    <row r="18" spans="5:15" x14ac:dyDescent="0.2">
      <c r="E18" s="219" t="s">
        <v>433</v>
      </c>
      <c r="F18" s="221" t="s">
        <v>140</v>
      </c>
      <c r="K18" s="219" t="s">
        <v>796</v>
      </c>
      <c r="L18" s="221" t="s">
        <v>39</v>
      </c>
      <c r="N18">
        <f t="shared" si="0"/>
        <v>45</v>
      </c>
      <c r="O18">
        <f t="shared" si="1"/>
        <v>3</v>
      </c>
    </row>
    <row r="19" spans="5:15" x14ac:dyDescent="0.2">
      <c r="E19" s="219" t="s">
        <v>434</v>
      </c>
      <c r="F19" s="221" t="s">
        <v>139</v>
      </c>
      <c r="K19" s="219" t="s">
        <v>797</v>
      </c>
      <c r="L19" s="221" t="s">
        <v>41</v>
      </c>
      <c r="N19">
        <f t="shared" si="0"/>
        <v>50</v>
      </c>
      <c r="O19">
        <f t="shared" si="1"/>
        <v>3</v>
      </c>
    </row>
    <row r="20" spans="5:15" x14ac:dyDescent="0.2">
      <c r="E20" s="219" t="s">
        <v>435</v>
      </c>
      <c r="F20" s="221" t="s">
        <v>136</v>
      </c>
      <c r="K20" s="219" t="s">
        <v>798</v>
      </c>
      <c r="L20" s="221" t="s">
        <v>43</v>
      </c>
      <c r="N20">
        <f t="shared" si="0"/>
        <v>55</v>
      </c>
      <c r="O20">
        <f t="shared" si="1"/>
        <v>2</v>
      </c>
    </row>
    <row r="21" spans="5:15" x14ac:dyDescent="0.2">
      <c r="E21" s="219" t="s">
        <v>436</v>
      </c>
      <c r="F21" s="221" t="s">
        <v>126</v>
      </c>
      <c r="K21" s="219" t="s">
        <v>767</v>
      </c>
      <c r="L21" s="221" t="s">
        <v>45</v>
      </c>
      <c r="N21">
        <f t="shared" si="0"/>
        <v>60</v>
      </c>
      <c r="O21">
        <f t="shared" si="1"/>
        <v>2</v>
      </c>
    </row>
    <row r="22" spans="5:15" x14ac:dyDescent="0.2">
      <c r="E22" s="219" t="s">
        <v>437</v>
      </c>
      <c r="F22" s="221" t="s">
        <v>110</v>
      </c>
      <c r="K22" s="219" t="s">
        <v>799</v>
      </c>
      <c r="L22" s="221" t="s">
        <v>1</v>
      </c>
      <c r="N22">
        <f t="shared" si="0"/>
        <v>65</v>
      </c>
      <c r="O22">
        <f t="shared" si="1"/>
        <v>2</v>
      </c>
    </row>
    <row r="23" spans="5:15" x14ac:dyDescent="0.2">
      <c r="E23" s="219" t="s">
        <v>438</v>
      </c>
      <c r="F23" s="221" t="s">
        <v>108</v>
      </c>
      <c r="K23" s="219" t="s">
        <v>800</v>
      </c>
      <c r="L23" s="221" t="s">
        <v>4</v>
      </c>
      <c r="N23">
        <f t="shared" si="0"/>
        <v>70</v>
      </c>
      <c r="O23">
        <f t="shared" si="1"/>
        <v>2</v>
      </c>
    </row>
    <row r="24" spans="5:15" x14ac:dyDescent="0.2">
      <c r="E24" s="219" t="s">
        <v>439</v>
      </c>
      <c r="F24" s="221" t="s">
        <v>107</v>
      </c>
      <c r="K24" s="219" t="s">
        <v>801</v>
      </c>
      <c r="L24" s="221" t="s">
        <v>7</v>
      </c>
      <c r="N24">
        <f t="shared" si="0"/>
        <v>75</v>
      </c>
      <c r="O24">
        <f t="shared" si="1"/>
        <v>2</v>
      </c>
    </row>
    <row r="25" spans="5:15" x14ac:dyDescent="0.2">
      <c r="E25" s="219" t="s">
        <v>440</v>
      </c>
      <c r="F25" s="221" t="s">
        <v>106</v>
      </c>
      <c r="K25" s="219" t="s">
        <v>802</v>
      </c>
      <c r="L25" s="221" t="s">
        <v>10</v>
      </c>
      <c r="N25">
        <f t="shared" si="0"/>
        <v>80</v>
      </c>
      <c r="O25">
        <f t="shared" si="1"/>
        <v>2</v>
      </c>
    </row>
    <row r="26" spans="5:15" x14ac:dyDescent="0.2">
      <c r="E26" s="219" t="s">
        <v>443</v>
      </c>
      <c r="F26" s="221" t="s">
        <v>442</v>
      </c>
      <c r="K26" s="219" t="s">
        <v>803</v>
      </c>
      <c r="L26" s="221" t="s">
        <v>13</v>
      </c>
      <c r="N26">
        <f t="shared" si="0"/>
        <v>85</v>
      </c>
      <c r="O26">
        <f t="shared" si="1"/>
        <v>1</v>
      </c>
    </row>
    <row r="27" spans="5:15" x14ac:dyDescent="0.2">
      <c r="E27" s="219" t="s">
        <v>444</v>
      </c>
      <c r="F27" s="221" t="s">
        <v>143</v>
      </c>
      <c r="K27" s="219" t="s">
        <v>775</v>
      </c>
      <c r="L27" s="221" t="s">
        <v>16</v>
      </c>
      <c r="N27">
        <f>N26+5</f>
        <v>90</v>
      </c>
      <c r="O27">
        <f t="shared" si="1"/>
        <v>1</v>
      </c>
    </row>
    <row r="28" spans="5:15" x14ac:dyDescent="0.2">
      <c r="E28" s="219" t="s">
        <v>445</v>
      </c>
      <c r="F28" s="221" t="s">
        <v>141</v>
      </c>
      <c r="K28" s="219" t="s">
        <v>804</v>
      </c>
      <c r="L28" s="221" t="s">
        <v>19</v>
      </c>
      <c r="N28">
        <f>N27+5</f>
        <v>95</v>
      </c>
      <c r="O28">
        <f t="shared" si="1"/>
        <v>1</v>
      </c>
    </row>
    <row r="29" spans="5:15" x14ac:dyDescent="0.2">
      <c r="E29" s="219" t="s">
        <v>446</v>
      </c>
      <c r="F29" s="221" t="s">
        <v>112</v>
      </c>
      <c r="K29" s="219" t="s">
        <v>805</v>
      </c>
      <c r="L29" s="221" t="s">
        <v>22</v>
      </c>
      <c r="N29">
        <f>N28+5</f>
        <v>100</v>
      </c>
      <c r="O29">
        <f t="shared" si="1"/>
        <v>1</v>
      </c>
    </row>
    <row r="30" spans="5:15" x14ac:dyDescent="0.2">
      <c r="E30" s="219" t="s">
        <v>449</v>
      </c>
      <c r="F30" s="221" t="s">
        <v>448</v>
      </c>
      <c r="K30" s="219" t="s">
        <v>806</v>
      </c>
      <c r="L30" s="221" t="s">
        <v>24</v>
      </c>
    </row>
    <row r="31" spans="5:15" x14ac:dyDescent="0.2">
      <c r="E31" s="219" t="s">
        <v>451</v>
      </c>
      <c r="F31" s="221" t="s">
        <v>450</v>
      </c>
      <c r="K31" s="219" t="s">
        <v>807</v>
      </c>
      <c r="L31" s="221" t="s">
        <v>27</v>
      </c>
    </row>
    <row r="32" spans="5:15" x14ac:dyDescent="0.2">
      <c r="E32" s="219" t="s">
        <v>453</v>
      </c>
      <c r="F32" s="221" t="s">
        <v>452</v>
      </c>
      <c r="K32" s="219" t="s">
        <v>808</v>
      </c>
      <c r="L32" s="221" t="s">
        <v>30</v>
      </c>
    </row>
    <row r="33" spans="5:12" x14ac:dyDescent="0.2">
      <c r="E33" s="219" t="s">
        <v>454</v>
      </c>
      <c r="F33" s="221" t="s">
        <v>157</v>
      </c>
      <c r="K33" s="219" t="s">
        <v>809</v>
      </c>
      <c r="L33" s="221" t="s">
        <v>32</v>
      </c>
    </row>
    <row r="34" spans="5:12" x14ac:dyDescent="0.2">
      <c r="E34" s="219" t="s">
        <v>455</v>
      </c>
      <c r="F34" s="221" t="s">
        <v>142</v>
      </c>
      <c r="K34" s="219" t="s">
        <v>810</v>
      </c>
      <c r="L34" s="221" t="s">
        <v>35</v>
      </c>
    </row>
    <row r="35" spans="5:12" x14ac:dyDescent="0.2">
      <c r="E35" s="219" t="s">
        <v>456</v>
      </c>
      <c r="F35" s="221" t="s">
        <v>137</v>
      </c>
      <c r="K35" s="219" t="s">
        <v>811</v>
      </c>
      <c r="L35" s="221" t="s">
        <v>555</v>
      </c>
    </row>
    <row r="36" spans="5:12" x14ac:dyDescent="0.2">
      <c r="E36" s="219" t="s">
        <v>458</v>
      </c>
      <c r="F36" s="221" t="s">
        <v>457</v>
      </c>
      <c r="K36" s="219" t="s">
        <v>812</v>
      </c>
      <c r="L36" s="221" t="s">
        <v>42</v>
      </c>
    </row>
    <row r="37" spans="5:12" x14ac:dyDescent="0.2">
      <c r="E37" s="219" t="s">
        <v>459</v>
      </c>
      <c r="F37" s="221" t="s">
        <v>133</v>
      </c>
      <c r="K37" s="219" t="s">
        <v>813</v>
      </c>
      <c r="L37" s="221" t="s">
        <v>44</v>
      </c>
    </row>
    <row r="38" spans="5:12" x14ac:dyDescent="0.2">
      <c r="E38" s="219" t="s">
        <v>460</v>
      </c>
      <c r="F38" s="221" t="s">
        <v>130</v>
      </c>
      <c r="K38" s="219" t="s">
        <v>814</v>
      </c>
      <c r="L38" s="221" t="s">
        <v>46</v>
      </c>
    </row>
    <row r="39" spans="5:12" x14ac:dyDescent="0.2">
      <c r="E39" s="219" t="s">
        <v>461</v>
      </c>
      <c r="F39" s="221" t="s">
        <v>121</v>
      </c>
      <c r="K39" s="219" t="s">
        <v>815</v>
      </c>
      <c r="L39" s="221" t="s">
        <v>2</v>
      </c>
    </row>
    <row r="40" spans="5:12" x14ac:dyDescent="0.2">
      <c r="E40" s="219" t="s">
        <v>463</v>
      </c>
      <c r="F40" s="221" t="s">
        <v>462</v>
      </c>
      <c r="K40" s="219" t="s">
        <v>816</v>
      </c>
      <c r="L40" s="221" t="s">
        <v>5</v>
      </c>
    </row>
    <row r="41" spans="5:12" x14ac:dyDescent="0.2">
      <c r="E41" s="219" t="s">
        <v>465</v>
      </c>
      <c r="F41" s="221" t="s">
        <v>464</v>
      </c>
      <c r="K41" s="219" t="s">
        <v>817</v>
      </c>
      <c r="L41" s="221" t="s">
        <v>8</v>
      </c>
    </row>
    <row r="42" spans="5:12" x14ac:dyDescent="0.2">
      <c r="E42" s="219" t="s">
        <v>467</v>
      </c>
      <c r="F42" s="221" t="s">
        <v>466</v>
      </c>
      <c r="K42" s="219" t="s">
        <v>818</v>
      </c>
      <c r="L42" s="221" t="s">
        <v>11</v>
      </c>
    </row>
    <row r="43" spans="5:12" x14ac:dyDescent="0.2">
      <c r="E43" s="219" t="s">
        <v>470</v>
      </c>
      <c r="F43" s="221" t="s">
        <v>469</v>
      </c>
      <c r="K43" s="219" t="s">
        <v>819</v>
      </c>
      <c r="L43" s="221" t="s">
        <v>14</v>
      </c>
    </row>
    <row r="44" spans="5:12" x14ac:dyDescent="0.2">
      <c r="E44" s="219" t="s">
        <v>471</v>
      </c>
      <c r="F44" s="221" t="s">
        <v>66</v>
      </c>
      <c r="K44" s="219" t="s">
        <v>820</v>
      </c>
      <c r="L44" s="221" t="s">
        <v>17</v>
      </c>
    </row>
    <row r="45" spans="5:12" x14ac:dyDescent="0.2">
      <c r="E45" s="219" t="s">
        <v>472</v>
      </c>
      <c r="F45" s="221" t="s">
        <v>153</v>
      </c>
      <c r="K45" s="219" t="s">
        <v>821</v>
      </c>
      <c r="L45" s="221" t="s">
        <v>20</v>
      </c>
    </row>
    <row r="46" spans="5:12" x14ac:dyDescent="0.2">
      <c r="E46" s="219" t="s">
        <v>473</v>
      </c>
      <c r="F46" s="221" t="s">
        <v>150</v>
      </c>
      <c r="K46" s="219" t="s">
        <v>822</v>
      </c>
      <c r="L46" s="221" t="s">
        <v>556</v>
      </c>
    </row>
    <row r="47" spans="5:12" x14ac:dyDescent="0.2">
      <c r="E47" s="219" t="s">
        <v>474</v>
      </c>
      <c r="F47" s="221" t="s">
        <v>99</v>
      </c>
      <c r="K47" s="219" t="s">
        <v>823</v>
      </c>
      <c r="L47" s="221" t="s">
        <v>25</v>
      </c>
    </row>
    <row r="48" spans="5:12" x14ac:dyDescent="0.2">
      <c r="E48" s="219" t="s">
        <v>475</v>
      </c>
      <c r="F48" s="221" t="s">
        <v>123</v>
      </c>
      <c r="K48" s="219" t="s">
        <v>824</v>
      </c>
      <c r="L48" s="221" t="s">
        <v>28</v>
      </c>
    </row>
    <row r="49" spans="5:12" x14ac:dyDescent="0.2">
      <c r="E49" s="219" t="s">
        <v>477</v>
      </c>
      <c r="F49" s="221" t="s">
        <v>476</v>
      </c>
      <c r="K49" s="219" t="s">
        <v>825</v>
      </c>
      <c r="L49" s="221" t="s">
        <v>47</v>
      </c>
    </row>
    <row r="50" spans="5:12" x14ac:dyDescent="0.2">
      <c r="E50" s="219" t="s">
        <v>479</v>
      </c>
      <c r="F50" s="221" t="s">
        <v>478</v>
      </c>
      <c r="K50" s="219" t="s">
        <v>826</v>
      </c>
      <c r="L50" s="221" t="s">
        <v>33</v>
      </c>
    </row>
    <row r="51" spans="5:12" x14ac:dyDescent="0.2">
      <c r="E51" s="219" t="s">
        <v>481</v>
      </c>
      <c r="F51" s="221" t="s">
        <v>480</v>
      </c>
      <c r="K51" s="219" t="s">
        <v>827</v>
      </c>
      <c r="L51" s="221" t="s">
        <v>36</v>
      </c>
    </row>
    <row r="52" spans="5:12" x14ac:dyDescent="0.2">
      <c r="E52" s="219" t="s">
        <v>484</v>
      </c>
      <c r="F52" s="221" t="s">
        <v>483</v>
      </c>
      <c r="K52" s="219" t="s">
        <v>828</v>
      </c>
      <c r="L52" s="221" t="s">
        <v>38</v>
      </c>
    </row>
    <row r="53" spans="5:12" x14ac:dyDescent="0.2">
      <c r="E53" s="219" t="s">
        <v>485</v>
      </c>
      <c r="F53" s="221" t="s">
        <v>138</v>
      </c>
      <c r="K53" s="222" t="s">
        <v>829</v>
      </c>
      <c r="L53" s="226" t="s">
        <v>40</v>
      </c>
    </row>
    <row r="54" spans="5:12" x14ac:dyDescent="0.2">
      <c r="E54" s="219" t="s">
        <v>487</v>
      </c>
      <c r="F54" s="221" t="s">
        <v>486</v>
      </c>
    </row>
    <row r="55" spans="5:12" x14ac:dyDescent="0.2">
      <c r="E55" s="219" t="s">
        <v>489</v>
      </c>
      <c r="F55" s="221" t="s">
        <v>488</v>
      </c>
    </row>
    <row r="56" spans="5:12" x14ac:dyDescent="0.2">
      <c r="E56" s="219" t="s">
        <v>491</v>
      </c>
      <c r="F56" s="221" t="s">
        <v>490</v>
      </c>
    </row>
    <row r="57" spans="5:12" x14ac:dyDescent="0.2">
      <c r="E57" s="219" t="s">
        <v>493</v>
      </c>
      <c r="F57" s="221" t="s">
        <v>492</v>
      </c>
    </row>
    <row r="58" spans="5:12" x14ac:dyDescent="0.2">
      <c r="E58" s="219" t="s">
        <v>495</v>
      </c>
      <c r="F58" s="221" t="s">
        <v>494</v>
      </c>
    </row>
    <row r="59" spans="5:12" x14ac:dyDescent="0.2">
      <c r="E59" s="219" t="s">
        <v>498</v>
      </c>
      <c r="F59" s="221" t="s">
        <v>497</v>
      </c>
    </row>
    <row r="60" spans="5:12" x14ac:dyDescent="0.2">
      <c r="E60" s="219" t="s">
        <v>499</v>
      </c>
      <c r="F60" s="221" t="s">
        <v>152</v>
      </c>
    </row>
    <row r="61" spans="5:12" x14ac:dyDescent="0.2">
      <c r="E61" s="219" t="s">
        <v>500</v>
      </c>
      <c r="F61" s="221" t="s">
        <v>151</v>
      </c>
    </row>
    <row r="62" spans="5:12" x14ac:dyDescent="0.2">
      <c r="E62" s="219" t="s">
        <v>501</v>
      </c>
      <c r="F62" s="221" t="s">
        <v>134</v>
      </c>
    </row>
    <row r="63" spans="5:12" x14ac:dyDescent="0.2">
      <c r="E63" s="219" t="s">
        <v>502</v>
      </c>
      <c r="F63" s="221" t="s">
        <v>132</v>
      </c>
    </row>
    <row r="64" spans="5:12" x14ac:dyDescent="0.2">
      <c r="E64" s="219" t="s">
        <v>503</v>
      </c>
      <c r="F64" s="221" t="s">
        <v>131</v>
      </c>
    </row>
    <row r="65" spans="5:6" x14ac:dyDescent="0.2">
      <c r="E65" s="219" t="s">
        <v>504</v>
      </c>
      <c r="F65" s="221" t="s">
        <v>128</v>
      </c>
    </row>
    <row r="66" spans="5:6" x14ac:dyDescent="0.2">
      <c r="E66" s="219" t="s">
        <v>505</v>
      </c>
      <c r="F66" s="221" t="s">
        <v>122</v>
      </c>
    </row>
    <row r="67" spans="5:6" x14ac:dyDescent="0.2">
      <c r="E67" s="219" t="s">
        <v>507</v>
      </c>
      <c r="F67" s="221" t="s">
        <v>506</v>
      </c>
    </row>
    <row r="68" spans="5:6" x14ac:dyDescent="0.2">
      <c r="E68" s="219" t="s">
        <v>508</v>
      </c>
      <c r="F68" s="221" t="s">
        <v>119</v>
      </c>
    </row>
    <row r="69" spans="5:6" x14ac:dyDescent="0.2">
      <c r="E69" s="219" t="s">
        <v>509</v>
      </c>
      <c r="F69" s="221" t="s">
        <v>115</v>
      </c>
    </row>
    <row r="70" spans="5:6" x14ac:dyDescent="0.2">
      <c r="E70" s="219" t="s">
        <v>510</v>
      </c>
      <c r="F70" s="221" t="s">
        <v>111</v>
      </c>
    </row>
    <row r="71" spans="5:6" x14ac:dyDescent="0.2">
      <c r="E71" s="219" t="s">
        <v>511</v>
      </c>
      <c r="F71" s="221" t="s">
        <v>104</v>
      </c>
    </row>
    <row r="72" spans="5:6" x14ac:dyDescent="0.2">
      <c r="E72" s="219" t="s">
        <v>512</v>
      </c>
      <c r="F72" s="221" t="s">
        <v>103</v>
      </c>
    </row>
    <row r="73" spans="5:6" x14ac:dyDescent="0.2">
      <c r="E73" s="219" t="s">
        <v>513</v>
      </c>
      <c r="F73" s="221" t="s">
        <v>101</v>
      </c>
    </row>
    <row r="74" spans="5:6" x14ac:dyDescent="0.2">
      <c r="E74" s="219" t="s">
        <v>516</v>
      </c>
      <c r="F74" s="221" t="s">
        <v>515</v>
      </c>
    </row>
    <row r="75" spans="5:6" x14ac:dyDescent="0.2">
      <c r="E75" s="219" t="s">
        <v>518</v>
      </c>
      <c r="F75" s="221" t="s">
        <v>517</v>
      </c>
    </row>
    <row r="76" spans="5:6" x14ac:dyDescent="0.2">
      <c r="E76" s="219" t="s">
        <v>519</v>
      </c>
      <c r="F76" s="221" t="s">
        <v>144</v>
      </c>
    </row>
    <row r="77" spans="5:6" x14ac:dyDescent="0.2">
      <c r="E77" s="219" t="s">
        <v>521</v>
      </c>
      <c r="F77" s="221" t="s">
        <v>520</v>
      </c>
    </row>
    <row r="78" spans="5:6" x14ac:dyDescent="0.2">
      <c r="E78" s="219" t="s">
        <v>522</v>
      </c>
      <c r="F78" s="221" t="s">
        <v>127</v>
      </c>
    </row>
    <row r="79" spans="5:6" x14ac:dyDescent="0.2">
      <c r="E79" s="219" t="s">
        <v>523</v>
      </c>
      <c r="F79" s="221" t="s">
        <v>125</v>
      </c>
    </row>
    <row r="80" spans="5:6" x14ac:dyDescent="0.2">
      <c r="E80" s="219" t="s">
        <v>524</v>
      </c>
      <c r="F80" s="221" t="s">
        <v>118</v>
      </c>
    </row>
    <row r="81" spans="5:6" x14ac:dyDescent="0.2">
      <c r="E81" s="219" t="s">
        <v>525</v>
      </c>
      <c r="F81" s="221" t="s">
        <v>102</v>
      </c>
    </row>
    <row r="82" spans="5:6" x14ac:dyDescent="0.2">
      <c r="E82" s="219" t="s">
        <v>526</v>
      </c>
      <c r="F82" s="221" t="s">
        <v>100</v>
      </c>
    </row>
    <row r="83" spans="5:6" x14ac:dyDescent="0.2">
      <c r="E83" s="219" t="s">
        <v>527</v>
      </c>
      <c r="F83" s="221" t="s">
        <v>120</v>
      </c>
    </row>
    <row r="84" spans="5:6" x14ac:dyDescent="0.2">
      <c r="E84" s="219" t="s">
        <v>530</v>
      </c>
      <c r="F84" s="221" t="s">
        <v>529</v>
      </c>
    </row>
    <row r="85" spans="5:6" x14ac:dyDescent="0.2">
      <c r="E85" s="219" t="s">
        <v>531</v>
      </c>
      <c r="F85" s="221" t="s">
        <v>147</v>
      </c>
    </row>
    <row r="86" spans="5:6" x14ac:dyDescent="0.2">
      <c r="E86" s="219" t="s">
        <v>532</v>
      </c>
      <c r="F86" s="221" t="s">
        <v>146</v>
      </c>
    </row>
    <row r="87" spans="5:6" x14ac:dyDescent="0.2">
      <c r="E87" s="219" t="s">
        <v>533</v>
      </c>
      <c r="F87" s="221" t="s">
        <v>116</v>
      </c>
    </row>
    <row r="88" spans="5:6" x14ac:dyDescent="0.2">
      <c r="E88" s="219" t="s">
        <v>535</v>
      </c>
      <c r="F88" s="221" t="s">
        <v>534</v>
      </c>
    </row>
    <row r="89" spans="5:6" x14ac:dyDescent="0.2">
      <c r="E89" s="219" t="s">
        <v>538</v>
      </c>
      <c r="F89" s="221" t="s">
        <v>537</v>
      </c>
    </row>
    <row r="90" spans="5:6" x14ac:dyDescent="0.2">
      <c r="E90" s="219" t="s">
        <v>539</v>
      </c>
      <c r="F90" s="221" t="s">
        <v>154</v>
      </c>
    </row>
    <row r="91" spans="5:6" x14ac:dyDescent="0.2">
      <c r="E91" s="219" t="s">
        <v>540</v>
      </c>
      <c r="F91" s="221" t="s">
        <v>109</v>
      </c>
    </row>
    <row r="92" spans="5:6" x14ac:dyDescent="0.2">
      <c r="E92" s="219" t="s">
        <v>541</v>
      </c>
      <c r="F92" s="221" t="s">
        <v>105</v>
      </c>
    </row>
    <row r="93" spans="5:6" x14ac:dyDescent="0.2">
      <c r="E93" s="219" t="s">
        <v>544</v>
      </c>
      <c r="F93" s="221" t="s">
        <v>543</v>
      </c>
    </row>
    <row r="94" spans="5:6" x14ac:dyDescent="0.2">
      <c r="E94" s="219" t="s">
        <v>545</v>
      </c>
      <c r="F94" s="221" t="s">
        <v>156</v>
      </c>
    </row>
    <row r="95" spans="5:6" x14ac:dyDescent="0.2">
      <c r="E95" s="219" t="s">
        <v>546</v>
      </c>
      <c r="F95" s="221" t="s">
        <v>155</v>
      </c>
    </row>
    <row r="96" spans="5:6" x14ac:dyDescent="0.2">
      <c r="E96" s="219" t="s">
        <v>547</v>
      </c>
      <c r="F96" s="221" t="s">
        <v>149</v>
      </c>
    </row>
    <row r="97" spans="5:6" x14ac:dyDescent="0.2">
      <c r="E97" s="219" t="s">
        <v>548</v>
      </c>
      <c r="F97" s="221" t="s">
        <v>145</v>
      </c>
    </row>
    <row r="98" spans="5:6" x14ac:dyDescent="0.2">
      <c r="E98" s="219" t="s">
        <v>549</v>
      </c>
      <c r="F98" s="221" t="s">
        <v>135</v>
      </c>
    </row>
    <row r="99" spans="5:6" x14ac:dyDescent="0.2">
      <c r="E99" s="219" t="s">
        <v>550</v>
      </c>
      <c r="F99" s="221" t="s">
        <v>129</v>
      </c>
    </row>
    <row r="100" spans="5:6" x14ac:dyDescent="0.2">
      <c r="E100" s="219" t="s">
        <v>551</v>
      </c>
      <c r="F100" s="221" t="s">
        <v>124</v>
      </c>
    </row>
    <row r="101" spans="5:6" x14ac:dyDescent="0.2">
      <c r="E101" s="219" t="s">
        <v>552</v>
      </c>
      <c r="F101" s="221" t="s">
        <v>117</v>
      </c>
    </row>
    <row r="102" spans="5:6" x14ac:dyDescent="0.2">
      <c r="E102" s="219" t="s">
        <v>553</v>
      </c>
      <c r="F102" s="221" t="s">
        <v>114</v>
      </c>
    </row>
    <row r="103" spans="5:6" x14ac:dyDescent="0.2">
      <c r="E103" s="222" t="s">
        <v>554</v>
      </c>
      <c r="F103" s="226" t="s">
        <v>113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DP122"/>
  <sheetViews>
    <sheetView topLeftCell="CM1" zoomScaleNormal="100" workbookViewId="0">
      <selection activeCell="O42" sqref="O42"/>
    </sheetView>
  </sheetViews>
  <sheetFormatPr defaultColWidth="12.7109375" defaultRowHeight="12.75" x14ac:dyDescent="0.2"/>
  <cols>
    <col min="1" max="1" width="30.7109375" style="1" bestFit="1" customWidth="1"/>
    <col min="2" max="2" width="37.5703125" style="1" bestFit="1" customWidth="1"/>
    <col min="3" max="4" width="30.7109375" style="1" customWidth="1"/>
    <col min="5" max="5" width="15.140625" style="1" bestFit="1" customWidth="1"/>
    <col min="6" max="6" width="12.7109375" style="1"/>
    <col min="7" max="7" width="15.85546875" style="1" bestFit="1" customWidth="1"/>
    <col min="8" max="10" width="12.7109375" style="1"/>
    <col min="11" max="11" width="28.42578125" style="1" bestFit="1" customWidth="1"/>
    <col min="12" max="36" width="12.7109375" style="1"/>
    <col min="37" max="37" width="26" style="1" bestFit="1" customWidth="1"/>
    <col min="38" max="56" width="12.7109375" style="1"/>
    <col min="57" max="57" width="28.42578125" style="1" bestFit="1" customWidth="1"/>
    <col min="58" max="84" width="12.7109375" style="1"/>
    <col min="85" max="85" width="37.5703125" style="1" bestFit="1" customWidth="1"/>
    <col min="86" max="86" width="12.7109375" style="1" customWidth="1"/>
    <col min="87" max="88" width="12.7109375" style="1"/>
    <col min="89" max="89" width="40.140625" style="1" bestFit="1" customWidth="1"/>
    <col min="90" max="90" width="13.85546875" style="1" bestFit="1" customWidth="1"/>
    <col min="91" max="95" width="12.7109375" style="1"/>
    <col min="96" max="96" width="27.140625" style="1" bestFit="1" customWidth="1"/>
    <col min="97" max="101" width="12.7109375" style="1"/>
    <col min="102" max="102" width="23.42578125" style="1" bestFit="1" customWidth="1"/>
    <col min="103" max="107" width="12.7109375" style="1"/>
    <col min="108" max="108" width="29.42578125" style="1" customWidth="1"/>
    <col min="109" max="113" width="12.7109375" style="1"/>
    <col min="114" max="114" width="15" style="1" bestFit="1" customWidth="1"/>
    <col min="115" max="115" width="15" customWidth="1"/>
    <col min="116" max="117" width="14.28515625" style="1" customWidth="1"/>
    <col min="118" max="118" width="12.7109375" style="1"/>
    <col min="119" max="119" width="37.5703125" style="1" bestFit="1" customWidth="1"/>
    <col min="120" max="16384" width="12.7109375" style="1"/>
  </cols>
  <sheetData>
    <row r="1" spans="1:120" x14ac:dyDescent="0.2">
      <c r="A1" s="283" t="s">
        <v>177</v>
      </c>
      <c r="B1" s="283"/>
      <c r="C1" s="283"/>
      <c r="D1" s="283"/>
      <c r="E1" s="283"/>
      <c r="G1" s="283" t="s">
        <v>164</v>
      </c>
      <c r="H1" s="283"/>
      <c r="I1" s="283"/>
      <c r="K1" s="283" t="s">
        <v>385</v>
      </c>
      <c r="L1" s="283"/>
      <c r="M1" s="283"/>
      <c r="N1" s="283"/>
      <c r="O1" s="283"/>
      <c r="P1" s="283"/>
      <c r="Q1" s="283"/>
      <c r="S1" s="283" t="s">
        <v>59</v>
      </c>
      <c r="T1" s="283"/>
      <c r="U1" s="283"/>
      <c r="W1" s="283" t="s">
        <v>58</v>
      </c>
      <c r="X1" s="283"/>
      <c r="Y1" s="283"/>
      <c r="AA1" s="283" t="s">
        <v>708</v>
      </c>
      <c r="AB1" s="283"/>
      <c r="AC1" s="283"/>
      <c r="AD1" s="283"/>
      <c r="AE1" s="283"/>
      <c r="AF1" s="283"/>
      <c r="AH1" s="283" t="s">
        <v>61</v>
      </c>
      <c r="AI1" s="283"/>
      <c r="AK1" s="283" t="s">
        <v>60</v>
      </c>
      <c r="AL1" s="283"/>
      <c r="AN1" s="283" t="s">
        <v>70</v>
      </c>
      <c r="AO1" s="283"/>
      <c r="AQ1" s="283" t="s">
        <v>180</v>
      </c>
      <c r="AR1" s="283"/>
      <c r="AT1" s="283" t="s">
        <v>181</v>
      </c>
      <c r="AU1" s="283"/>
      <c r="AV1" s="283"/>
      <c r="AX1" s="283" t="s">
        <v>178</v>
      </c>
      <c r="AY1" s="283"/>
      <c r="BA1" s="283" t="s">
        <v>183</v>
      </c>
      <c r="BB1" s="283"/>
      <c r="BC1"/>
      <c r="BD1" s="283" t="s">
        <v>205</v>
      </c>
      <c r="BE1" s="283"/>
      <c r="BF1" s="283"/>
      <c r="BG1" s="283"/>
      <c r="BH1" s="283"/>
      <c r="BI1" s="283"/>
      <c r="BJ1" s="283"/>
      <c r="BK1" s="283"/>
      <c r="BL1" s="283"/>
      <c r="BM1" s="283"/>
      <c r="BN1" s="283"/>
      <c r="BO1" s="283"/>
      <c r="BQ1" s="283" t="s">
        <v>209</v>
      </c>
      <c r="BR1" s="283"/>
      <c r="BS1"/>
      <c r="BT1" s="283" t="s">
        <v>308</v>
      </c>
      <c r="BU1" s="283"/>
      <c r="BV1" s="283"/>
      <c r="BW1" s="283"/>
      <c r="BY1" s="283" t="s">
        <v>309</v>
      </c>
      <c r="BZ1" s="283"/>
      <c r="CA1" s="283"/>
      <c r="CB1" s="283"/>
      <c r="CC1" s="283"/>
      <c r="CD1" s="283"/>
      <c r="CF1" s="283" t="s">
        <v>621</v>
      </c>
      <c r="CG1" s="283"/>
      <c r="CH1" s="283"/>
      <c r="CI1" s="283"/>
      <c r="CJ1"/>
      <c r="CK1" s="283" t="s">
        <v>231</v>
      </c>
      <c r="CL1" s="283"/>
      <c r="CM1"/>
      <c r="CN1" s="283" t="s">
        <v>317</v>
      </c>
      <c r="CO1" s="283"/>
      <c r="CP1" s="283"/>
      <c r="CR1" s="283" t="s">
        <v>276</v>
      </c>
      <c r="CS1" s="283"/>
      <c r="CU1" s="283" t="s">
        <v>321</v>
      </c>
      <c r="CV1" s="283"/>
      <c r="CX1" s="283" t="s">
        <v>323</v>
      </c>
      <c r="CY1" s="283"/>
      <c r="DA1" s="283" t="s">
        <v>326</v>
      </c>
      <c r="DB1" s="283"/>
      <c r="DD1" s="284" t="s">
        <v>399</v>
      </c>
      <c r="DE1" s="284"/>
      <c r="DF1" s="284"/>
      <c r="DG1" s="284"/>
      <c r="DH1" s="284"/>
      <c r="DJ1" s="204" t="s">
        <v>700</v>
      </c>
      <c r="DL1" s="204" t="s">
        <v>701</v>
      </c>
      <c r="DN1" s="283" t="s">
        <v>702</v>
      </c>
      <c r="DO1" s="283"/>
      <c r="DP1" s="283"/>
    </row>
    <row r="2" spans="1:120" ht="12.75" customHeight="1" x14ac:dyDescent="0.2">
      <c r="A2" s="5" t="s">
        <v>171</v>
      </c>
      <c r="B2" s="5" t="s">
        <v>179</v>
      </c>
      <c r="C2" s="38" t="s">
        <v>403</v>
      </c>
      <c r="D2" s="38" t="s">
        <v>404</v>
      </c>
      <c r="E2" s="38" t="s">
        <v>405</v>
      </c>
      <c r="H2" s="9" t="s">
        <v>171</v>
      </c>
      <c r="I2" s="9" t="s">
        <v>172</v>
      </c>
      <c r="S2" s="9" t="s">
        <v>53</v>
      </c>
      <c r="T2" s="9" t="s">
        <v>54</v>
      </c>
      <c r="U2" s="9" t="s">
        <v>51</v>
      </c>
      <c r="W2" s="9" t="s">
        <v>53</v>
      </c>
      <c r="X2" s="9" t="s">
        <v>54</v>
      </c>
      <c r="Y2" s="9" t="s">
        <v>51</v>
      </c>
      <c r="AA2" s="287" t="s">
        <v>161</v>
      </c>
      <c r="AB2" s="287"/>
      <c r="AC2" s="287" t="s">
        <v>162</v>
      </c>
      <c r="AD2" s="287"/>
      <c r="AE2" s="287" t="s">
        <v>163</v>
      </c>
      <c r="AF2" s="287"/>
      <c r="AH2" s="8" t="s">
        <v>55</v>
      </c>
      <c r="AI2" s="9" t="s">
        <v>51</v>
      </c>
      <c r="AK2" s="5" t="s">
        <v>179</v>
      </c>
      <c r="AL2" s="9" t="s">
        <v>51</v>
      </c>
      <c r="AN2" s="8" t="s">
        <v>98</v>
      </c>
      <c r="AO2" s="9" t="s">
        <v>51</v>
      </c>
      <c r="AQ2" s="1" t="s">
        <v>125</v>
      </c>
      <c r="AR2" s="215">
        <f>0.02*0.725</f>
        <v>1.4499999999999999E-2</v>
      </c>
      <c r="AU2" s="285" t="s">
        <v>159</v>
      </c>
      <c r="AV2" s="285"/>
      <c r="AX2" s="1" t="s">
        <v>56</v>
      </c>
      <c r="BA2" s="1" t="s">
        <v>184</v>
      </c>
      <c r="BD2" s="5" t="s">
        <v>171</v>
      </c>
      <c r="BE2" s="5" t="s">
        <v>179</v>
      </c>
      <c r="BF2" s="16" t="s">
        <v>201</v>
      </c>
      <c r="BG2" s="80" t="s">
        <v>610</v>
      </c>
      <c r="BH2" s="80" t="s">
        <v>611</v>
      </c>
      <c r="BI2" s="80" t="s">
        <v>612</v>
      </c>
      <c r="BJ2" s="80" t="s">
        <v>613</v>
      </c>
      <c r="BK2" s="80" t="s">
        <v>614</v>
      </c>
      <c r="BL2" s="80" t="s">
        <v>615</v>
      </c>
      <c r="BM2" s="80" t="s">
        <v>616</v>
      </c>
      <c r="BN2" s="80" t="s">
        <v>617</v>
      </c>
      <c r="BO2" s="80" t="s">
        <v>618</v>
      </c>
      <c r="BP2" s="77"/>
      <c r="BQ2" s="24" t="s">
        <v>210</v>
      </c>
      <c r="BR2" s="24" t="s">
        <v>211</v>
      </c>
      <c r="BT2" s="19" t="s">
        <v>53</v>
      </c>
      <c r="BU2" s="19" t="s">
        <v>54</v>
      </c>
      <c r="BV2" s="30" t="s">
        <v>226</v>
      </c>
      <c r="BW2" s="30" t="s">
        <v>228</v>
      </c>
      <c r="BY2" s="19" t="s">
        <v>53</v>
      </c>
      <c r="BZ2" s="19" t="s">
        <v>54</v>
      </c>
      <c r="CA2" s="18" t="s">
        <v>221</v>
      </c>
      <c r="CB2" s="18" t="s">
        <v>222</v>
      </c>
      <c r="CC2" s="18" t="s">
        <v>223</v>
      </c>
      <c r="CD2" s="18" t="s">
        <v>224</v>
      </c>
      <c r="CF2" s="1" t="s">
        <v>406</v>
      </c>
      <c r="CG2" s="1" t="s">
        <v>407</v>
      </c>
      <c r="CH2" s="71"/>
      <c r="CI2" s="81">
        <v>1</v>
      </c>
      <c r="CK2" s="5" t="s">
        <v>179</v>
      </c>
      <c r="CL2" s="25" t="s">
        <v>238</v>
      </c>
      <c r="CN2" s="25" t="s">
        <v>272</v>
      </c>
      <c r="CO2" s="25" t="s">
        <v>54</v>
      </c>
      <c r="CP2" s="25" t="s">
        <v>273</v>
      </c>
      <c r="CR2" s="1" t="s">
        <v>277</v>
      </c>
      <c r="CS2" s="20">
        <v>0.27500000000000002</v>
      </c>
      <c r="CU2" s="1" t="s">
        <v>87</v>
      </c>
      <c r="CV2" s="29">
        <v>7.4999999999999997E-2</v>
      </c>
      <c r="CX2" s="1" t="s">
        <v>324</v>
      </c>
      <c r="CY2" s="27">
        <v>550</v>
      </c>
      <c r="DA2" s="34">
        <v>30</v>
      </c>
      <c r="DB2" s="33">
        <v>0</v>
      </c>
      <c r="DJ2" s="1" t="s">
        <v>650</v>
      </c>
      <c r="DL2" s="1" t="s">
        <v>559</v>
      </c>
      <c r="DN2" s="5" t="s">
        <v>171</v>
      </c>
      <c r="DO2" s="5" t="s">
        <v>179</v>
      </c>
      <c r="DP2" s="193" t="s">
        <v>703</v>
      </c>
    </row>
    <row r="3" spans="1:120" ht="12.75" customHeight="1" x14ac:dyDescent="0.2">
      <c r="A3" s="1" t="s">
        <v>447</v>
      </c>
      <c r="B3" s="1" t="s">
        <v>450</v>
      </c>
      <c r="C3" s="39" t="s">
        <v>451</v>
      </c>
      <c r="D3" s="1">
        <v>2</v>
      </c>
      <c r="E3" s="7">
        <v>2</v>
      </c>
      <c r="G3" s="1" t="s">
        <v>0</v>
      </c>
      <c r="H3" s="1">
        <v>4</v>
      </c>
      <c r="I3" s="6">
        <v>1.1000000000000001</v>
      </c>
      <c r="J3" s="13"/>
      <c r="K3" s="1" t="s">
        <v>204</v>
      </c>
      <c r="L3" s="21">
        <v>0.27500000000000002</v>
      </c>
      <c r="S3" s="7">
        <v>0</v>
      </c>
      <c r="T3" s="7">
        <v>15</v>
      </c>
      <c r="U3" s="6">
        <v>0.9</v>
      </c>
      <c r="W3" s="1">
        <v>0</v>
      </c>
      <c r="X3" s="10">
        <v>2500000</v>
      </c>
      <c r="Y3" s="6">
        <v>1.1000000000000001</v>
      </c>
      <c r="AA3" s="9" t="s">
        <v>52</v>
      </c>
      <c r="AB3" s="9" t="s">
        <v>51</v>
      </c>
      <c r="AC3" s="9" t="s">
        <v>52</v>
      </c>
      <c r="AD3" s="9" t="s">
        <v>51</v>
      </c>
      <c r="AE3" s="9" t="s">
        <v>52</v>
      </c>
      <c r="AF3" s="9" t="s">
        <v>51</v>
      </c>
      <c r="AH3" s="14">
        <v>1</v>
      </c>
      <c r="AI3" s="6">
        <v>1</v>
      </c>
      <c r="AK3" s="1" t="s">
        <v>160</v>
      </c>
      <c r="AL3" s="6">
        <v>0.85</v>
      </c>
      <c r="AN3" s="34" t="s">
        <v>378</v>
      </c>
      <c r="AO3" s="12">
        <v>1</v>
      </c>
      <c r="AQ3" s="1" t="s">
        <v>622</v>
      </c>
      <c r="AR3" s="215">
        <f>0.01*0.725</f>
        <v>7.2499999999999995E-3</v>
      </c>
      <c r="AT3" s="2" t="s">
        <v>182</v>
      </c>
      <c r="AU3" s="7" t="s">
        <v>318</v>
      </c>
      <c r="AV3" s="7" t="s">
        <v>319</v>
      </c>
      <c r="AX3" s="1" t="s">
        <v>57</v>
      </c>
      <c r="BA3" s="1" t="s">
        <v>158</v>
      </c>
      <c r="BD3" s="1" t="s">
        <v>406</v>
      </c>
      <c r="BE3" s="1" t="s">
        <v>407</v>
      </c>
      <c r="BF3" s="72" t="s">
        <v>408</v>
      </c>
      <c r="BG3" s="78">
        <v>59.25</v>
      </c>
      <c r="BH3" s="78">
        <v>59.25</v>
      </c>
      <c r="BI3" s="78">
        <v>65.209999999999994</v>
      </c>
      <c r="BJ3" s="78">
        <v>75.81</v>
      </c>
      <c r="BK3" s="78">
        <v>75.81</v>
      </c>
      <c r="BL3" s="78">
        <v>78.989999999999995</v>
      </c>
      <c r="BM3" s="78">
        <v>81.349999999999994</v>
      </c>
      <c r="BN3" s="78">
        <v>81.349999999999994</v>
      </c>
      <c r="BO3" s="78">
        <v>85.3</v>
      </c>
      <c r="BP3" s="78"/>
      <c r="BQ3" s="23">
        <v>0.01</v>
      </c>
      <c r="BR3" s="23">
        <v>0.2</v>
      </c>
      <c r="BT3" s="18">
        <v>1</v>
      </c>
      <c r="BU3" s="18">
        <v>15</v>
      </c>
      <c r="BV3" s="27">
        <v>1500000</v>
      </c>
      <c r="BW3" s="31">
        <v>0.25</v>
      </c>
      <c r="BY3" s="18">
        <v>1</v>
      </c>
      <c r="BZ3" s="18">
        <v>15</v>
      </c>
      <c r="CA3" s="29">
        <v>7.4999999999999997E-2</v>
      </c>
      <c r="CB3" s="28">
        <v>1</v>
      </c>
      <c r="CC3" s="28">
        <v>1</v>
      </c>
      <c r="CD3" s="28">
        <v>1</v>
      </c>
      <c r="CF3" s="1" t="s">
        <v>406</v>
      </c>
      <c r="CG3" s="1" t="s">
        <v>409</v>
      </c>
      <c r="CH3" s="72"/>
      <c r="CI3" s="81">
        <v>1</v>
      </c>
      <c r="CK3" s="1" t="s">
        <v>232</v>
      </c>
      <c r="CL3" s="26">
        <v>0.25</v>
      </c>
      <c r="CN3" s="1">
        <v>1</v>
      </c>
      <c r="CO3" s="1">
        <v>3</v>
      </c>
      <c r="CP3" s="29">
        <v>0</v>
      </c>
      <c r="CU3" s="1" t="s">
        <v>322</v>
      </c>
      <c r="CV3" s="29">
        <v>0.05</v>
      </c>
      <c r="CX3" s="1" t="s">
        <v>238</v>
      </c>
      <c r="CY3" s="29">
        <v>0.05</v>
      </c>
      <c r="DA3" s="34">
        <v>60</v>
      </c>
      <c r="DB3" s="33">
        <v>0.1</v>
      </c>
      <c r="DD3" s="1" t="s">
        <v>204</v>
      </c>
      <c r="DE3" s="21">
        <f>L3</f>
        <v>0.27500000000000002</v>
      </c>
      <c r="DJ3" s="1" t="s">
        <v>651</v>
      </c>
      <c r="DL3" s="1" t="s">
        <v>560</v>
      </c>
      <c r="DN3" s="1" t="s">
        <v>406</v>
      </c>
      <c r="DO3" s="1" t="s">
        <v>407</v>
      </c>
      <c r="DP3" s="1">
        <v>2</v>
      </c>
    </row>
    <row r="4" spans="1:120" x14ac:dyDescent="0.2">
      <c r="A4" s="1" t="s">
        <v>447</v>
      </c>
      <c r="B4" s="1" t="s">
        <v>452</v>
      </c>
      <c r="C4" s="39" t="s">
        <v>453</v>
      </c>
      <c r="D4" s="1">
        <v>2</v>
      </c>
      <c r="E4" s="7">
        <v>1</v>
      </c>
      <c r="G4" s="1" t="s">
        <v>3</v>
      </c>
      <c r="H4" s="1">
        <v>1</v>
      </c>
      <c r="I4" s="6">
        <v>0.9</v>
      </c>
      <c r="L4" s="21"/>
      <c r="S4" s="7">
        <v>16</v>
      </c>
      <c r="T4" s="7">
        <v>50</v>
      </c>
      <c r="U4" s="6">
        <v>1</v>
      </c>
      <c r="W4" s="10">
        <f>X3+1</f>
        <v>2500001</v>
      </c>
      <c r="X4" s="10">
        <v>5000000</v>
      </c>
      <c r="Y4" s="6">
        <v>1</v>
      </c>
      <c r="AA4" s="27">
        <v>5000</v>
      </c>
      <c r="AB4" s="6">
        <v>0.95</v>
      </c>
      <c r="AC4" s="27">
        <v>5000</v>
      </c>
      <c r="AD4" s="12">
        <v>1</v>
      </c>
      <c r="AE4" s="27">
        <v>5000</v>
      </c>
      <c r="AF4" s="12" t="e">
        <v>#N/A</v>
      </c>
      <c r="AH4" s="2">
        <v>2</v>
      </c>
      <c r="AI4" s="6">
        <v>1</v>
      </c>
      <c r="AK4" s="1" t="s">
        <v>173</v>
      </c>
      <c r="AL4" s="6">
        <v>0.9</v>
      </c>
      <c r="AN4" s="11" t="s">
        <v>93</v>
      </c>
      <c r="AO4" s="12">
        <v>0.9</v>
      </c>
      <c r="AT4" s="2">
        <v>1</v>
      </c>
      <c r="AU4" s="15">
        <v>2.5000000000000001E-3</v>
      </c>
      <c r="AV4" s="15">
        <f>0.005</f>
        <v>5.0000000000000001E-3</v>
      </c>
      <c r="BD4" s="1" t="s">
        <v>406</v>
      </c>
      <c r="BE4" s="1" t="s">
        <v>409</v>
      </c>
      <c r="BF4" s="72" t="s">
        <v>410</v>
      </c>
      <c r="BG4" s="78">
        <v>59.25</v>
      </c>
      <c r="BH4" s="78">
        <v>59.25</v>
      </c>
      <c r="BI4" s="78">
        <v>65.209999999999994</v>
      </c>
      <c r="BJ4" s="78">
        <v>75.81</v>
      </c>
      <c r="BK4" s="78">
        <v>75.81</v>
      </c>
      <c r="BL4" s="78">
        <v>78.989999999999995</v>
      </c>
      <c r="BM4" s="78">
        <v>81.349999999999994</v>
      </c>
      <c r="BN4" s="78">
        <v>81.349999999999994</v>
      </c>
      <c r="BO4" s="78">
        <v>85.3</v>
      </c>
      <c r="BP4" s="78"/>
      <c r="BQ4" s="23">
        <v>0.02</v>
      </c>
      <c r="BR4" s="23">
        <v>0.24</v>
      </c>
      <c r="BT4" s="18">
        <f>BU3</f>
        <v>15</v>
      </c>
      <c r="BU4" s="18">
        <v>25</v>
      </c>
      <c r="BV4" s="27">
        <v>500000</v>
      </c>
      <c r="BW4" s="31">
        <v>0.1</v>
      </c>
      <c r="BY4" s="18">
        <f>BZ3</f>
        <v>15</v>
      </c>
      <c r="BZ4" s="18">
        <v>25</v>
      </c>
      <c r="CA4" s="29">
        <v>0.1</v>
      </c>
      <c r="CB4" s="28">
        <v>1.1000000000000001</v>
      </c>
      <c r="CC4" s="28">
        <v>1.1000000000000001</v>
      </c>
      <c r="CD4" s="28">
        <v>1.1000000000000001</v>
      </c>
      <c r="CF4" s="1" t="s">
        <v>406</v>
      </c>
      <c r="CG4" s="1" t="s">
        <v>411</v>
      </c>
      <c r="CH4" s="72"/>
      <c r="CI4" s="81">
        <v>1</v>
      </c>
      <c r="CK4" s="1" t="s">
        <v>233</v>
      </c>
      <c r="CL4" s="26">
        <v>0.25</v>
      </c>
      <c r="CN4" s="1">
        <f>CO3+1</f>
        <v>4</v>
      </c>
      <c r="CO4" s="1">
        <v>6</v>
      </c>
      <c r="CP4" s="29">
        <v>2.5000000000000001E-2</v>
      </c>
      <c r="CX4" s="1" t="s">
        <v>325</v>
      </c>
      <c r="CY4" s="27">
        <v>1800</v>
      </c>
      <c r="DA4" s="34">
        <v>90</v>
      </c>
      <c r="DB4" s="33">
        <v>0.15</v>
      </c>
      <c r="DJ4" s="1" t="s">
        <v>622</v>
      </c>
      <c r="DL4" s="1" t="s">
        <v>649</v>
      </c>
      <c r="DN4" s="1" t="s">
        <v>406</v>
      </c>
      <c r="DO4" s="1" t="s">
        <v>409</v>
      </c>
      <c r="DP4" s="1">
        <v>2</v>
      </c>
    </row>
    <row r="5" spans="1:120" x14ac:dyDescent="0.2">
      <c r="A5" s="1" t="s">
        <v>447</v>
      </c>
      <c r="B5" s="1" t="s">
        <v>157</v>
      </c>
      <c r="C5" s="39" t="s">
        <v>454</v>
      </c>
      <c r="D5" s="1">
        <v>4</v>
      </c>
      <c r="E5" s="7">
        <v>1</v>
      </c>
      <c r="G5" s="1" t="s">
        <v>6</v>
      </c>
      <c r="H5" s="1">
        <v>4</v>
      </c>
      <c r="I5" s="6">
        <v>1.1000000000000001</v>
      </c>
      <c r="K5" s="283" t="s">
        <v>202</v>
      </c>
      <c r="L5" s="283"/>
      <c r="M5" s="283"/>
      <c r="N5" s="283"/>
      <c r="O5" s="283"/>
      <c r="P5" s="283"/>
      <c r="Q5" s="283"/>
      <c r="S5" s="7">
        <v>51</v>
      </c>
      <c r="T5" s="7">
        <v>75</v>
      </c>
      <c r="U5" s="6">
        <v>1.05</v>
      </c>
      <c r="W5" s="10">
        <f>X4+1</f>
        <v>5000001</v>
      </c>
      <c r="X5" s="10">
        <v>25000000</v>
      </c>
      <c r="Y5" s="6">
        <v>0.95</v>
      </c>
      <c r="AA5" s="27">
        <v>10000</v>
      </c>
      <c r="AB5" s="6">
        <v>0.88</v>
      </c>
      <c r="AC5" s="27">
        <v>10000</v>
      </c>
      <c r="AD5" s="6">
        <v>0.96</v>
      </c>
      <c r="AE5" s="27">
        <v>10000</v>
      </c>
      <c r="AF5" s="12">
        <v>1</v>
      </c>
      <c r="AH5" s="14">
        <v>3</v>
      </c>
      <c r="AI5" s="6">
        <v>1</v>
      </c>
      <c r="AK5" s="1" t="s">
        <v>174</v>
      </c>
      <c r="AL5" s="6">
        <v>0.95</v>
      </c>
      <c r="AN5" s="11" t="s">
        <v>94</v>
      </c>
      <c r="AO5" s="12">
        <v>0.95</v>
      </c>
      <c r="AQ5" s="283" t="s">
        <v>634</v>
      </c>
      <c r="AR5" s="283"/>
      <c r="AT5" s="2">
        <v>2</v>
      </c>
      <c r="AU5" s="15">
        <v>2.5000000000000001E-3</v>
      </c>
      <c r="AV5" s="15">
        <f>0.005</f>
        <v>5.0000000000000001E-3</v>
      </c>
      <c r="BD5" s="1" t="s">
        <v>406</v>
      </c>
      <c r="BE5" s="1" t="s">
        <v>411</v>
      </c>
      <c r="BF5" s="72" t="s">
        <v>412</v>
      </c>
      <c r="BG5" s="78">
        <v>59.25</v>
      </c>
      <c r="BH5" s="78">
        <v>59.25</v>
      </c>
      <c r="BI5" s="78">
        <v>65.209999999999994</v>
      </c>
      <c r="BJ5" s="78">
        <v>75.81</v>
      </c>
      <c r="BK5" s="78">
        <v>75.81</v>
      </c>
      <c r="BL5" s="78">
        <v>78.989999999999995</v>
      </c>
      <c r="BM5" s="78">
        <v>81.349999999999994</v>
      </c>
      <c r="BN5" s="78">
        <v>81.349999999999994</v>
      </c>
      <c r="BO5" s="78">
        <v>85.3</v>
      </c>
      <c r="BP5" s="78"/>
      <c r="BQ5" s="23">
        <v>0.03</v>
      </c>
      <c r="BR5" s="23">
        <v>0.33</v>
      </c>
      <c r="BT5" s="18">
        <f>BU4</f>
        <v>25</v>
      </c>
      <c r="BU5" s="18">
        <v>50</v>
      </c>
      <c r="BV5" s="27">
        <v>250000</v>
      </c>
      <c r="BW5" s="31">
        <v>0.05</v>
      </c>
      <c r="BY5" s="18">
        <f>BZ4</f>
        <v>25</v>
      </c>
      <c r="BZ5" s="18">
        <v>50</v>
      </c>
      <c r="CA5" s="29">
        <v>0.15</v>
      </c>
      <c r="CB5" s="28">
        <v>1.2</v>
      </c>
      <c r="CC5" s="28">
        <v>1.2</v>
      </c>
      <c r="CD5" s="28">
        <v>1.2</v>
      </c>
      <c r="CF5" s="1" t="s">
        <v>406</v>
      </c>
      <c r="CG5" s="1" t="s">
        <v>413</v>
      </c>
      <c r="CH5" s="72"/>
      <c r="CI5" s="81">
        <v>1</v>
      </c>
      <c r="CK5" s="1" t="s">
        <v>234</v>
      </c>
      <c r="CL5" s="26">
        <v>0.25</v>
      </c>
      <c r="CN5" s="1">
        <f>CO4+1</f>
        <v>7</v>
      </c>
      <c r="CO5" s="1">
        <v>15</v>
      </c>
      <c r="CP5" s="29">
        <v>0.05</v>
      </c>
      <c r="CR5" s="283" t="s">
        <v>626</v>
      </c>
      <c r="CS5" s="283"/>
      <c r="DA5" s="34">
        <v>180</v>
      </c>
      <c r="DB5" s="33">
        <v>0.25</v>
      </c>
      <c r="DD5" s="284" t="s">
        <v>711</v>
      </c>
      <c r="DE5" s="284"/>
      <c r="DF5" s="284"/>
      <c r="DG5" s="284"/>
      <c r="DH5" s="284"/>
      <c r="DN5" s="1" t="s">
        <v>406</v>
      </c>
      <c r="DO5" s="1" t="s">
        <v>411</v>
      </c>
      <c r="DP5" s="1">
        <v>2</v>
      </c>
    </row>
    <row r="6" spans="1:120" x14ac:dyDescent="0.2">
      <c r="A6" s="1" t="s">
        <v>542</v>
      </c>
      <c r="B6" s="1" t="s">
        <v>156</v>
      </c>
      <c r="C6" s="39" t="s">
        <v>545</v>
      </c>
      <c r="D6" s="1">
        <v>5</v>
      </c>
      <c r="E6" s="7">
        <v>1</v>
      </c>
      <c r="G6" s="1" t="s">
        <v>9</v>
      </c>
      <c r="H6" s="1">
        <v>1</v>
      </c>
      <c r="I6" s="6">
        <v>0.9</v>
      </c>
      <c r="L6" s="286" t="s">
        <v>90</v>
      </c>
      <c r="M6" s="286"/>
      <c r="N6" s="286" t="s">
        <v>91</v>
      </c>
      <c r="O6" s="286"/>
      <c r="P6" s="286" t="s">
        <v>92</v>
      </c>
      <c r="Q6" s="286"/>
      <c r="S6" s="7">
        <v>76</v>
      </c>
      <c r="T6" s="7">
        <v>100</v>
      </c>
      <c r="U6" s="6">
        <v>1.1000000000000001</v>
      </c>
      <c r="W6" s="10">
        <f>X5+1</f>
        <v>25000001</v>
      </c>
      <c r="X6" s="10">
        <v>50000000</v>
      </c>
      <c r="Y6" s="6">
        <v>0.9</v>
      </c>
      <c r="AA6" s="27">
        <v>25000</v>
      </c>
      <c r="AB6" s="6">
        <v>0.78</v>
      </c>
      <c r="AC6" s="27">
        <v>25000</v>
      </c>
      <c r="AD6" s="6">
        <v>0.89</v>
      </c>
      <c r="AE6" s="27">
        <v>25000</v>
      </c>
      <c r="AF6" s="6">
        <v>0.95</v>
      </c>
      <c r="AH6" s="2">
        <v>4</v>
      </c>
      <c r="AI6" s="6">
        <v>1</v>
      </c>
      <c r="AK6" s="1" t="s">
        <v>175</v>
      </c>
      <c r="AL6" s="6">
        <v>0.95</v>
      </c>
      <c r="AN6" s="11" t="s">
        <v>95</v>
      </c>
      <c r="AO6" s="12">
        <v>1</v>
      </c>
      <c r="AQ6" s="27">
        <v>5000</v>
      </c>
      <c r="AR6" s="76">
        <v>1</v>
      </c>
      <c r="AT6" s="2">
        <v>3</v>
      </c>
      <c r="AU6" s="15">
        <v>2.5000000000000001E-3</v>
      </c>
      <c r="AV6" s="15">
        <f>0.005</f>
        <v>5.0000000000000001E-3</v>
      </c>
      <c r="BD6" s="1" t="s">
        <v>406</v>
      </c>
      <c r="BE6" s="1" t="s">
        <v>413</v>
      </c>
      <c r="BF6" s="72" t="s">
        <v>414</v>
      </c>
      <c r="BG6" s="78">
        <v>59.25</v>
      </c>
      <c r="BH6" s="78">
        <v>59.25</v>
      </c>
      <c r="BI6" s="78">
        <v>65.209999999999994</v>
      </c>
      <c r="BJ6" s="78">
        <v>75.81</v>
      </c>
      <c r="BK6" s="78">
        <v>75.81</v>
      </c>
      <c r="BL6" s="78">
        <v>78.989999999999995</v>
      </c>
      <c r="BM6" s="78">
        <v>81.349999999999994</v>
      </c>
      <c r="BN6" s="78">
        <v>81.349999999999994</v>
      </c>
      <c r="BO6" s="78">
        <v>85.3</v>
      </c>
      <c r="BP6" s="78"/>
      <c r="BQ6" s="23">
        <v>0.04</v>
      </c>
      <c r="BR6" s="23">
        <v>0.37</v>
      </c>
      <c r="BT6" s="18">
        <f>BU5</f>
        <v>50</v>
      </c>
      <c r="BU6" s="18">
        <v>999</v>
      </c>
      <c r="BV6" s="1">
        <v>0</v>
      </c>
      <c r="BW6" s="31">
        <v>0</v>
      </c>
      <c r="BY6" s="18">
        <f>BZ5</f>
        <v>50</v>
      </c>
      <c r="BZ6" s="18">
        <v>999</v>
      </c>
      <c r="CA6" s="31">
        <v>0</v>
      </c>
      <c r="CB6" s="31">
        <v>1</v>
      </c>
      <c r="CC6" s="31">
        <v>1</v>
      </c>
      <c r="CD6" s="31">
        <v>1</v>
      </c>
      <c r="CF6" s="1" t="s">
        <v>406</v>
      </c>
      <c r="CG6" s="1" t="s">
        <v>415</v>
      </c>
      <c r="CH6" s="72"/>
      <c r="CI6" s="81">
        <v>1</v>
      </c>
      <c r="CK6" s="1" t="s">
        <v>235</v>
      </c>
      <c r="CL6" s="26">
        <v>0.25</v>
      </c>
      <c r="CN6" s="1">
        <f>CO5+1</f>
        <v>16</v>
      </c>
      <c r="CO6" s="1">
        <v>30</v>
      </c>
      <c r="CP6" s="29">
        <v>7.4999999999999997E-2</v>
      </c>
      <c r="CR6" s="1" t="s">
        <v>625</v>
      </c>
      <c r="CS6" s="20">
        <v>0.05</v>
      </c>
      <c r="DA6" s="34">
        <v>360</v>
      </c>
      <c r="DB6" s="33">
        <v>0.5</v>
      </c>
      <c r="DE6" s="286" t="s">
        <v>379</v>
      </c>
      <c r="DF6" s="286"/>
      <c r="DG6" s="286" t="s">
        <v>380</v>
      </c>
      <c r="DH6" s="286"/>
      <c r="DN6" s="1" t="s">
        <v>406</v>
      </c>
      <c r="DO6" s="1" t="s">
        <v>413</v>
      </c>
      <c r="DP6" s="1">
        <v>2</v>
      </c>
    </row>
    <row r="7" spans="1:120" x14ac:dyDescent="0.2">
      <c r="A7" s="1" t="s">
        <v>542</v>
      </c>
      <c r="B7" s="1" t="s">
        <v>155</v>
      </c>
      <c r="C7" s="39" t="s">
        <v>546</v>
      </c>
      <c r="D7" s="1">
        <v>7</v>
      </c>
      <c r="E7" s="7">
        <v>2</v>
      </c>
      <c r="G7" s="1" t="s">
        <v>12</v>
      </c>
      <c r="H7" s="1">
        <v>3</v>
      </c>
      <c r="I7" s="6">
        <v>1</v>
      </c>
      <c r="K7" s="5" t="s">
        <v>50</v>
      </c>
      <c r="L7" s="8" t="s">
        <v>48</v>
      </c>
      <c r="M7" s="8" t="s">
        <v>49</v>
      </c>
      <c r="N7" s="8" t="s">
        <v>48</v>
      </c>
      <c r="O7" s="8" t="s">
        <v>49</v>
      </c>
      <c r="P7" s="8" t="s">
        <v>48</v>
      </c>
      <c r="Q7" s="8" t="s">
        <v>49</v>
      </c>
      <c r="S7" s="1">
        <v>101</v>
      </c>
      <c r="W7" s="10">
        <f>X6+1</f>
        <v>50000001</v>
      </c>
      <c r="X7" s="10">
        <v>100000000</v>
      </c>
      <c r="Y7" s="6">
        <v>0.85</v>
      </c>
      <c r="AA7" s="27">
        <v>50000</v>
      </c>
      <c r="AB7" s="1">
        <v>0.69</v>
      </c>
      <c r="AC7" s="27">
        <v>50000</v>
      </c>
      <c r="AD7" s="6">
        <v>0.83</v>
      </c>
      <c r="AE7" s="27">
        <v>50000</v>
      </c>
      <c r="AF7" s="6">
        <v>0.89</v>
      </c>
      <c r="AH7" s="14">
        <v>5</v>
      </c>
      <c r="AI7" s="6">
        <v>1</v>
      </c>
      <c r="AK7" s="1" t="s">
        <v>176</v>
      </c>
      <c r="AL7" s="6">
        <v>1</v>
      </c>
      <c r="AN7" s="11" t="s">
        <v>96</v>
      </c>
      <c r="AO7" s="12">
        <v>1.1499999999999999</v>
      </c>
      <c r="AQ7" s="27">
        <v>10000</v>
      </c>
      <c r="AR7" s="76">
        <v>0.78800000000000003</v>
      </c>
      <c r="AT7" s="2">
        <v>4</v>
      </c>
      <c r="AU7" s="15">
        <v>5.0000000000000001E-3</v>
      </c>
      <c r="AV7" s="15">
        <v>0.01</v>
      </c>
      <c r="BD7" s="1" t="s">
        <v>406</v>
      </c>
      <c r="BE7" s="1" t="s">
        <v>415</v>
      </c>
      <c r="BF7" s="72" t="s">
        <v>416</v>
      </c>
      <c r="BG7" s="78">
        <v>59.25</v>
      </c>
      <c r="BH7" s="78">
        <v>59.25</v>
      </c>
      <c r="BI7" s="78">
        <v>65.209999999999994</v>
      </c>
      <c r="BJ7" s="78">
        <v>75.81</v>
      </c>
      <c r="BK7" s="78">
        <v>75.81</v>
      </c>
      <c r="BL7" s="78">
        <v>78.989999999999995</v>
      </c>
      <c r="BM7" s="78">
        <v>81.349999999999994</v>
      </c>
      <c r="BN7" s="78">
        <v>81.349999999999994</v>
      </c>
      <c r="BO7" s="78">
        <v>85.3</v>
      </c>
      <c r="BP7" s="78"/>
      <c r="BQ7" s="23">
        <v>0.05</v>
      </c>
      <c r="BR7" s="23">
        <v>0.42</v>
      </c>
      <c r="BT7" s="18"/>
      <c r="BU7" s="18"/>
      <c r="BV7" s="18"/>
      <c r="CF7" s="1" t="s">
        <v>406</v>
      </c>
      <c r="CG7" s="1" t="s">
        <v>620</v>
      </c>
      <c r="CH7" s="72"/>
      <c r="CI7" s="81">
        <v>1</v>
      </c>
      <c r="CK7" s="1" t="s">
        <v>236</v>
      </c>
      <c r="CL7" s="26">
        <v>0.25</v>
      </c>
      <c r="CN7" s="1">
        <f>CO6+1</f>
        <v>31</v>
      </c>
      <c r="CO7" s="1">
        <v>999</v>
      </c>
      <c r="CP7" s="29">
        <v>0.1</v>
      </c>
      <c r="CR7" s="1" t="s">
        <v>278</v>
      </c>
      <c r="CS7" s="20">
        <v>0.06</v>
      </c>
      <c r="DD7" s="5" t="s">
        <v>50</v>
      </c>
      <c r="DE7" s="35" t="s">
        <v>381</v>
      </c>
      <c r="DF7" s="35" t="s">
        <v>382</v>
      </c>
      <c r="DG7" s="35" t="s">
        <v>381</v>
      </c>
      <c r="DH7" s="35" t="s">
        <v>382</v>
      </c>
      <c r="DN7" s="1" t="s">
        <v>406</v>
      </c>
      <c r="DO7" s="1" t="s">
        <v>415</v>
      </c>
      <c r="DP7" s="1">
        <v>2</v>
      </c>
    </row>
    <row r="8" spans="1:120" x14ac:dyDescent="0.2">
      <c r="A8" s="1" t="s">
        <v>406</v>
      </c>
      <c r="B8" s="1" t="s">
        <v>409</v>
      </c>
      <c r="C8" s="72" t="s">
        <v>410</v>
      </c>
      <c r="D8" s="7">
        <v>20</v>
      </c>
      <c r="E8" s="7">
        <v>5</v>
      </c>
      <c r="G8" s="1" t="s">
        <v>15</v>
      </c>
      <c r="H8" s="1">
        <v>1</v>
      </c>
      <c r="I8" s="6">
        <v>0.9</v>
      </c>
      <c r="K8" s="1" t="s">
        <v>610</v>
      </c>
      <c r="L8" s="15">
        <f t="shared" ref="L8:Q16" si="0">ROUND(L22*(1-$L$3),4)</f>
        <v>0.2157</v>
      </c>
      <c r="M8" s="15">
        <f t="shared" si="0"/>
        <v>0.25240000000000001</v>
      </c>
      <c r="N8" s="15">
        <f t="shared" si="0"/>
        <v>0.24030000000000001</v>
      </c>
      <c r="O8" s="15">
        <f t="shared" si="0"/>
        <v>0.28120000000000001</v>
      </c>
      <c r="P8" s="15">
        <f t="shared" si="0"/>
        <v>0.27729999999999999</v>
      </c>
      <c r="Q8" s="15">
        <f t="shared" si="0"/>
        <v>0.32450000000000001</v>
      </c>
      <c r="W8" s="10">
        <f>X7+1</f>
        <v>100000001</v>
      </c>
      <c r="X8" s="10"/>
      <c r="Y8" s="6"/>
      <c r="AA8" s="27">
        <v>75000</v>
      </c>
      <c r="AB8" s="1">
        <v>0.63</v>
      </c>
      <c r="AC8" s="27">
        <v>75000</v>
      </c>
      <c r="AD8" s="1">
        <v>0.79</v>
      </c>
      <c r="AE8" s="27">
        <v>75000</v>
      </c>
      <c r="AF8" s="6">
        <v>0.86</v>
      </c>
      <c r="AH8" s="2">
        <v>6</v>
      </c>
      <c r="AI8" s="6">
        <v>1</v>
      </c>
      <c r="AK8" s="1" t="s">
        <v>633</v>
      </c>
      <c r="AL8" s="6">
        <v>1.1000000000000001</v>
      </c>
      <c r="AN8" s="11" t="s">
        <v>97</v>
      </c>
      <c r="AO8" s="12" t="s">
        <v>71</v>
      </c>
      <c r="AQ8" s="27">
        <v>25000</v>
      </c>
      <c r="AR8" s="76">
        <v>0.57899999999999996</v>
      </c>
      <c r="AT8" s="2">
        <v>5</v>
      </c>
      <c r="AU8" s="15">
        <v>0.01</v>
      </c>
      <c r="AV8" s="15">
        <v>1.4999999999999999E-2</v>
      </c>
      <c r="BD8" s="1" t="s">
        <v>406</v>
      </c>
      <c r="BE8" s="1" t="s">
        <v>620</v>
      </c>
      <c r="BF8" s="72" t="s">
        <v>635</v>
      </c>
      <c r="BG8" s="78">
        <v>59.25</v>
      </c>
      <c r="BH8" s="78">
        <v>59.25</v>
      </c>
      <c r="BI8" s="78">
        <v>65.209999999999994</v>
      </c>
      <c r="BJ8" s="78">
        <v>75.81</v>
      </c>
      <c r="BK8" s="78">
        <v>75.81</v>
      </c>
      <c r="BL8" s="78">
        <v>78.989999999999995</v>
      </c>
      <c r="BM8" s="78">
        <v>81.349999999999994</v>
      </c>
      <c r="BN8" s="78">
        <v>81.349999999999994</v>
      </c>
      <c r="BO8" s="78">
        <v>85.3</v>
      </c>
      <c r="BP8" s="78"/>
      <c r="BQ8" s="23">
        <v>0.06</v>
      </c>
      <c r="BR8" s="23">
        <v>0.46</v>
      </c>
      <c r="BT8" s="283" t="s">
        <v>310</v>
      </c>
      <c r="BU8" s="283"/>
      <c r="BV8" s="283"/>
      <c r="BW8" s="283"/>
      <c r="CF8" s="1" t="s">
        <v>401</v>
      </c>
      <c r="CG8" s="1" t="s">
        <v>417</v>
      </c>
      <c r="CH8" s="72"/>
      <c r="CI8" s="81">
        <v>1</v>
      </c>
      <c r="CK8" s="1" t="s">
        <v>301</v>
      </c>
      <c r="CL8" s="26">
        <v>0.25</v>
      </c>
      <c r="CR8" s="1" t="s">
        <v>279</v>
      </c>
      <c r="CS8" s="20">
        <v>3.5000000000000003E-2</v>
      </c>
      <c r="DD8" s="1" t="s">
        <v>610</v>
      </c>
      <c r="DE8" s="6">
        <f t="shared" ref="DE8:DH16" si="1">ROUND(DE22*(1-$DE$3),4)</f>
        <v>0.32629999999999998</v>
      </c>
      <c r="DF8" s="6">
        <f t="shared" si="1"/>
        <v>0.38429999999999997</v>
      </c>
      <c r="DG8" s="7" t="e">
        <f t="shared" si="1"/>
        <v>#N/A</v>
      </c>
      <c r="DH8" s="7" t="e">
        <f t="shared" si="1"/>
        <v>#N/A</v>
      </c>
      <c r="DN8" s="1" t="s">
        <v>406</v>
      </c>
      <c r="DO8" s="1" t="s">
        <v>620</v>
      </c>
      <c r="DP8" s="1">
        <v>2</v>
      </c>
    </row>
    <row r="9" spans="1:120" x14ac:dyDescent="0.2">
      <c r="A9" s="1" t="s">
        <v>468</v>
      </c>
      <c r="B9" s="1" t="s">
        <v>66</v>
      </c>
      <c r="C9" s="39" t="s">
        <v>471</v>
      </c>
      <c r="D9" s="1">
        <v>47</v>
      </c>
      <c r="E9" s="7">
        <v>2</v>
      </c>
      <c r="G9" s="1" t="s">
        <v>18</v>
      </c>
      <c r="H9" s="1">
        <v>4</v>
      </c>
      <c r="I9" s="6">
        <v>1.1000000000000001</v>
      </c>
      <c r="J9" s="13"/>
      <c r="K9" s="1" t="s">
        <v>611</v>
      </c>
      <c r="L9" s="15">
        <f t="shared" si="0"/>
        <v>0.2157</v>
      </c>
      <c r="M9" s="15">
        <f t="shared" si="0"/>
        <v>0.25240000000000001</v>
      </c>
      <c r="N9" s="15">
        <f t="shared" si="0"/>
        <v>0.24030000000000001</v>
      </c>
      <c r="O9" s="15">
        <f t="shared" si="0"/>
        <v>0.28120000000000001</v>
      </c>
      <c r="P9" s="15">
        <f t="shared" si="0"/>
        <v>0.27729999999999999</v>
      </c>
      <c r="Q9" s="15">
        <f t="shared" si="0"/>
        <v>0.32450000000000001</v>
      </c>
      <c r="AA9" s="27">
        <v>100000</v>
      </c>
      <c r="AB9" s="1">
        <v>0.57999999999999996</v>
      </c>
      <c r="AC9" s="27">
        <v>100000</v>
      </c>
      <c r="AD9" s="1">
        <v>0.75</v>
      </c>
      <c r="AE9" s="27">
        <v>100000</v>
      </c>
      <c r="AF9" s="1">
        <v>0.83</v>
      </c>
      <c r="AH9" s="2">
        <v>7</v>
      </c>
      <c r="AI9" s="6">
        <v>1.1499999999999999</v>
      </c>
      <c r="AQ9" s="27">
        <v>50000</v>
      </c>
      <c r="AR9" s="76">
        <v>0.57899999999999996</v>
      </c>
      <c r="AT9" s="2">
        <v>6</v>
      </c>
      <c r="AU9" s="15">
        <v>1.4999999999999999E-2</v>
      </c>
      <c r="AV9" s="15">
        <v>2.5000000000000001E-2</v>
      </c>
      <c r="BD9" s="1" t="s">
        <v>401</v>
      </c>
      <c r="BE9" s="1" t="s">
        <v>417</v>
      </c>
      <c r="BF9" s="72" t="s">
        <v>418</v>
      </c>
      <c r="BG9" s="78">
        <v>59.25</v>
      </c>
      <c r="BH9" s="78">
        <v>59.25</v>
      </c>
      <c r="BI9" s="78">
        <v>65.209999999999994</v>
      </c>
      <c r="BJ9" s="78">
        <v>75.81</v>
      </c>
      <c r="BK9" s="78">
        <v>75.81</v>
      </c>
      <c r="BL9" s="78">
        <v>78.989999999999995</v>
      </c>
      <c r="BM9" s="78">
        <v>81.349999999999994</v>
      </c>
      <c r="BN9" s="78">
        <v>81.349999999999994</v>
      </c>
      <c r="BO9" s="78">
        <v>85.3</v>
      </c>
      <c r="BP9" s="78"/>
      <c r="BQ9" s="23">
        <v>7.0000000000000007E-2</v>
      </c>
      <c r="BR9" s="23">
        <v>0.49</v>
      </c>
      <c r="BU9" s="27"/>
      <c r="CF9" s="1" t="s">
        <v>401</v>
      </c>
      <c r="CG9" s="1" t="s">
        <v>419</v>
      </c>
      <c r="CH9" s="72"/>
      <c r="CI9" s="81">
        <v>1</v>
      </c>
      <c r="CK9" s="1" t="s">
        <v>237</v>
      </c>
      <c r="CL9" s="26">
        <v>0.25</v>
      </c>
      <c r="CR9" s="1" t="s">
        <v>627</v>
      </c>
      <c r="CS9" s="82">
        <v>0.21</v>
      </c>
      <c r="DD9" s="1" t="s">
        <v>611</v>
      </c>
      <c r="DE9" s="6">
        <f t="shared" si="1"/>
        <v>0.32629999999999998</v>
      </c>
      <c r="DF9" s="6">
        <f t="shared" si="1"/>
        <v>0.38429999999999997</v>
      </c>
      <c r="DG9" s="7" t="e">
        <f t="shared" si="1"/>
        <v>#N/A</v>
      </c>
      <c r="DH9" s="7" t="e">
        <f t="shared" si="1"/>
        <v>#N/A</v>
      </c>
      <c r="DN9" s="1" t="s">
        <v>401</v>
      </c>
      <c r="DO9" s="1" t="s">
        <v>417</v>
      </c>
      <c r="DP9" s="1">
        <v>1</v>
      </c>
    </row>
    <row r="10" spans="1:120" x14ac:dyDescent="0.2">
      <c r="A10" s="1" t="s">
        <v>536</v>
      </c>
      <c r="B10" s="1" t="s">
        <v>154</v>
      </c>
      <c r="C10" s="39" t="s">
        <v>539</v>
      </c>
      <c r="D10" s="1">
        <v>7</v>
      </c>
      <c r="E10" s="7">
        <v>1</v>
      </c>
      <c r="G10" s="1" t="s">
        <v>21</v>
      </c>
      <c r="H10" s="1">
        <v>3</v>
      </c>
      <c r="I10" s="6">
        <v>1</v>
      </c>
      <c r="K10" s="1" t="s">
        <v>612</v>
      </c>
      <c r="L10" s="15">
        <f t="shared" si="0"/>
        <v>0.16020000000000001</v>
      </c>
      <c r="M10" s="15">
        <f t="shared" si="0"/>
        <v>0.1875</v>
      </c>
      <c r="N10" s="15">
        <f t="shared" si="0"/>
        <v>0.18490000000000001</v>
      </c>
      <c r="O10" s="15">
        <f t="shared" si="0"/>
        <v>0.21629999999999999</v>
      </c>
      <c r="P10" s="15">
        <f t="shared" si="0"/>
        <v>0.24030000000000001</v>
      </c>
      <c r="Q10" s="15">
        <f t="shared" si="0"/>
        <v>0.28120000000000001</v>
      </c>
      <c r="AH10" s="2">
        <v>8</v>
      </c>
      <c r="AI10" s="6">
        <v>1.1499999999999999</v>
      </c>
      <c r="AT10" s="2">
        <v>7</v>
      </c>
      <c r="AU10" s="15">
        <v>1.4999999999999999E-2</v>
      </c>
      <c r="AV10" s="15">
        <v>2.5000000000000001E-2</v>
      </c>
      <c r="BD10" s="1" t="s">
        <v>401</v>
      </c>
      <c r="BE10" s="1" t="s">
        <v>419</v>
      </c>
      <c r="BF10" s="72" t="s">
        <v>420</v>
      </c>
      <c r="BG10" s="78">
        <v>59.25</v>
      </c>
      <c r="BH10" s="78">
        <v>59.25</v>
      </c>
      <c r="BI10" s="78">
        <v>65.209999999999994</v>
      </c>
      <c r="BJ10" s="78">
        <v>75.81</v>
      </c>
      <c r="BK10" s="78">
        <v>75.81</v>
      </c>
      <c r="BL10" s="78">
        <v>78.989999999999995</v>
      </c>
      <c r="BM10" s="78">
        <v>81.349999999999994</v>
      </c>
      <c r="BN10" s="78">
        <v>81.349999999999994</v>
      </c>
      <c r="BO10" s="78">
        <v>85.3</v>
      </c>
      <c r="BP10" s="78"/>
      <c r="BQ10" s="23">
        <v>0.08</v>
      </c>
      <c r="BR10" s="23">
        <v>0.51</v>
      </c>
      <c r="BT10" s="1" t="s">
        <v>222</v>
      </c>
      <c r="BU10" s="27">
        <v>100000</v>
      </c>
      <c r="CF10" s="1" t="s">
        <v>401</v>
      </c>
      <c r="CG10" s="1" t="s">
        <v>421</v>
      </c>
      <c r="CH10" s="72"/>
      <c r="CI10" s="81">
        <v>1</v>
      </c>
      <c r="CK10" s="1" t="s">
        <v>303</v>
      </c>
      <c r="CL10" s="32">
        <v>0.25</v>
      </c>
      <c r="CR10" s="1" t="s">
        <v>628</v>
      </c>
      <c r="CS10" s="82">
        <v>1.7</v>
      </c>
      <c r="DD10" s="1" t="s">
        <v>612</v>
      </c>
      <c r="DE10" s="6">
        <f t="shared" si="1"/>
        <v>0.2828</v>
      </c>
      <c r="DF10" s="6">
        <f t="shared" si="1"/>
        <v>0.32629999999999998</v>
      </c>
      <c r="DG10" s="6">
        <f t="shared" si="1"/>
        <v>0.2175</v>
      </c>
      <c r="DH10" s="6">
        <f t="shared" si="1"/>
        <v>0.26100000000000001</v>
      </c>
      <c r="DN10" s="1" t="s">
        <v>401</v>
      </c>
      <c r="DO10" s="1" t="s">
        <v>419</v>
      </c>
      <c r="DP10" s="1">
        <v>1</v>
      </c>
    </row>
    <row r="11" spans="1:120" x14ac:dyDescent="0.2">
      <c r="A11" s="1" t="s">
        <v>468</v>
      </c>
      <c r="B11" s="1" t="s">
        <v>153</v>
      </c>
      <c r="C11" s="39" t="s">
        <v>472</v>
      </c>
      <c r="D11" s="1">
        <v>3</v>
      </c>
      <c r="E11" s="7">
        <v>2</v>
      </c>
      <c r="G11" s="1" t="s">
        <v>23</v>
      </c>
      <c r="H11" s="1">
        <v>1</v>
      </c>
      <c r="I11" s="6">
        <v>0.9</v>
      </c>
      <c r="K11" s="1" t="s">
        <v>613</v>
      </c>
      <c r="L11" s="15">
        <f t="shared" si="0"/>
        <v>0.16020000000000001</v>
      </c>
      <c r="M11" s="15">
        <f t="shared" si="0"/>
        <v>0.1875</v>
      </c>
      <c r="N11" s="15">
        <f t="shared" si="0"/>
        <v>0.18490000000000001</v>
      </c>
      <c r="O11" s="15">
        <f t="shared" si="0"/>
        <v>0.21629999999999999</v>
      </c>
      <c r="P11" s="15">
        <f t="shared" si="0"/>
        <v>0.24030000000000001</v>
      </c>
      <c r="Q11" s="15">
        <f t="shared" si="0"/>
        <v>0.28120000000000001</v>
      </c>
      <c r="AH11" s="2">
        <v>9</v>
      </c>
      <c r="AI11" s="6">
        <v>1.3</v>
      </c>
      <c r="BD11" s="1" t="s">
        <v>401</v>
      </c>
      <c r="BE11" s="1" t="s">
        <v>421</v>
      </c>
      <c r="BF11" s="72" t="s">
        <v>422</v>
      </c>
      <c r="BG11" s="78">
        <v>59.25</v>
      </c>
      <c r="BH11" s="78">
        <v>59.25</v>
      </c>
      <c r="BI11" s="78">
        <v>65.209999999999994</v>
      </c>
      <c r="BJ11" s="78">
        <v>75.81</v>
      </c>
      <c r="BK11" s="78">
        <v>75.81</v>
      </c>
      <c r="BL11" s="78">
        <v>78.989999999999995</v>
      </c>
      <c r="BM11" s="78">
        <v>81.349999999999994</v>
      </c>
      <c r="BN11" s="78">
        <v>81.349999999999994</v>
      </c>
      <c r="BO11" s="78">
        <v>85.3</v>
      </c>
      <c r="BP11" s="78"/>
      <c r="BQ11" s="23">
        <v>0.09</v>
      </c>
      <c r="BR11" s="23">
        <v>0.53</v>
      </c>
      <c r="BT11" s="1" t="s">
        <v>223</v>
      </c>
      <c r="BU11" s="27">
        <v>100000</v>
      </c>
      <c r="CF11" s="1" t="s">
        <v>401</v>
      </c>
      <c r="CG11" s="1" t="s">
        <v>423</v>
      </c>
      <c r="CH11" s="72"/>
      <c r="CI11" s="81">
        <v>1</v>
      </c>
      <c r="CK11" s="1" t="s">
        <v>239</v>
      </c>
      <c r="CL11" s="3">
        <v>0.1</v>
      </c>
      <c r="CR11" s="1" t="s">
        <v>629</v>
      </c>
      <c r="CS11" s="82">
        <v>0.18</v>
      </c>
      <c r="DD11" s="1" t="s">
        <v>613</v>
      </c>
      <c r="DE11" s="6">
        <f t="shared" si="1"/>
        <v>0.2828</v>
      </c>
      <c r="DF11" s="6">
        <f t="shared" si="1"/>
        <v>0.32629999999999998</v>
      </c>
      <c r="DG11" s="6">
        <f t="shared" si="1"/>
        <v>0.2175</v>
      </c>
      <c r="DH11" s="6">
        <f t="shared" si="1"/>
        <v>0.26100000000000001</v>
      </c>
      <c r="DN11" s="1" t="s">
        <v>401</v>
      </c>
      <c r="DO11" s="1" t="s">
        <v>421</v>
      </c>
      <c r="DP11" s="1">
        <v>1</v>
      </c>
    </row>
    <row r="12" spans="1:120" x14ac:dyDescent="0.2">
      <c r="A12" s="1" t="s">
        <v>496</v>
      </c>
      <c r="B12" s="1" t="s">
        <v>152</v>
      </c>
      <c r="C12" s="39" t="s">
        <v>499</v>
      </c>
      <c r="D12" s="1">
        <v>48</v>
      </c>
      <c r="E12" s="7">
        <v>1</v>
      </c>
      <c r="G12" s="1" t="s">
        <v>26</v>
      </c>
      <c r="H12" s="1">
        <v>1</v>
      </c>
      <c r="I12" s="6">
        <v>0.9</v>
      </c>
      <c r="K12" s="1" t="s">
        <v>614</v>
      </c>
      <c r="L12" s="15">
        <f t="shared" si="0"/>
        <v>0.12939999999999999</v>
      </c>
      <c r="M12" s="15">
        <f t="shared" si="0"/>
        <v>0.15140000000000001</v>
      </c>
      <c r="N12" s="15">
        <f t="shared" si="0"/>
        <v>0.15409999999999999</v>
      </c>
      <c r="O12" s="15">
        <f t="shared" si="0"/>
        <v>0.18029999999999999</v>
      </c>
      <c r="P12" s="15">
        <f t="shared" si="0"/>
        <v>0.18490000000000001</v>
      </c>
      <c r="Q12" s="15">
        <f t="shared" si="0"/>
        <v>0.21629999999999999</v>
      </c>
      <c r="AA12" s="84"/>
      <c r="AC12" s="84"/>
      <c r="AE12" s="84"/>
      <c r="AH12" s="2">
        <v>10</v>
      </c>
      <c r="AI12" s="6">
        <v>1.3</v>
      </c>
      <c r="AT12" s="283" t="s">
        <v>709</v>
      </c>
      <c r="AU12" s="283"/>
      <c r="AV12" s="283"/>
      <c r="BD12" s="1" t="s">
        <v>401</v>
      </c>
      <c r="BE12" s="1" t="s">
        <v>423</v>
      </c>
      <c r="BF12" s="72" t="s">
        <v>424</v>
      </c>
      <c r="BG12" s="78">
        <v>59.25</v>
      </c>
      <c r="BH12" s="78">
        <v>59.25</v>
      </c>
      <c r="BI12" s="78">
        <v>65.209999999999994</v>
      </c>
      <c r="BJ12" s="78">
        <v>75.81</v>
      </c>
      <c r="BK12" s="78">
        <v>75.81</v>
      </c>
      <c r="BL12" s="78">
        <v>78.989999999999995</v>
      </c>
      <c r="BM12" s="78">
        <v>81.349999999999994</v>
      </c>
      <c r="BN12" s="78">
        <v>81.349999999999994</v>
      </c>
      <c r="BO12" s="78">
        <v>85.3</v>
      </c>
      <c r="BP12" s="78"/>
      <c r="BQ12" s="23">
        <v>0.1</v>
      </c>
      <c r="BR12" s="23">
        <v>0.55000000000000004</v>
      </c>
      <c r="CF12" s="1" t="s">
        <v>401</v>
      </c>
      <c r="CG12" s="1" t="s">
        <v>425</v>
      </c>
      <c r="CH12" s="72"/>
      <c r="CI12" s="81">
        <v>1</v>
      </c>
      <c r="CK12" s="1" t="s">
        <v>240</v>
      </c>
      <c r="CL12" s="3">
        <v>0.1</v>
      </c>
      <c r="DD12" s="1" t="s">
        <v>614</v>
      </c>
      <c r="DE12" s="6">
        <f t="shared" si="1"/>
        <v>0.2175</v>
      </c>
      <c r="DF12" s="6">
        <f t="shared" si="1"/>
        <v>0.26100000000000001</v>
      </c>
      <c r="DG12" s="6">
        <f t="shared" si="1"/>
        <v>0.18129999999999999</v>
      </c>
      <c r="DH12" s="6">
        <f t="shared" si="1"/>
        <v>0.21029999999999999</v>
      </c>
      <c r="DN12" s="1" t="s">
        <v>401</v>
      </c>
      <c r="DO12" s="1" t="s">
        <v>423</v>
      </c>
      <c r="DP12" s="1">
        <v>1</v>
      </c>
    </row>
    <row r="13" spans="1:120" x14ac:dyDescent="0.2">
      <c r="A13" s="1" t="s">
        <v>496</v>
      </c>
      <c r="B13" s="1" t="s">
        <v>151</v>
      </c>
      <c r="C13" s="39" t="s">
        <v>500</v>
      </c>
      <c r="D13" s="1">
        <v>10</v>
      </c>
      <c r="E13" s="7">
        <v>2</v>
      </c>
      <c r="G13" s="1" t="s">
        <v>29</v>
      </c>
      <c r="H13" s="1">
        <v>1</v>
      </c>
      <c r="I13" s="6">
        <v>0.9</v>
      </c>
      <c r="K13" s="1" t="s">
        <v>615</v>
      </c>
      <c r="L13" s="15">
        <f t="shared" si="0"/>
        <v>9.2399999999999996E-2</v>
      </c>
      <c r="M13" s="15">
        <f t="shared" si="0"/>
        <v>0.1082</v>
      </c>
      <c r="N13" s="15">
        <f t="shared" si="0"/>
        <v>0.1109</v>
      </c>
      <c r="O13" s="15">
        <f t="shared" si="0"/>
        <v>0.1298</v>
      </c>
      <c r="P13" s="15">
        <f t="shared" si="0"/>
        <v>0.12939999999999999</v>
      </c>
      <c r="Q13" s="15">
        <f t="shared" si="0"/>
        <v>0.15140000000000001</v>
      </c>
      <c r="AA13" s="10"/>
      <c r="AB13" s="76"/>
      <c r="AC13" s="10"/>
      <c r="AD13" s="76"/>
      <c r="AE13" s="10"/>
      <c r="AF13" s="76"/>
      <c r="AI13" s="6"/>
      <c r="AT13" s="196" t="s">
        <v>182</v>
      </c>
      <c r="AU13" s="288" t="s">
        <v>710</v>
      </c>
      <c r="AV13" s="289"/>
      <c r="BD13" s="1" t="s">
        <v>401</v>
      </c>
      <c r="BE13" s="1" t="s">
        <v>425</v>
      </c>
      <c r="BF13" s="72" t="s">
        <v>426</v>
      </c>
      <c r="BG13" s="78">
        <v>59.25</v>
      </c>
      <c r="BH13" s="78">
        <v>59.25</v>
      </c>
      <c r="BI13" s="78">
        <v>65.209999999999994</v>
      </c>
      <c r="BJ13" s="78">
        <v>75.81</v>
      </c>
      <c r="BK13" s="78">
        <v>75.81</v>
      </c>
      <c r="BL13" s="78">
        <v>78.989999999999995</v>
      </c>
      <c r="BM13" s="78">
        <v>81.349999999999994</v>
      </c>
      <c r="BN13" s="78">
        <v>81.349999999999994</v>
      </c>
      <c r="BO13" s="78">
        <v>85.3</v>
      </c>
      <c r="BP13" s="78"/>
      <c r="BQ13" s="23">
        <v>0.11</v>
      </c>
      <c r="BR13" s="23">
        <v>0.56999999999999995</v>
      </c>
      <c r="CF13" s="1" t="s">
        <v>401</v>
      </c>
      <c r="CG13" s="1" t="s">
        <v>427</v>
      </c>
      <c r="CH13" s="72"/>
      <c r="CI13" s="81">
        <v>1</v>
      </c>
      <c r="CK13" s="1" t="s">
        <v>241</v>
      </c>
      <c r="CL13" s="3">
        <v>0.1</v>
      </c>
      <c r="DD13" s="1" t="s">
        <v>615</v>
      </c>
      <c r="DE13" s="6">
        <f t="shared" si="1"/>
        <v>0.15229999999999999</v>
      </c>
      <c r="DF13" s="6">
        <f t="shared" si="1"/>
        <v>0.17399999999999999</v>
      </c>
      <c r="DG13" s="6">
        <f t="shared" si="1"/>
        <v>0.1305</v>
      </c>
      <c r="DH13" s="6">
        <f t="shared" si="1"/>
        <v>0.15229999999999999</v>
      </c>
      <c r="DN13" s="1" t="s">
        <v>401</v>
      </c>
      <c r="DO13" s="1" t="s">
        <v>425</v>
      </c>
      <c r="DP13" s="1">
        <v>1</v>
      </c>
    </row>
    <row r="14" spans="1:120" x14ac:dyDescent="0.2">
      <c r="A14" s="1" t="s">
        <v>401</v>
      </c>
      <c r="B14" s="1" t="s">
        <v>419</v>
      </c>
      <c r="C14" s="39" t="s">
        <v>420</v>
      </c>
      <c r="D14" s="7">
        <v>18</v>
      </c>
      <c r="E14" s="7">
        <v>5</v>
      </c>
      <c r="G14" s="1" t="s">
        <v>31</v>
      </c>
      <c r="H14" s="1">
        <v>4</v>
      </c>
      <c r="I14" s="6">
        <v>1.1000000000000001</v>
      </c>
      <c r="K14" s="1" t="s">
        <v>616</v>
      </c>
      <c r="L14" s="15">
        <f t="shared" si="0"/>
        <v>8.0100000000000005E-2</v>
      </c>
      <c r="M14" s="15">
        <f t="shared" si="0"/>
        <v>9.3700000000000006E-2</v>
      </c>
      <c r="N14" s="15">
        <f t="shared" si="0"/>
        <v>9.2399999999999996E-2</v>
      </c>
      <c r="O14" s="15">
        <f t="shared" si="0"/>
        <v>0.1082</v>
      </c>
      <c r="P14" s="15">
        <f t="shared" si="0"/>
        <v>0.1171</v>
      </c>
      <c r="Q14" s="15">
        <f t="shared" si="0"/>
        <v>0.13700000000000001</v>
      </c>
      <c r="AA14" s="10"/>
      <c r="AB14" s="76"/>
      <c r="AC14" s="10"/>
      <c r="AD14" s="76"/>
      <c r="AE14" s="10"/>
      <c r="AF14" s="76"/>
      <c r="AT14" s="196">
        <v>1</v>
      </c>
      <c r="AU14" s="1" t="s">
        <v>710</v>
      </c>
      <c r="BD14" s="1" t="s">
        <v>401</v>
      </c>
      <c r="BE14" s="1" t="s">
        <v>427</v>
      </c>
      <c r="BF14" s="72" t="s">
        <v>428</v>
      </c>
      <c r="BG14" s="78">
        <v>59.25</v>
      </c>
      <c r="BH14" s="78">
        <v>59.25</v>
      </c>
      <c r="BI14" s="78">
        <v>65.209999999999994</v>
      </c>
      <c r="BJ14" s="78">
        <v>75.81</v>
      </c>
      <c r="BK14" s="78">
        <v>75.81</v>
      </c>
      <c r="BL14" s="78">
        <v>78.989999999999995</v>
      </c>
      <c r="BM14" s="78">
        <v>81.349999999999994</v>
      </c>
      <c r="BN14" s="78">
        <v>81.349999999999994</v>
      </c>
      <c r="BO14" s="78">
        <v>85.3</v>
      </c>
      <c r="BP14" s="78"/>
      <c r="BQ14" s="23">
        <v>0.12</v>
      </c>
      <c r="BR14" s="23">
        <v>0.59</v>
      </c>
      <c r="CF14" s="1" t="s">
        <v>429</v>
      </c>
      <c r="CG14" s="1" t="s">
        <v>430</v>
      </c>
      <c r="CH14" s="72"/>
      <c r="CI14" s="81">
        <v>1</v>
      </c>
      <c r="CK14" s="1" t="s">
        <v>242</v>
      </c>
      <c r="CL14" s="3">
        <v>0.1</v>
      </c>
      <c r="DD14" s="1" t="s">
        <v>616</v>
      </c>
      <c r="DE14" s="6">
        <f t="shared" si="1"/>
        <v>0.13780000000000001</v>
      </c>
      <c r="DF14" s="6">
        <f t="shared" si="1"/>
        <v>0.1595</v>
      </c>
      <c r="DG14" s="6">
        <f t="shared" si="1"/>
        <v>0.10879999999999999</v>
      </c>
      <c r="DH14" s="6">
        <f t="shared" si="1"/>
        <v>0.1305</v>
      </c>
      <c r="DN14" s="1" t="s">
        <v>401</v>
      </c>
      <c r="DO14" s="1" t="s">
        <v>427</v>
      </c>
      <c r="DP14" s="1">
        <v>1</v>
      </c>
    </row>
    <row r="15" spans="1:120" x14ac:dyDescent="0.2">
      <c r="A15" s="1" t="s">
        <v>468</v>
      </c>
      <c r="B15" s="1" t="s">
        <v>150</v>
      </c>
      <c r="C15" s="39" t="s">
        <v>473</v>
      </c>
      <c r="D15" s="1">
        <v>3</v>
      </c>
      <c r="E15" s="7">
        <v>2</v>
      </c>
      <c r="G15" s="1" t="s">
        <v>34</v>
      </c>
      <c r="H15" s="1">
        <v>1</v>
      </c>
      <c r="I15" s="6">
        <v>0.9</v>
      </c>
      <c r="K15" s="1" t="s">
        <v>617</v>
      </c>
      <c r="L15" s="15">
        <f t="shared" si="0"/>
        <v>8.0100000000000005E-2</v>
      </c>
      <c r="M15" s="15">
        <f t="shared" si="0"/>
        <v>9.3700000000000006E-2</v>
      </c>
      <c r="N15" s="15">
        <f t="shared" si="0"/>
        <v>9.2399999999999996E-2</v>
      </c>
      <c r="O15" s="15">
        <f t="shared" si="0"/>
        <v>0.1082</v>
      </c>
      <c r="P15" s="15">
        <f t="shared" si="0"/>
        <v>0.1171</v>
      </c>
      <c r="Q15" s="15">
        <f t="shared" si="0"/>
        <v>0.13700000000000001</v>
      </c>
      <c r="AA15" s="10"/>
      <c r="AB15" s="76"/>
      <c r="AC15" s="10"/>
      <c r="AD15" s="76"/>
      <c r="AE15" s="10"/>
      <c r="AF15" s="76"/>
      <c r="AT15" s="196">
        <v>2</v>
      </c>
      <c r="BD15" s="1" t="s">
        <v>429</v>
      </c>
      <c r="BE15" s="1" t="s">
        <v>430</v>
      </c>
      <c r="BF15" s="72" t="s">
        <v>431</v>
      </c>
      <c r="BG15" s="78">
        <v>108.05</v>
      </c>
      <c r="BH15" s="78">
        <v>108.05</v>
      </c>
      <c r="BI15" s="78">
        <v>114.76</v>
      </c>
      <c r="BJ15" s="78">
        <v>132.15</v>
      </c>
      <c r="BK15" s="78">
        <v>132.15</v>
      </c>
      <c r="BL15" s="78">
        <v>137.49</v>
      </c>
      <c r="BM15" s="78">
        <v>140.13</v>
      </c>
      <c r="BN15" s="78">
        <v>140.13</v>
      </c>
      <c r="BO15" s="78">
        <v>145.41</v>
      </c>
      <c r="BP15" s="78"/>
      <c r="BQ15" s="23">
        <v>0.13</v>
      </c>
      <c r="BR15" s="23">
        <v>0.6</v>
      </c>
      <c r="CF15" s="1" t="s">
        <v>429</v>
      </c>
      <c r="CG15" s="1" t="s">
        <v>148</v>
      </c>
      <c r="CI15" s="31">
        <f t="shared" ref="CI15:CI23" si="2">IF(CH15=1,1.1,1)</f>
        <v>1</v>
      </c>
      <c r="CK15" s="1" t="s">
        <v>243</v>
      </c>
      <c r="CL15" s="3">
        <v>0.1</v>
      </c>
      <c r="DD15" s="1" t="s">
        <v>617</v>
      </c>
      <c r="DE15" s="6">
        <f t="shared" si="1"/>
        <v>0.13780000000000001</v>
      </c>
      <c r="DF15" s="6">
        <f t="shared" si="1"/>
        <v>0.1595</v>
      </c>
      <c r="DG15" s="6">
        <f t="shared" si="1"/>
        <v>0.10879999999999999</v>
      </c>
      <c r="DH15" s="6">
        <f t="shared" si="1"/>
        <v>0.1305</v>
      </c>
      <c r="DN15" s="1" t="s">
        <v>429</v>
      </c>
      <c r="DO15" s="1" t="s">
        <v>430</v>
      </c>
      <c r="DP15" s="1">
        <v>1</v>
      </c>
    </row>
    <row r="16" spans="1:120" x14ac:dyDescent="0.2">
      <c r="A16" s="1" t="s">
        <v>542</v>
      </c>
      <c r="B16" s="1" t="s">
        <v>149</v>
      </c>
      <c r="C16" s="39" t="s">
        <v>547</v>
      </c>
      <c r="D16" s="1">
        <v>44</v>
      </c>
      <c r="E16" s="7">
        <v>2</v>
      </c>
      <c r="G16" s="1" t="s">
        <v>37</v>
      </c>
      <c r="H16" s="1">
        <v>2</v>
      </c>
      <c r="I16" s="6">
        <v>0.95</v>
      </c>
      <c r="K16" s="1" t="s">
        <v>618</v>
      </c>
      <c r="L16" s="15">
        <f t="shared" si="0"/>
        <v>8.0100000000000005E-2</v>
      </c>
      <c r="M16" s="15">
        <f t="shared" si="0"/>
        <v>9.3700000000000006E-2</v>
      </c>
      <c r="N16" s="15">
        <f t="shared" si="0"/>
        <v>9.2399999999999996E-2</v>
      </c>
      <c r="O16" s="15">
        <f t="shared" si="0"/>
        <v>0.1082</v>
      </c>
      <c r="P16" s="15">
        <f t="shared" si="0"/>
        <v>0.1171</v>
      </c>
      <c r="Q16" s="15">
        <f t="shared" si="0"/>
        <v>0.13700000000000001</v>
      </c>
      <c r="AT16" s="196">
        <v>3</v>
      </c>
      <c r="BD16" s="1" t="s">
        <v>429</v>
      </c>
      <c r="BE16" s="1" t="s">
        <v>148</v>
      </c>
      <c r="BF16" s="72" t="s">
        <v>432</v>
      </c>
      <c r="BG16" s="78">
        <v>134.80000000000001</v>
      </c>
      <c r="BH16" s="78">
        <v>134.80000000000001</v>
      </c>
      <c r="BI16" s="78">
        <v>142.22</v>
      </c>
      <c r="BJ16" s="78">
        <v>158.79</v>
      </c>
      <c r="BK16" s="78">
        <v>158.79</v>
      </c>
      <c r="BL16" s="78">
        <v>169.91</v>
      </c>
      <c r="BM16" s="78">
        <v>167.32</v>
      </c>
      <c r="BN16" s="78">
        <v>167.32</v>
      </c>
      <c r="BO16" s="78">
        <v>173.7</v>
      </c>
      <c r="BP16" s="78"/>
      <c r="BQ16" s="23">
        <v>0.14000000000000001</v>
      </c>
      <c r="BR16" s="23">
        <v>0.61</v>
      </c>
      <c r="CF16" s="1" t="s">
        <v>429</v>
      </c>
      <c r="CG16" s="1" t="s">
        <v>140</v>
      </c>
      <c r="CI16" s="31">
        <f t="shared" si="2"/>
        <v>1</v>
      </c>
      <c r="CK16" s="1" t="s">
        <v>302</v>
      </c>
      <c r="CL16" s="3">
        <v>0.1</v>
      </c>
      <c r="DD16" s="1" t="s">
        <v>618</v>
      </c>
      <c r="DE16" s="6">
        <f t="shared" si="1"/>
        <v>0.13780000000000001</v>
      </c>
      <c r="DF16" s="6">
        <f t="shared" si="1"/>
        <v>0.1595</v>
      </c>
      <c r="DG16" s="6">
        <f t="shared" si="1"/>
        <v>0.10879999999999999</v>
      </c>
      <c r="DH16" s="6">
        <f t="shared" si="1"/>
        <v>0.1305</v>
      </c>
      <c r="DN16" s="1" t="s">
        <v>429</v>
      </c>
      <c r="DO16" s="1" t="s">
        <v>148</v>
      </c>
      <c r="DP16" s="1">
        <v>2</v>
      </c>
    </row>
    <row r="17" spans="1:120" x14ac:dyDescent="0.2">
      <c r="A17" s="1" t="s">
        <v>429</v>
      </c>
      <c r="B17" s="1" t="s">
        <v>148</v>
      </c>
      <c r="C17" s="39" t="s">
        <v>432</v>
      </c>
      <c r="D17" s="1">
        <v>22</v>
      </c>
      <c r="E17" s="7">
        <v>3</v>
      </c>
      <c r="G17" s="1" t="s">
        <v>39</v>
      </c>
      <c r="H17" s="1">
        <v>3</v>
      </c>
      <c r="I17" s="6">
        <v>1</v>
      </c>
      <c r="AT17" s="196">
        <v>4</v>
      </c>
      <c r="BD17" s="1" t="s">
        <v>429</v>
      </c>
      <c r="BE17" s="1" t="s">
        <v>140</v>
      </c>
      <c r="BF17" s="72" t="s">
        <v>433</v>
      </c>
      <c r="BG17" s="78">
        <v>112.94</v>
      </c>
      <c r="BH17" s="78">
        <v>112.94</v>
      </c>
      <c r="BI17" s="78">
        <v>118.44</v>
      </c>
      <c r="BJ17" s="78">
        <v>133.78</v>
      </c>
      <c r="BK17" s="78">
        <v>133.78</v>
      </c>
      <c r="BL17" s="78">
        <v>141.19</v>
      </c>
      <c r="BM17" s="78">
        <v>140.91</v>
      </c>
      <c r="BN17" s="78">
        <v>140.91</v>
      </c>
      <c r="BO17" s="78">
        <v>146.05000000000001</v>
      </c>
      <c r="BP17" s="78"/>
      <c r="BQ17" s="23">
        <v>0.15</v>
      </c>
      <c r="BR17" s="23">
        <v>0.63</v>
      </c>
      <c r="CF17" s="1" t="s">
        <v>429</v>
      </c>
      <c r="CG17" s="1" t="s">
        <v>139</v>
      </c>
      <c r="CI17" s="31">
        <f t="shared" si="2"/>
        <v>1</v>
      </c>
      <c r="CK17" s="1" t="s">
        <v>244</v>
      </c>
      <c r="CL17" s="3">
        <v>0.1</v>
      </c>
      <c r="DN17" s="1" t="s">
        <v>429</v>
      </c>
      <c r="DO17" s="1" t="s">
        <v>140</v>
      </c>
      <c r="DP17" s="1">
        <v>1</v>
      </c>
    </row>
    <row r="18" spans="1:120" x14ac:dyDescent="0.2">
      <c r="A18" s="1" t="s">
        <v>528</v>
      </c>
      <c r="B18" s="1" t="s">
        <v>147</v>
      </c>
      <c r="C18" s="39" t="s">
        <v>531</v>
      </c>
      <c r="D18" s="1">
        <v>10</v>
      </c>
      <c r="E18" s="7">
        <v>1</v>
      </c>
      <c r="G18" s="1" t="s">
        <v>41</v>
      </c>
      <c r="H18" s="1">
        <v>4</v>
      </c>
      <c r="I18" s="6">
        <v>1.1000000000000001</v>
      </c>
      <c r="L18" s="20"/>
      <c r="AT18" s="196">
        <v>5</v>
      </c>
      <c r="BD18" s="1" t="s">
        <v>429</v>
      </c>
      <c r="BE18" s="1" t="s">
        <v>139</v>
      </c>
      <c r="BF18" s="72" t="s">
        <v>434</v>
      </c>
      <c r="BG18" s="78">
        <v>108.05</v>
      </c>
      <c r="BH18" s="78">
        <v>108.05</v>
      </c>
      <c r="BI18" s="78">
        <v>114.76</v>
      </c>
      <c r="BJ18" s="78">
        <v>132.15</v>
      </c>
      <c r="BK18" s="78">
        <v>132.15</v>
      </c>
      <c r="BL18" s="78">
        <v>137.49</v>
      </c>
      <c r="BM18" s="78">
        <v>140.13</v>
      </c>
      <c r="BN18" s="78">
        <v>140.13</v>
      </c>
      <c r="BO18" s="78">
        <v>145.41</v>
      </c>
      <c r="BP18" s="78"/>
      <c r="BQ18" s="23">
        <v>0.16</v>
      </c>
      <c r="BR18" s="23">
        <v>0.64</v>
      </c>
      <c r="CF18" s="1" t="s">
        <v>429</v>
      </c>
      <c r="CG18" s="1" t="s">
        <v>136</v>
      </c>
      <c r="CI18" s="31">
        <f t="shared" si="2"/>
        <v>1</v>
      </c>
      <c r="CK18" s="1" t="s">
        <v>304</v>
      </c>
      <c r="CL18" s="3">
        <v>0.1</v>
      </c>
      <c r="DN18" s="1" t="s">
        <v>429</v>
      </c>
      <c r="DO18" s="1" t="s">
        <v>139</v>
      </c>
      <c r="DP18" s="1">
        <v>1</v>
      </c>
    </row>
    <row r="19" spans="1:120" x14ac:dyDescent="0.2">
      <c r="A19" s="1" t="s">
        <v>528</v>
      </c>
      <c r="B19" s="1" t="s">
        <v>146</v>
      </c>
      <c r="C19" s="39" t="s">
        <v>532</v>
      </c>
      <c r="D19" s="1">
        <v>22</v>
      </c>
      <c r="E19" s="7">
        <v>1</v>
      </c>
      <c r="G19" s="1" t="s">
        <v>43</v>
      </c>
      <c r="H19" s="1">
        <v>3</v>
      </c>
      <c r="I19" s="6">
        <v>1</v>
      </c>
      <c r="K19" s="283" t="s">
        <v>203</v>
      </c>
      <c r="L19" s="283"/>
      <c r="M19" s="283"/>
      <c r="N19" s="283"/>
      <c r="O19" s="283"/>
      <c r="P19" s="283"/>
      <c r="Q19" s="283"/>
      <c r="AT19" s="196">
        <v>6</v>
      </c>
      <c r="BD19" s="1" t="s">
        <v>429</v>
      </c>
      <c r="BE19" s="1" t="s">
        <v>136</v>
      </c>
      <c r="BF19" s="72" t="s">
        <v>435</v>
      </c>
      <c r="BG19" s="78">
        <v>59.25</v>
      </c>
      <c r="BH19" s="78">
        <v>59.25</v>
      </c>
      <c r="BI19" s="78">
        <v>65.209999999999994</v>
      </c>
      <c r="BJ19" s="78">
        <v>75.81</v>
      </c>
      <c r="BK19" s="78">
        <v>75.81</v>
      </c>
      <c r="BL19" s="78">
        <v>78.989999999999995</v>
      </c>
      <c r="BM19" s="78">
        <v>81.349999999999994</v>
      </c>
      <c r="BN19" s="78">
        <v>81.349999999999994</v>
      </c>
      <c r="BO19" s="78">
        <v>85.3</v>
      </c>
      <c r="BP19" s="78"/>
      <c r="BQ19" s="23">
        <v>0.17</v>
      </c>
      <c r="BR19" s="23">
        <v>0.65</v>
      </c>
      <c r="CF19" s="1" t="s">
        <v>429</v>
      </c>
      <c r="CG19" s="1" t="s">
        <v>126</v>
      </c>
      <c r="CI19" s="31">
        <f t="shared" si="2"/>
        <v>1</v>
      </c>
      <c r="CK19" s="1" t="s">
        <v>245</v>
      </c>
      <c r="CL19" s="26" t="s">
        <v>248</v>
      </c>
      <c r="DD19" s="284" t="s">
        <v>383</v>
      </c>
      <c r="DE19" s="284"/>
      <c r="DF19" s="284"/>
      <c r="DG19" s="284"/>
      <c r="DH19" s="284"/>
      <c r="DN19" s="1" t="s">
        <v>429</v>
      </c>
      <c r="DO19" s="1" t="s">
        <v>136</v>
      </c>
      <c r="DP19" s="1">
        <v>1</v>
      </c>
    </row>
    <row r="20" spans="1:120" x14ac:dyDescent="0.2">
      <c r="A20" s="1" t="s">
        <v>542</v>
      </c>
      <c r="B20" s="1" t="s">
        <v>145</v>
      </c>
      <c r="C20" s="39" t="s">
        <v>548</v>
      </c>
      <c r="D20" s="1">
        <v>9</v>
      </c>
      <c r="E20" s="7">
        <v>1</v>
      </c>
      <c r="G20" s="1" t="s">
        <v>45</v>
      </c>
      <c r="H20" s="1">
        <v>4</v>
      </c>
      <c r="I20" s="6">
        <v>1.1000000000000001</v>
      </c>
      <c r="L20" s="286" t="s">
        <v>90</v>
      </c>
      <c r="M20" s="286"/>
      <c r="N20" s="286" t="s">
        <v>91</v>
      </c>
      <c r="O20" s="286"/>
      <c r="P20" s="286" t="s">
        <v>92</v>
      </c>
      <c r="Q20" s="286"/>
      <c r="AT20" s="196">
        <v>7</v>
      </c>
      <c r="BD20" s="1" t="s">
        <v>429</v>
      </c>
      <c r="BE20" s="1" t="s">
        <v>126</v>
      </c>
      <c r="BF20" s="72" t="s">
        <v>436</v>
      </c>
      <c r="BG20" s="78">
        <v>59.25</v>
      </c>
      <c r="BH20" s="78">
        <v>59.25</v>
      </c>
      <c r="BI20" s="78">
        <v>65.209999999999994</v>
      </c>
      <c r="BJ20" s="78">
        <v>75.81</v>
      </c>
      <c r="BK20" s="78">
        <v>75.81</v>
      </c>
      <c r="BL20" s="78">
        <v>78.989999999999995</v>
      </c>
      <c r="BM20" s="78">
        <v>81.349999999999994</v>
      </c>
      <c r="BN20" s="78">
        <v>81.349999999999994</v>
      </c>
      <c r="BO20" s="78">
        <v>85.3</v>
      </c>
      <c r="BP20" s="78"/>
      <c r="BQ20" s="23">
        <v>0.18</v>
      </c>
      <c r="BR20" s="23">
        <v>0.66</v>
      </c>
      <c r="CF20" s="1" t="s">
        <v>429</v>
      </c>
      <c r="CG20" s="1" t="s">
        <v>110</v>
      </c>
      <c r="CI20" s="31">
        <f t="shared" si="2"/>
        <v>1</v>
      </c>
      <c r="CK20" s="1" t="s">
        <v>246</v>
      </c>
      <c r="CL20" s="26" t="s">
        <v>248</v>
      </c>
      <c r="DE20" s="286" t="s">
        <v>379</v>
      </c>
      <c r="DF20" s="286"/>
      <c r="DG20" s="286" t="s">
        <v>380</v>
      </c>
      <c r="DH20" s="286"/>
      <c r="DN20" s="1" t="s">
        <v>429</v>
      </c>
      <c r="DO20" s="1" t="s">
        <v>126</v>
      </c>
      <c r="DP20" s="1">
        <v>1</v>
      </c>
    </row>
    <row r="21" spans="1:120" x14ac:dyDescent="0.2">
      <c r="A21" s="1" t="s">
        <v>125</v>
      </c>
      <c r="B21" s="1" t="s">
        <v>144</v>
      </c>
      <c r="C21" s="39" t="s">
        <v>519</v>
      </c>
      <c r="D21" s="1">
        <v>13</v>
      </c>
      <c r="E21" s="7">
        <v>5</v>
      </c>
      <c r="G21" s="1" t="s">
        <v>1</v>
      </c>
      <c r="H21" s="1">
        <v>2</v>
      </c>
      <c r="I21" s="6">
        <v>0.95</v>
      </c>
      <c r="K21" s="5" t="s">
        <v>50</v>
      </c>
      <c r="L21" s="16" t="s">
        <v>48</v>
      </c>
      <c r="M21" s="16" t="s">
        <v>49</v>
      </c>
      <c r="N21" s="16" t="s">
        <v>48</v>
      </c>
      <c r="O21" s="16" t="s">
        <v>49</v>
      </c>
      <c r="P21" s="16" t="s">
        <v>48</v>
      </c>
      <c r="Q21" s="16" t="s">
        <v>49</v>
      </c>
      <c r="BD21" s="1" t="s">
        <v>429</v>
      </c>
      <c r="BE21" s="1" t="s">
        <v>110</v>
      </c>
      <c r="BF21" s="72" t="s">
        <v>437</v>
      </c>
      <c r="BG21" s="78">
        <v>108.05</v>
      </c>
      <c r="BH21" s="78">
        <v>108.05</v>
      </c>
      <c r="BI21" s="78">
        <v>114.76</v>
      </c>
      <c r="BJ21" s="78">
        <v>132.15</v>
      </c>
      <c r="BK21" s="78">
        <v>132.15</v>
      </c>
      <c r="BL21" s="78">
        <v>137.49</v>
      </c>
      <c r="BM21" s="78">
        <v>140.13</v>
      </c>
      <c r="BN21" s="78">
        <v>140.13</v>
      </c>
      <c r="BO21" s="78">
        <v>145.41</v>
      </c>
      <c r="BP21" s="78"/>
      <c r="BQ21" s="23">
        <v>0.19</v>
      </c>
      <c r="BR21" s="23">
        <v>0.67</v>
      </c>
      <c r="CF21" s="1" t="s">
        <v>429</v>
      </c>
      <c r="CG21" s="1" t="s">
        <v>108</v>
      </c>
      <c r="CI21" s="31">
        <f t="shared" si="2"/>
        <v>1</v>
      </c>
      <c r="CK21" s="1" t="s">
        <v>247</v>
      </c>
      <c r="CL21" s="26" t="s">
        <v>248</v>
      </c>
      <c r="DD21" s="5" t="s">
        <v>50</v>
      </c>
      <c r="DE21" s="35" t="s">
        <v>381</v>
      </c>
      <c r="DF21" s="35" t="s">
        <v>382</v>
      </c>
      <c r="DG21" s="35" t="s">
        <v>381</v>
      </c>
      <c r="DH21" s="35" t="s">
        <v>382</v>
      </c>
      <c r="DN21" s="1" t="s">
        <v>429</v>
      </c>
      <c r="DO21" s="1" t="s">
        <v>110</v>
      </c>
      <c r="DP21" s="1">
        <v>1</v>
      </c>
    </row>
    <row r="22" spans="1:120" x14ac:dyDescent="0.2">
      <c r="A22" s="1" t="s">
        <v>441</v>
      </c>
      <c r="B22" s="1" t="s">
        <v>143</v>
      </c>
      <c r="C22" s="39" t="s">
        <v>444</v>
      </c>
      <c r="D22" s="1">
        <v>54</v>
      </c>
      <c r="E22" s="7">
        <v>2</v>
      </c>
      <c r="G22" s="1" t="s">
        <v>4</v>
      </c>
      <c r="H22" s="1">
        <v>1</v>
      </c>
      <c r="I22" s="6">
        <v>0.9</v>
      </c>
      <c r="K22" s="1" t="s">
        <v>610</v>
      </c>
      <c r="L22" s="6">
        <v>0.29749999999999999</v>
      </c>
      <c r="M22" s="6">
        <v>0.34807499999999997</v>
      </c>
      <c r="N22" s="6">
        <v>0.33150000000000002</v>
      </c>
      <c r="O22" s="6">
        <v>0.38785500000000001</v>
      </c>
      <c r="P22" s="6">
        <v>0.38250000000000001</v>
      </c>
      <c r="Q22" s="6">
        <v>0.44752500000000001</v>
      </c>
      <c r="BD22" s="1" t="s">
        <v>429</v>
      </c>
      <c r="BE22" s="1" t="s">
        <v>108</v>
      </c>
      <c r="BF22" s="72" t="s">
        <v>438</v>
      </c>
      <c r="BG22" s="78">
        <v>99.34</v>
      </c>
      <c r="BH22" s="78">
        <v>99.34</v>
      </c>
      <c r="BI22" s="78">
        <v>102.75</v>
      </c>
      <c r="BJ22" s="78">
        <v>105.02</v>
      </c>
      <c r="BK22" s="78">
        <v>105.02</v>
      </c>
      <c r="BL22" s="78">
        <v>111.61</v>
      </c>
      <c r="BM22" s="78">
        <v>122.43</v>
      </c>
      <c r="BN22" s="78">
        <v>122.43</v>
      </c>
      <c r="BO22" s="78">
        <v>120.13</v>
      </c>
      <c r="BP22" s="78"/>
      <c r="BQ22" s="23">
        <v>0.2</v>
      </c>
      <c r="BR22" s="23">
        <v>0.67</v>
      </c>
      <c r="CF22" s="1" t="s">
        <v>429</v>
      </c>
      <c r="CG22" s="1" t="s">
        <v>107</v>
      </c>
      <c r="CI22" s="31">
        <f t="shared" si="2"/>
        <v>1</v>
      </c>
      <c r="CK22" s="1" t="s">
        <v>256</v>
      </c>
      <c r="CL22" s="26" t="s">
        <v>248</v>
      </c>
      <c r="DD22" s="1" t="s">
        <v>610</v>
      </c>
      <c r="DE22" s="6">
        <v>0.45</v>
      </c>
      <c r="DF22" s="6">
        <v>0.53</v>
      </c>
      <c r="DG22" s="7" t="e">
        <f>NA()</f>
        <v>#N/A</v>
      </c>
      <c r="DH22" s="7" t="e">
        <f>NA()</f>
        <v>#N/A</v>
      </c>
      <c r="DN22" s="1" t="s">
        <v>429</v>
      </c>
      <c r="DO22" s="1" t="s">
        <v>108</v>
      </c>
      <c r="DP22" s="1">
        <v>1</v>
      </c>
    </row>
    <row r="23" spans="1:120" x14ac:dyDescent="0.2">
      <c r="A23" s="1" t="s">
        <v>447</v>
      </c>
      <c r="B23" s="1" t="s">
        <v>142</v>
      </c>
      <c r="C23" s="39" t="s">
        <v>455</v>
      </c>
      <c r="D23" s="1">
        <v>2</v>
      </c>
      <c r="E23" s="7">
        <v>1</v>
      </c>
      <c r="G23" s="1" t="s">
        <v>7</v>
      </c>
      <c r="H23" s="1">
        <v>1</v>
      </c>
      <c r="I23" s="6">
        <v>0.9</v>
      </c>
      <c r="K23" s="1" t="s">
        <v>611</v>
      </c>
      <c r="L23" s="6">
        <v>0.29749999999999999</v>
      </c>
      <c r="M23" s="6">
        <v>0.34807499999999997</v>
      </c>
      <c r="N23" s="6">
        <v>0.33150000000000002</v>
      </c>
      <c r="O23" s="6">
        <v>0.38785500000000001</v>
      </c>
      <c r="P23" s="6">
        <v>0.38250000000000001</v>
      </c>
      <c r="Q23" s="6">
        <v>0.44752500000000001</v>
      </c>
      <c r="BD23" s="1" t="s">
        <v>429</v>
      </c>
      <c r="BE23" s="1" t="s">
        <v>107</v>
      </c>
      <c r="BF23" s="72" t="s">
        <v>439</v>
      </c>
      <c r="BG23" s="78">
        <v>95.74</v>
      </c>
      <c r="BH23" s="78">
        <v>95.74</v>
      </c>
      <c r="BI23" s="78">
        <v>98.78</v>
      </c>
      <c r="BJ23" s="78">
        <v>99.61</v>
      </c>
      <c r="BK23" s="78">
        <v>99.61</v>
      </c>
      <c r="BL23" s="78">
        <v>108.29</v>
      </c>
      <c r="BM23" s="78">
        <v>119.21</v>
      </c>
      <c r="BN23" s="78">
        <v>119.21</v>
      </c>
      <c r="BO23" s="78">
        <v>113.8</v>
      </c>
      <c r="BP23" s="78"/>
      <c r="BQ23" s="23">
        <v>0.21</v>
      </c>
      <c r="BR23" s="23">
        <v>0.68</v>
      </c>
      <c r="CF23" s="1" t="s">
        <v>429</v>
      </c>
      <c r="CG23" s="1" t="s">
        <v>106</v>
      </c>
      <c r="CI23" s="31">
        <f t="shared" si="2"/>
        <v>1</v>
      </c>
      <c r="CK23" s="1" t="s">
        <v>305</v>
      </c>
      <c r="CL23" s="32" t="s">
        <v>248</v>
      </c>
      <c r="DD23" s="1" t="s">
        <v>611</v>
      </c>
      <c r="DE23" s="6">
        <v>0.45</v>
      </c>
      <c r="DF23" s="6">
        <v>0.53</v>
      </c>
      <c r="DG23" s="7" t="e">
        <f>NA()</f>
        <v>#N/A</v>
      </c>
      <c r="DH23" s="7" t="e">
        <f>NA()</f>
        <v>#N/A</v>
      </c>
      <c r="DN23" s="1" t="s">
        <v>429</v>
      </c>
      <c r="DO23" s="1" t="s">
        <v>107</v>
      </c>
      <c r="DP23" s="1">
        <v>1</v>
      </c>
    </row>
    <row r="24" spans="1:120" x14ac:dyDescent="0.2">
      <c r="A24" s="1" t="s">
        <v>441</v>
      </c>
      <c r="B24" s="1" t="s">
        <v>141</v>
      </c>
      <c r="C24" s="39" t="s">
        <v>445</v>
      </c>
      <c r="D24" s="1">
        <v>10</v>
      </c>
      <c r="E24" s="7">
        <v>2</v>
      </c>
      <c r="G24" s="1" t="s">
        <v>10</v>
      </c>
      <c r="H24" s="1">
        <v>2</v>
      </c>
      <c r="I24" s="6">
        <v>0.95</v>
      </c>
      <c r="K24" s="1" t="s">
        <v>612</v>
      </c>
      <c r="L24" s="6">
        <v>0.221</v>
      </c>
      <c r="M24" s="6">
        <v>0.25856999999999997</v>
      </c>
      <c r="N24" s="6">
        <v>0.255</v>
      </c>
      <c r="O24" s="6">
        <v>0.29835</v>
      </c>
      <c r="P24" s="6">
        <v>0.33150000000000002</v>
      </c>
      <c r="Q24" s="6">
        <v>0.38785500000000001</v>
      </c>
      <c r="BD24" s="1" t="s">
        <v>429</v>
      </c>
      <c r="BE24" s="1" t="s">
        <v>106</v>
      </c>
      <c r="BF24" s="72" t="s">
        <v>440</v>
      </c>
      <c r="BG24" s="78">
        <v>95.74</v>
      </c>
      <c r="BH24" s="78">
        <v>95.74</v>
      </c>
      <c r="BI24" s="78">
        <v>98.78</v>
      </c>
      <c r="BJ24" s="78">
        <v>99.61</v>
      </c>
      <c r="BK24" s="78">
        <v>99.61</v>
      </c>
      <c r="BL24" s="78">
        <v>108.29</v>
      </c>
      <c r="BM24" s="78">
        <v>119.21</v>
      </c>
      <c r="BN24" s="78">
        <v>119.21</v>
      </c>
      <c r="BO24" s="78">
        <v>113.8</v>
      </c>
      <c r="BP24" s="78"/>
      <c r="BQ24" s="23">
        <v>0.22</v>
      </c>
      <c r="BR24" s="23">
        <v>0.69</v>
      </c>
      <c r="CF24" s="1" t="s">
        <v>441</v>
      </c>
      <c r="CG24" s="1" t="s">
        <v>442</v>
      </c>
      <c r="CI24" s="31">
        <v>1</v>
      </c>
      <c r="CK24" s="1" t="s">
        <v>249</v>
      </c>
      <c r="CL24" s="26" t="s">
        <v>251</v>
      </c>
      <c r="DD24" s="1" t="s">
        <v>612</v>
      </c>
      <c r="DE24" s="6">
        <v>0.39</v>
      </c>
      <c r="DF24" s="6">
        <v>0.45</v>
      </c>
      <c r="DG24" s="6">
        <v>0.3</v>
      </c>
      <c r="DH24" s="6">
        <v>0.36</v>
      </c>
      <c r="DN24" s="1" t="s">
        <v>429</v>
      </c>
      <c r="DO24" s="1" t="s">
        <v>106</v>
      </c>
      <c r="DP24" s="1">
        <v>1</v>
      </c>
    </row>
    <row r="25" spans="1:120" x14ac:dyDescent="0.2">
      <c r="A25" s="1" t="s">
        <v>401</v>
      </c>
      <c r="B25" s="1" t="s">
        <v>421</v>
      </c>
      <c r="C25" s="39" t="s">
        <v>422</v>
      </c>
      <c r="D25" s="7">
        <v>18</v>
      </c>
      <c r="E25" s="7">
        <v>5</v>
      </c>
      <c r="G25" s="1" t="s">
        <v>13</v>
      </c>
      <c r="H25" s="1">
        <v>1</v>
      </c>
      <c r="I25" s="6">
        <v>0.9</v>
      </c>
      <c r="K25" s="1" t="s">
        <v>613</v>
      </c>
      <c r="L25" s="6">
        <v>0.221</v>
      </c>
      <c r="M25" s="6">
        <v>0.25856999999999997</v>
      </c>
      <c r="N25" s="6">
        <v>0.255</v>
      </c>
      <c r="O25" s="6">
        <v>0.29835</v>
      </c>
      <c r="P25" s="6">
        <v>0.33150000000000002</v>
      </c>
      <c r="Q25" s="6">
        <v>0.38785500000000001</v>
      </c>
      <c r="BD25" s="1" t="s">
        <v>441</v>
      </c>
      <c r="BE25" s="1" t="s">
        <v>442</v>
      </c>
      <c r="BF25" s="72" t="s">
        <v>443</v>
      </c>
      <c r="BG25" s="78">
        <v>139.1</v>
      </c>
      <c r="BH25" s="78">
        <v>139.1</v>
      </c>
      <c r="BI25" s="78">
        <v>143.99</v>
      </c>
      <c r="BJ25" s="78">
        <v>150.99</v>
      </c>
      <c r="BK25" s="78">
        <v>150.99</v>
      </c>
      <c r="BL25" s="78">
        <v>164.65</v>
      </c>
      <c r="BM25" s="78">
        <v>175.96</v>
      </c>
      <c r="BN25" s="78">
        <v>175.96</v>
      </c>
      <c r="BO25" s="78">
        <v>168.87</v>
      </c>
      <c r="BP25" s="78"/>
      <c r="BQ25" s="23">
        <v>0.23</v>
      </c>
      <c r="BR25" s="23">
        <v>0.7</v>
      </c>
      <c r="CF25" s="1" t="s">
        <v>441</v>
      </c>
      <c r="CG25" s="1" t="s">
        <v>143</v>
      </c>
      <c r="CI25" s="31">
        <f>IF(CH25=1,1.1,1)</f>
        <v>1</v>
      </c>
      <c r="CK25" s="1" t="s">
        <v>250</v>
      </c>
      <c r="CL25" s="26" t="s">
        <v>251</v>
      </c>
      <c r="DD25" s="1" t="s">
        <v>613</v>
      </c>
      <c r="DE25" s="6">
        <v>0.39</v>
      </c>
      <c r="DF25" s="6">
        <v>0.45</v>
      </c>
      <c r="DG25" s="6">
        <v>0.3</v>
      </c>
      <c r="DH25" s="6">
        <v>0.36</v>
      </c>
      <c r="DN25" s="1" t="s">
        <v>441</v>
      </c>
      <c r="DO25" s="1" t="s">
        <v>442</v>
      </c>
      <c r="DP25" s="1">
        <v>1</v>
      </c>
    </row>
    <row r="26" spans="1:120" x14ac:dyDescent="0.2">
      <c r="A26" s="1" t="s">
        <v>429</v>
      </c>
      <c r="B26" s="1" t="s">
        <v>140</v>
      </c>
      <c r="C26" s="39" t="s">
        <v>433</v>
      </c>
      <c r="D26" s="1">
        <v>7</v>
      </c>
      <c r="E26" s="7">
        <v>1</v>
      </c>
      <c r="G26" s="1" t="s">
        <v>16</v>
      </c>
      <c r="H26" s="1">
        <v>4</v>
      </c>
      <c r="I26" s="6">
        <v>1.1000000000000001</v>
      </c>
      <c r="K26" s="1" t="s">
        <v>614</v>
      </c>
      <c r="L26" s="6">
        <v>0.17849999999999999</v>
      </c>
      <c r="M26" s="6">
        <v>0.20884499999999998</v>
      </c>
      <c r="N26" s="6">
        <v>0.21249999999999999</v>
      </c>
      <c r="O26" s="6">
        <v>0.24862499999999998</v>
      </c>
      <c r="P26" s="6">
        <v>0.255</v>
      </c>
      <c r="Q26" s="6">
        <v>0.29835</v>
      </c>
      <c r="BD26" s="1" t="s">
        <v>441</v>
      </c>
      <c r="BE26" s="1" t="s">
        <v>143</v>
      </c>
      <c r="BF26" s="72" t="s">
        <v>444</v>
      </c>
      <c r="BG26" s="78">
        <v>187.55</v>
      </c>
      <c r="BH26" s="78">
        <v>187.55</v>
      </c>
      <c r="BI26" s="78">
        <v>184.26</v>
      </c>
      <c r="BJ26" s="78">
        <v>196.12</v>
      </c>
      <c r="BK26" s="78">
        <v>196.12</v>
      </c>
      <c r="BL26" s="78">
        <v>202.08</v>
      </c>
      <c r="BM26" s="78">
        <v>213.81</v>
      </c>
      <c r="BN26" s="78">
        <v>213.81</v>
      </c>
      <c r="BO26" s="78">
        <v>204.98</v>
      </c>
      <c r="BP26" s="78"/>
      <c r="BQ26" s="23">
        <v>0.24</v>
      </c>
      <c r="BR26" s="23">
        <v>0.7</v>
      </c>
      <c r="CF26" s="1" t="s">
        <v>441</v>
      </c>
      <c r="CG26" s="1" t="s">
        <v>141</v>
      </c>
      <c r="CI26" s="31">
        <f>IF(CH26=1,1.1,1)</f>
        <v>1</v>
      </c>
      <c r="DD26" s="1" t="s">
        <v>614</v>
      </c>
      <c r="DE26" s="6">
        <v>0.3</v>
      </c>
      <c r="DF26" s="6">
        <v>0.36</v>
      </c>
      <c r="DG26" s="6">
        <v>0.25</v>
      </c>
      <c r="DH26" s="6">
        <v>0.28999999999999998</v>
      </c>
      <c r="DN26" s="1" t="s">
        <v>441</v>
      </c>
      <c r="DO26" s="1" t="s">
        <v>143</v>
      </c>
      <c r="DP26" s="1">
        <v>1</v>
      </c>
    </row>
    <row r="27" spans="1:120" x14ac:dyDescent="0.2">
      <c r="A27" s="1" t="s">
        <v>429</v>
      </c>
      <c r="B27" s="1" t="s">
        <v>139</v>
      </c>
      <c r="C27" s="39" t="s">
        <v>434</v>
      </c>
      <c r="D27" s="1">
        <v>5</v>
      </c>
      <c r="E27" s="7">
        <v>2</v>
      </c>
      <c r="G27" s="1" t="s">
        <v>19</v>
      </c>
      <c r="H27" s="1">
        <v>3</v>
      </c>
      <c r="I27" s="6">
        <v>1</v>
      </c>
      <c r="K27" s="1" t="s">
        <v>615</v>
      </c>
      <c r="L27" s="6">
        <v>0.1275</v>
      </c>
      <c r="M27" s="6">
        <v>0.149175</v>
      </c>
      <c r="N27" s="6">
        <v>0.153</v>
      </c>
      <c r="O27" s="6">
        <v>0.17900999999999997</v>
      </c>
      <c r="P27" s="6">
        <v>0.17849999999999999</v>
      </c>
      <c r="Q27" s="6">
        <v>0.20884499999999998</v>
      </c>
      <c r="BD27" s="1" t="s">
        <v>441</v>
      </c>
      <c r="BE27" s="1" t="s">
        <v>141</v>
      </c>
      <c r="BF27" s="72" t="s">
        <v>445</v>
      </c>
      <c r="BG27" s="78">
        <v>119.72</v>
      </c>
      <c r="BH27" s="78">
        <v>119.72</v>
      </c>
      <c r="BI27" s="78">
        <v>126.96</v>
      </c>
      <c r="BJ27" s="78">
        <v>144.01</v>
      </c>
      <c r="BK27" s="78">
        <v>144.01</v>
      </c>
      <c r="BL27" s="78">
        <v>153.22999999999999</v>
      </c>
      <c r="BM27" s="78">
        <v>152.02000000000001</v>
      </c>
      <c r="BN27" s="78">
        <v>152.02000000000001</v>
      </c>
      <c r="BO27" s="78">
        <v>157.46</v>
      </c>
      <c r="BP27" s="78"/>
      <c r="BQ27" s="23">
        <v>0.25</v>
      </c>
      <c r="BR27" s="23">
        <v>0.71</v>
      </c>
      <c r="CF27" s="1" t="s">
        <v>441</v>
      </c>
      <c r="CG27" s="1" t="s">
        <v>112</v>
      </c>
      <c r="CI27" s="31">
        <f>IF(CH27=1,1.1,1)</f>
        <v>1</v>
      </c>
      <c r="DD27" s="1" t="s">
        <v>615</v>
      </c>
      <c r="DE27" s="6">
        <v>0.21</v>
      </c>
      <c r="DF27" s="6">
        <v>0.24</v>
      </c>
      <c r="DG27" s="6">
        <v>0.18</v>
      </c>
      <c r="DH27" s="6">
        <v>0.21</v>
      </c>
      <c r="DN27" s="1" t="s">
        <v>441</v>
      </c>
      <c r="DO27" s="1" t="s">
        <v>141</v>
      </c>
      <c r="DP27" s="1">
        <v>1</v>
      </c>
    </row>
    <row r="28" spans="1:120" x14ac:dyDescent="0.2">
      <c r="A28" s="1" t="s">
        <v>482</v>
      </c>
      <c r="B28" s="1" t="s">
        <v>138</v>
      </c>
      <c r="C28" s="39" t="s">
        <v>485</v>
      </c>
      <c r="D28" s="1">
        <v>6</v>
      </c>
      <c r="E28" s="7">
        <v>2</v>
      </c>
      <c r="G28" s="1" t="s">
        <v>22</v>
      </c>
      <c r="H28" s="1">
        <v>3</v>
      </c>
      <c r="I28" s="6">
        <v>1</v>
      </c>
      <c r="K28" s="1" t="s">
        <v>616</v>
      </c>
      <c r="L28" s="6">
        <v>0.1105</v>
      </c>
      <c r="M28" s="6">
        <v>0.12928499999999998</v>
      </c>
      <c r="N28" s="6">
        <v>0.1275</v>
      </c>
      <c r="O28" s="6">
        <v>0.149175</v>
      </c>
      <c r="P28" s="6">
        <v>0.1615</v>
      </c>
      <c r="Q28" s="6">
        <v>0.18895499999999998</v>
      </c>
      <c r="BD28" s="1" t="s">
        <v>441</v>
      </c>
      <c r="BE28" s="1" t="s">
        <v>112</v>
      </c>
      <c r="BF28" s="72" t="s">
        <v>446</v>
      </c>
      <c r="BG28" s="78">
        <v>112.94</v>
      </c>
      <c r="BH28" s="78">
        <v>112.94</v>
      </c>
      <c r="BI28" s="78">
        <v>118.44</v>
      </c>
      <c r="BJ28" s="78">
        <v>133.78</v>
      </c>
      <c r="BK28" s="78">
        <v>133.78</v>
      </c>
      <c r="BL28" s="78">
        <v>141.19</v>
      </c>
      <c r="BM28" s="78">
        <v>140.91</v>
      </c>
      <c r="BN28" s="78">
        <v>140.91</v>
      </c>
      <c r="BO28" s="78">
        <v>146.05000000000001</v>
      </c>
      <c r="BP28" s="78"/>
      <c r="BQ28" s="23">
        <v>0.26</v>
      </c>
      <c r="BR28" s="23">
        <v>0.72</v>
      </c>
      <c r="CF28" s="1" t="s">
        <v>447</v>
      </c>
      <c r="CG28" s="1" t="s">
        <v>448</v>
      </c>
      <c r="CH28" s="1">
        <v>1</v>
      </c>
      <c r="CI28" s="31">
        <v>1.1000000000000001</v>
      </c>
      <c r="DD28" s="1" t="s">
        <v>616</v>
      </c>
      <c r="DE28" s="6">
        <v>0.19</v>
      </c>
      <c r="DF28" s="6">
        <v>0.22</v>
      </c>
      <c r="DG28" s="6">
        <v>0.15</v>
      </c>
      <c r="DH28" s="6">
        <v>0.18</v>
      </c>
      <c r="DN28" s="1" t="s">
        <v>441</v>
      </c>
      <c r="DO28" s="1" t="s">
        <v>112</v>
      </c>
      <c r="DP28" s="1">
        <v>1</v>
      </c>
    </row>
    <row r="29" spans="1:120" x14ac:dyDescent="0.2">
      <c r="A29" s="1" t="s">
        <v>447</v>
      </c>
      <c r="B29" s="1" t="s">
        <v>137</v>
      </c>
      <c r="C29" s="39" t="s">
        <v>456</v>
      </c>
      <c r="D29" s="1">
        <v>4</v>
      </c>
      <c r="E29" s="7">
        <v>1</v>
      </c>
      <c r="G29" s="1" t="s">
        <v>24</v>
      </c>
      <c r="H29" s="1">
        <v>4</v>
      </c>
      <c r="I29" s="6">
        <v>1.1000000000000001</v>
      </c>
      <c r="K29" s="1" t="s">
        <v>617</v>
      </c>
      <c r="L29" s="6">
        <v>0.1105</v>
      </c>
      <c r="M29" s="6">
        <v>0.12928499999999998</v>
      </c>
      <c r="N29" s="6">
        <v>0.1275</v>
      </c>
      <c r="O29" s="6">
        <v>0.149175</v>
      </c>
      <c r="P29" s="6">
        <v>0.1615</v>
      </c>
      <c r="Q29" s="6">
        <v>0.18895499999999998</v>
      </c>
      <c r="BD29" s="1" t="s">
        <v>447</v>
      </c>
      <c r="BE29" s="1" t="s">
        <v>448</v>
      </c>
      <c r="BF29" s="72" t="s">
        <v>449</v>
      </c>
      <c r="BG29" s="78">
        <v>116</v>
      </c>
      <c r="BH29" s="78">
        <v>116</v>
      </c>
      <c r="BI29" s="78">
        <v>117</v>
      </c>
      <c r="BJ29" s="78">
        <v>121</v>
      </c>
      <c r="BK29" s="78">
        <v>121</v>
      </c>
      <c r="BL29" s="78">
        <v>131</v>
      </c>
      <c r="BM29" s="78">
        <v>142</v>
      </c>
      <c r="BN29" s="78">
        <v>142</v>
      </c>
      <c r="BO29" s="78">
        <v>135</v>
      </c>
      <c r="BP29" s="78"/>
      <c r="BQ29" s="23">
        <v>0.27</v>
      </c>
      <c r="BR29" s="23">
        <v>0.73</v>
      </c>
      <c r="CF29" s="1" t="s">
        <v>447</v>
      </c>
      <c r="CG29" s="1" t="s">
        <v>450</v>
      </c>
      <c r="CH29" s="1">
        <v>1</v>
      </c>
      <c r="CI29" s="31">
        <f>IF(CH29=1,1.1,1)</f>
        <v>1.1000000000000001</v>
      </c>
      <c r="DD29" s="1" t="s">
        <v>617</v>
      </c>
      <c r="DE29" s="6">
        <v>0.19</v>
      </c>
      <c r="DF29" s="6">
        <v>0.22</v>
      </c>
      <c r="DG29" s="6">
        <v>0.15</v>
      </c>
      <c r="DH29" s="6">
        <v>0.18</v>
      </c>
      <c r="DN29" s="1" t="s">
        <v>447</v>
      </c>
      <c r="DO29" s="1" t="s">
        <v>448</v>
      </c>
      <c r="DP29" s="1">
        <v>1</v>
      </c>
    </row>
    <row r="30" spans="1:120" x14ac:dyDescent="0.2">
      <c r="A30" s="1" t="s">
        <v>482</v>
      </c>
      <c r="B30" s="1" t="s">
        <v>486</v>
      </c>
      <c r="C30" s="39" t="s">
        <v>487</v>
      </c>
      <c r="D30" s="1">
        <v>33</v>
      </c>
      <c r="E30" s="7">
        <v>5</v>
      </c>
      <c r="G30" s="1" t="s">
        <v>27</v>
      </c>
      <c r="H30" s="1">
        <v>2</v>
      </c>
      <c r="I30" s="6">
        <v>0.95</v>
      </c>
      <c r="K30" s="1" t="s">
        <v>618</v>
      </c>
      <c r="L30" s="6">
        <v>0.1105</v>
      </c>
      <c r="M30" s="6">
        <v>0.12928499999999998</v>
      </c>
      <c r="N30" s="6">
        <v>0.1275</v>
      </c>
      <c r="O30" s="6">
        <v>0.149175</v>
      </c>
      <c r="P30" s="6">
        <v>0.1615</v>
      </c>
      <c r="Q30" s="6">
        <v>0.18895499999999998</v>
      </c>
      <c r="BD30" s="1" t="s">
        <v>447</v>
      </c>
      <c r="BE30" s="1" t="s">
        <v>450</v>
      </c>
      <c r="BF30" s="72" t="s">
        <v>451</v>
      </c>
      <c r="BG30" s="78">
        <v>107.76</v>
      </c>
      <c r="BH30" s="78">
        <v>107.76</v>
      </c>
      <c r="BI30" s="78">
        <v>109.38</v>
      </c>
      <c r="BJ30" s="78">
        <v>112.75</v>
      </c>
      <c r="BK30" s="78">
        <v>112.75</v>
      </c>
      <c r="BL30" s="78">
        <v>123.01</v>
      </c>
      <c r="BM30" s="78">
        <v>134.13999999999999</v>
      </c>
      <c r="BN30" s="78">
        <v>134.13999999999999</v>
      </c>
      <c r="BO30" s="78">
        <v>127.43</v>
      </c>
      <c r="BP30" s="78"/>
      <c r="BQ30" s="23">
        <v>0.28000000000000003</v>
      </c>
      <c r="BR30" s="23">
        <v>0.73</v>
      </c>
      <c r="CF30" s="1" t="s">
        <v>447</v>
      </c>
      <c r="CG30" s="1" t="s">
        <v>452</v>
      </c>
      <c r="CH30" s="1">
        <v>1</v>
      </c>
      <c r="CI30" s="31">
        <f>IF(CH30=1,1.1,1)</f>
        <v>1.1000000000000001</v>
      </c>
      <c r="DD30" s="1" t="s">
        <v>618</v>
      </c>
      <c r="DE30" s="6">
        <v>0.19</v>
      </c>
      <c r="DF30" s="6">
        <v>0.22</v>
      </c>
      <c r="DG30" s="6">
        <v>0.15</v>
      </c>
      <c r="DH30" s="6">
        <v>0.18</v>
      </c>
      <c r="DN30" s="1" t="s">
        <v>447</v>
      </c>
      <c r="DO30" s="1" t="s">
        <v>450</v>
      </c>
      <c r="DP30" s="1">
        <v>1</v>
      </c>
    </row>
    <row r="31" spans="1:120" x14ac:dyDescent="0.2">
      <c r="A31" s="1" t="s">
        <v>429</v>
      </c>
      <c r="B31" s="1" t="s">
        <v>136</v>
      </c>
      <c r="C31" s="39" t="s">
        <v>435</v>
      </c>
      <c r="D31" s="1">
        <v>37</v>
      </c>
      <c r="E31" s="7">
        <v>1</v>
      </c>
      <c r="G31" s="1" t="s">
        <v>30</v>
      </c>
      <c r="H31" s="1">
        <v>3</v>
      </c>
      <c r="I31" s="6">
        <v>1</v>
      </c>
      <c r="BD31" s="1" t="s">
        <v>447</v>
      </c>
      <c r="BE31" s="1" t="s">
        <v>452</v>
      </c>
      <c r="BF31" s="72" t="s">
        <v>453</v>
      </c>
      <c r="BG31" s="79">
        <v>999</v>
      </c>
      <c r="BH31" s="79">
        <v>999</v>
      </c>
      <c r="BI31" s="78">
        <v>140.43</v>
      </c>
      <c r="BJ31" s="78">
        <v>144.57</v>
      </c>
      <c r="BK31" s="78">
        <v>144.57</v>
      </c>
      <c r="BL31" s="78">
        <v>163.86</v>
      </c>
      <c r="BM31" s="78">
        <v>174.66</v>
      </c>
      <c r="BN31" s="78">
        <v>174.66</v>
      </c>
      <c r="BO31" s="78">
        <v>159.38</v>
      </c>
      <c r="BP31" s="78"/>
      <c r="BQ31" s="23">
        <v>0.28999999999999998</v>
      </c>
      <c r="BR31" s="23">
        <v>0.74</v>
      </c>
      <c r="CF31" s="1" t="s">
        <v>447</v>
      </c>
      <c r="CG31" s="1" t="s">
        <v>157</v>
      </c>
      <c r="CH31" s="1">
        <v>1</v>
      </c>
      <c r="CI31" s="31">
        <f>IF(CH31=1,1.1,1)</f>
        <v>1.1000000000000001</v>
      </c>
      <c r="DN31" s="1" t="s">
        <v>447</v>
      </c>
      <c r="DO31" s="1" t="s">
        <v>452</v>
      </c>
      <c r="DP31" s="1">
        <v>1</v>
      </c>
    </row>
    <row r="32" spans="1:120" x14ac:dyDescent="0.2">
      <c r="A32" s="1" t="s">
        <v>482</v>
      </c>
      <c r="B32" s="1" t="s">
        <v>488</v>
      </c>
      <c r="C32" s="39" t="s">
        <v>489</v>
      </c>
      <c r="D32" s="1">
        <v>12</v>
      </c>
      <c r="E32" s="7">
        <v>5</v>
      </c>
      <c r="G32" s="1" t="s">
        <v>32</v>
      </c>
      <c r="H32" s="1">
        <v>1</v>
      </c>
      <c r="I32" s="6">
        <v>0.9</v>
      </c>
      <c r="K32" s="5" t="s">
        <v>67</v>
      </c>
      <c r="L32" s="5" t="s">
        <v>79</v>
      </c>
      <c r="M32" s="5" t="s">
        <v>401</v>
      </c>
      <c r="N32" s="9" t="s">
        <v>402</v>
      </c>
      <c r="BD32" s="1" t="s">
        <v>447</v>
      </c>
      <c r="BE32" s="1" t="s">
        <v>157</v>
      </c>
      <c r="BF32" s="72" t="s">
        <v>454</v>
      </c>
      <c r="BG32" s="78">
        <v>112.94</v>
      </c>
      <c r="BH32" s="78">
        <v>112.94</v>
      </c>
      <c r="BI32" s="78">
        <v>118.44</v>
      </c>
      <c r="BJ32" s="78">
        <v>133.78</v>
      </c>
      <c r="BK32" s="78">
        <v>133.78</v>
      </c>
      <c r="BL32" s="78">
        <v>141.19</v>
      </c>
      <c r="BM32" s="78">
        <v>140.91</v>
      </c>
      <c r="BN32" s="78">
        <v>140.91</v>
      </c>
      <c r="BO32" s="78">
        <v>146.05000000000001</v>
      </c>
      <c r="BP32" s="78"/>
      <c r="BQ32" s="23">
        <v>0.3</v>
      </c>
      <c r="BR32" s="23">
        <v>0.75</v>
      </c>
      <c r="CF32" s="1" t="s">
        <v>447</v>
      </c>
      <c r="CG32" s="1" t="s">
        <v>142</v>
      </c>
      <c r="CH32" s="1">
        <v>1</v>
      </c>
      <c r="CI32" s="31">
        <f>IF(CH32=1,1.1,1)</f>
        <v>1.1000000000000001</v>
      </c>
      <c r="DD32" s="283" t="s">
        <v>384</v>
      </c>
      <c r="DE32" s="283"/>
      <c r="DN32" s="1" t="s">
        <v>447</v>
      </c>
      <c r="DO32" s="1" t="s">
        <v>157</v>
      </c>
      <c r="DP32" s="1">
        <v>1</v>
      </c>
    </row>
    <row r="33" spans="1:120" x14ac:dyDescent="0.2">
      <c r="A33" s="1" t="s">
        <v>447</v>
      </c>
      <c r="B33" s="1" t="s">
        <v>457</v>
      </c>
      <c r="C33" s="39" t="s">
        <v>458</v>
      </c>
      <c r="D33" s="1">
        <v>2</v>
      </c>
      <c r="E33" s="7">
        <v>5</v>
      </c>
      <c r="G33" s="1" t="s">
        <v>35</v>
      </c>
      <c r="H33" s="1">
        <v>4</v>
      </c>
      <c r="I33" s="6">
        <v>1.1000000000000001</v>
      </c>
      <c r="K33" s="39">
        <v>1</v>
      </c>
      <c r="L33" s="1" t="s">
        <v>48</v>
      </c>
      <c r="M33" s="1" t="s">
        <v>610</v>
      </c>
      <c r="N33" s="15">
        <f t="shared" ref="N33:N64" ca="1" si="3">INDEX(OFFSET($L$8:$L$16,0,2*(K33-1)+IF(L33="Basic",0,1)),MATCH(M33,$K$8:$K$16,0))</f>
        <v>0.2157</v>
      </c>
      <c r="O33" s="15">
        <f>L8</f>
        <v>0.2157</v>
      </c>
      <c r="P33" s="15"/>
      <c r="BD33" s="1" t="s">
        <v>447</v>
      </c>
      <c r="BE33" s="1" t="s">
        <v>142</v>
      </c>
      <c r="BF33" s="72" t="s">
        <v>455</v>
      </c>
      <c r="BG33" s="78">
        <v>145</v>
      </c>
      <c r="BH33" s="78">
        <v>145</v>
      </c>
      <c r="BI33" s="78">
        <v>152</v>
      </c>
      <c r="BJ33" s="78">
        <v>157</v>
      </c>
      <c r="BK33" s="78">
        <v>157</v>
      </c>
      <c r="BL33" s="78">
        <v>164</v>
      </c>
      <c r="BM33" s="78">
        <v>182</v>
      </c>
      <c r="BN33" s="78">
        <v>182</v>
      </c>
      <c r="BO33" s="78">
        <v>167</v>
      </c>
      <c r="BP33" s="78"/>
      <c r="BQ33" s="23">
        <v>0.31</v>
      </c>
      <c r="BR33" s="23">
        <v>0.76</v>
      </c>
      <c r="CF33" s="1" t="s">
        <v>447</v>
      </c>
      <c r="CG33" s="1" t="s">
        <v>137</v>
      </c>
      <c r="CH33" s="1">
        <v>1</v>
      </c>
      <c r="CI33" s="31">
        <f>IF(CH33=1,1.1,1)</f>
        <v>1.1000000000000001</v>
      </c>
      <c r="DD33" s="36" t="s">
        <v>390</v>
      </c>
      <c r="DE33" s="36" t="s">
        <v>273</v>
      </c>
      <c r="DN33" s="1" t="s">
        <v>447</v>
      </c>
      <c r="DO33" s="1" t="s">
        <v>142</v>
      </c>
      <c r="DP33" s="1">
        <v>1</v>
      </c>
    </row>
    <row r="34" spans="1:120" hidden="1" x14ac:dyDescent="0.2">
      <c r="A34" s="1" t="s">
        <v>406</v>
      </c>
      <c r="B34" s="1" t="s">
        <v>620</v>
      </c>
      <c r="C34" s="39" t="s">
        <v>635</v>
      </c>
      <c r="D34" s="7">
        <v>20</v>
      </c>
      <c r="E34" s="7">
        <v>3</v>
      </c>
      <c r="G34" s="40" t="s">
        <v>555</v>
      </c>
      <c r="H34" s="40">
        <v>3</v>
      </c>
      <c r="I34" s="41">
        <v>1</v>
      </c>
      <c r="K34" s="39">
        <v>1</v>
      </c>
      <c r="L34" s="1" t="s">
        <v>48</v>
      </c>
      <c r="M34" s="1" t="s">
        <v>611</v>
      </c>
      <c r="N34" s="15">
        <f t="shared" ca="1" si="3"/>
        <v>0.2157</v>
      </c>
      <c r="O34" s="15">
        <f t="shared" ref="O34:O41" si="4">L9</f>
        <v>0.2157</v>
      </c>
      <c r="P34" s="15"/>
      <c r="BD34" s="1" t="s">
        <v>447</v>
      </c>
      <c r="BE34" s="1" t="s">
        <v>137</v>
      </c>
      <c r="BF34" s="72" t="s">
        <v>456</v>
      </c>
      <c r="BG34" s="78">
        <v>92.14</v>
      </c>
      <c r="BH34" s="78">
        <v>92.14</v>
      </c>
      <c r="BI34" s="78">
        <v>71.06</v>
      </c>
      <c r="BJ34" s="78">
        <v>157.11000000000001</v>
      </c>
      <c r="BK34" s="78">
        <v>157.11000000000001</v>
      </c>
      <c r="BL34" s="78">
        <v>167.19</v>
      </c>
      <c r="BM34" s="78">
        <v>165.09</v>
      </c>
      <c r="BN34" s="78">
        <v>165.09</v>
      </c>
      <c r="BO34" s="78">
        <v>170.37</v>
      </c>
      <c r="BP34" s="78"/>
      <c r="BQ34" s="23">
        <v>0.32</v>
      </c>
      <c r="BR34" s="23">
        <v>0.76</v>
      </c>
      <c r="CF34" s="1" t="s">
        <v>447</v>
      </c>
      <c r="CG34" s="1" t="s">
        <v>457</v>
      </c>
      <c r="CH34" s="1">
        <v>1</v>
      </c>
      <c r="CI34" s="31">
        <v>1.1000000000000001</v>
      </c>
      <c r="DD34" s="36" t="s">
        <v>386</v>
      </c>
      <c r="DE34" s="36" t="e">
        <f>NA()</f>
        <v>#N/A</v>
      </c>
      <c r="DN34" s="1" t="s">
        <v>447</v>
      </c>
      <c r="DO34" s="1" t="s">
        <v>137</v>
      </c>
      <c r="DP34" s="1">
        <v>1</v>
      </c>
    </row>
    <row r="35" spans="1:120" hidden="1" x14ac:dyDescent="0.2">
      <c r="A35" s="1" t="s">
        <v>542</v>
      </c>
      <c r="B35" s="1" t="s">
        <v>135</v>
      </c>
      <c r="C35" s="39" t="s">
        <v>549</v>
      </c>
      <c r="D35" s="1">
        <v>44</v>
      </c>
      <c r="E35" s="7">
        <v>2</v>
      </c>
      <c r="G35" s="1" t="s">
        <v>42</v>
      </c>
      <c r="H35" s="1">
        <v>2</v>
      </c>
      <c r="I35" s="6">
        <v>0.95</v>
      </c>
      <c r="K35" s="39">
        <v>1</v>
      </c>
      <c r="L35" s="1" t="s">
        <v>48</v>
      </c>
      <c r="M35" s="1" t="s">
        <v>612</v>
      </c>
      <c r="N35" s="15">
        <f t="shared" ca="1" si="3"/>
        <v>0.16020000000000001</v>
      </c>
      <c r="O35" s="15">
        <f t="shared" si="4"/>
        <v>0.16020000000000001</v>
      </c>
      <c r="P35" s="15"/>
      <c r="BD35" s="1" t="s">
        <v>447</v>
      </c>
      <c r="BE35" s="1" t="s">
        <v>457</v>
      </c>
      <c r="BF35" s="72" t="s">
        <v>458</v>
      </c>
      <c r="BG35" s="79">
        <v>999</v>
      </c>
      <c r="BH35" s="79">
        <v>999</v>
      </c>
      <c r="BI35" s="78">
        <v>140.43</v>
      </c>
      <c r="BJ35" s="78">
        <v>144.57</v>
      </c>
      <c r="BK35" s="78">
        <v>144.57</v>
      </c>
      <c r="BL35" s="78">
        <v>163.86</v>
      </c>
      <c r="BM35" s="78">
        <v>174.66</v>
      </c>
      <c r="BN35" s="78">
        <v>174.66</v>
      </c>
      <c r="BO35" s="78">
        <v>159.38</v>
      </c>
      <c r="BP35" s="78"/>
      <c r="BQ35" s="23">
        <v>0.33</v>
      </c>
      <c r="BR35" s="23">
        <v>0.77</v>
      </c>
      <c r="CF35" s="1" t="s">
        <v>447</v>
      </c>
      <c r="CG35" s="1" t="s">
        <v>133</v>
      </c>
      <c r="CH35" s="1">
        <v>1</v>
      </c>
      <c r="CI35" s="31">
        <f>IF(CH35=1,1.1,1)</f>
        <v>1.1000000000000001</v>
      </c>
      <c r="DD35" s="36" t="s">
        <v>387</v>
      </c>
      <c r="DE35" s="11">
        <v>0.15</v>
      </c>
      <c r="DN35" s="1" t="s">
        <v>447</v>
      </c>
      <c r="DO35" s="1" t="s">
        <v>457</v>
      </c>
      <c r="DP35" s="1">
        <v>1</v>
      </c>
    </row>
    <row r="36" spans="1:120" hidden="1" x14ac:dyDescent="0.2">
      <c r="A36" s="1" t="s">
        <v>406</v>
      </c>
      <c r="B36" s="1" t="s">
        <v>407</v>
      </c>
      <c r="C36" s="39" t="s">
        <v>408</v>
      </c>
      <c r="D36" s="7">
        <v>20</v>
      </c>
      <c r="E36" s="7">
        <v>3</v>
      </c>
      <c r="G36" s="1" t="s">
        <v>44</v>
      </c>
      <c r="H36" s="1">
        <v>3</v>
      </c>
      <c r="I36" s="6">
        <v>1</v>
      </c>
      <c r="K36" s="39">
        <v>1</v>
      </c>
      <c r="L36" s="1" t="s">
        <v>48</v>
      </c>
      <c r="M36" s="1" t="s">
        <v>613</v>
      </c>
      <c r="N36" s="15">
        <f t="shared" ca="1" si="3"/>
        <v>0.16020000000000001</v>
      </c>
      <c r="O36" s="15">
        <f t="shared" si="4"/>
        <v>0.16020000000000001</v>
      </c>
      <c r="P36" s="15"/>
      <c r="BD36" s="1" t="s">
        <v>447</v>
      </c>
      <c r="BE36" s="1" t="s">
        <v>133</v>
      </c>
      <c r="BF36" s="72" t="s">
        <v>459</v>
      </c>
      <c r="BG36" s="78">
        <v>112.94</v>
      </c>
      <c r="BH36" s="78">
        <v>112.94</v>
      </c>
      <c r="BI36" s="78">
        <v>118.44</v>
      </c>
      <c r="BJ36" s="78">
        <v>133.78</v>
      </c>
      <c r="BK36" s="78">
        <v>133.78</v>
      </c>
      <c r="BL36" s="78">
        <v>141.19</v>
      </c>
      <c r="BM36" s="78">
        <v>140.91</v>
      </c>
      <c r="BN36" s="78">
        <v>140.91</v>
      </c>
      <c r="BO36" s="78">
        <v>146.05000000000001</v>
      </c>
      <c r="BP36" s="78"/>
      <c r="BQ36" s="23">
        <v>0.34</v>
      </c>
      <c r="BR36" s="23">
        <v>0.78</v>
      </c>
      <c r="CF36" s="1" t="s">
        <v>447</v>
      </c>
      <c r="CG36" s="1" t="s">
        <v>130</v>
      </c>
      <c r="CH36" s="1">
        <v>1</v>
      </c>
      <c r="CI36" s="31">
        <f>IF(CH36=1,1.1,1)</f>
        <v>1.1000000000000001</v>
      </c>
      <c r="DD36" s="36" t="s">
        <v>388</v>
      </c>
      <c r="DE36" s="11">
        <v>0.05</v>
      </c>
      <c r="DN36" s="1" t="s">
        <v>447</v>
      </c>
      <c r="DO36" s="1" t="s">
        <v>133</v>
      </c>
      <c r="DP36" s="1">
        <v>1</v>
      </c>
    </row>
    <row r="37" spans="1:120" hidden="1" x14ac:dyDescent="0.2">
      <c r="A37" s="1" t="s">
        <v>401</v>
      </c>
      <c r="B37" s="1" t="s">
        <v>417</v>
      </c>
      <c r="C37" s="39" t="s">
        <v>418</v>
      </c>
      <c r="D37" s="7">
        <v>18</v>
      </c>
      <c r="E37" s="7">
        <v>3</v>
      </c>
      <c r="G37" s="1" t="s">
        <v>46</v>
      </c>
      <c r="H37" s="1">
        <v>1</v>
      </c>
      <c r="I37" s="6">
        <v>0.9</v>
      </c>
      <c r="K37" s="39">
        <v>1</v>
      </c>
      <c r="L37" s="1" t="s">
        <v>48</v>
      </c>
      <c r="M37" s="1" t="s">
        <v>614</v>
      </c>
      <c r="N37" s="15">
        <f t="shared" ca="1" si="3"/>
        <v>0.12939999999999999</v>
      </c>
      <c r="O37" s="15">
        <f t="shared" si="4"/>
        <v>0.12939999999999999</v>
      </c>
      <c r="P37" s="15"/>
      <c r="BD37" s="1" t="s">
        <v>447</v>
      </c>
      <c r="BE37" s="1" t="s">
        <v>130</v>
      </c>
      <c r="BF37" s="72" t="s">
        <v>460</v>
      </c>
      <c r="BG37" s="78">
        <v>92.14</v>
      </c>
      <c r="BH37" s="78">
        <v>92.14</v>
      </c>
      <c r="BI37" s="78">
        <v>71.06</v>
      </c>
      <c r="BJ37" s="78">
        <v>157.11000000000001</v>
      </c>
      <c r="BK37" s="78">
        <v>157.11000000000001</v>
      </c>
      <c r="BL37" s="78">
        <v>167.19</v>
      </c>
      <c r="BM37" s="78">
        <v>165.09</v>
      </c>
      <c r="BN37" s="78">
        <v>165.09</v>
      </c>
      <c r="BO37" s="78">
        <v>170.37</v>
      </c>
      <c r="BP37" s="78"/>
      <c r="BQ37" s="23">
        <v>0.35</v>
      </c>
      <c r="BR37" s="23">
        <v>0.79</v>
      </c>
      <c r="CF37" s="1" t="s">
        <v>447</v>
      </c>
      <c r="CG37" s="1" t="s">
        <v>121</v>
      </c>
      <c r="CH37" s="1">
        <v>1</v>
      </c>
      <c r="CI37" s="31">
        <f>IF(CH37=1,1.1,1)</f>
        <v>1.1000000000000001</v>
      </c>
      <c r="DD37" s="36" t="s">
        <v>389</v>
      </c>
      <c r="DE37" s="11">
        <v>0</v>
      </c>
      <c r="DN37" s="1" t="s">
        <v>447</v>
      </c>
      <c r="DO37" s="1" t="s">
        <v>130</v>
      </c>
      <c r="DP37" s="1">
        <v>1</v>
      </c>
    </row>
    <row r="38" spans="1:120" hidden="1" x14ac:dyDescent="0.2">
      <c r="A38" s="1" t="s">
        <v>429</v>
      </c>
      <c r="B38" s="1" t="s">
        <v>430</v>
      </c>
      <c r="C38" s="39" t="s">
        <v>431</v>
      </c>
      <c r="D38" s="7">
        <v>5</v>
      </c>
      <c r="E38" s="7">
        <v>3</v>
      </c>
      <c r="G38" s="1" t="s">
        <v>2</v>
      </c>
      <c r="H38" s="1">
        <v>4</v>
      </c>
      <c r="I38" s="6">
        <v>1.1000000000000001</v>
      </c>
      <c r="K38" s="39">
        <v>1</v>
      </c>
      <c r="L38" s="1" t="s">
        <v>48</v>
      </c>
      <c r="M38" s="1" t="s">
        <v>615</v>
      </c>
      <c r="N38" s="15">
        <f t="shared" ca="1" si="3"/>
        <v>9.2399999999999996E-2</v>
      </c>
      <c r="O38" s="15">
        <f t="shared" si="4"/>
        <v>9.2399999999999996E-2</v>
      </c>
      <c r="P38" s="15"/>
      <c r="BD38" s="1" t="s">
        <v>447</v>
      </c>
      <c r="BE38" s="1" t="s">
        <v>121</v>
      </c>
      <c r="BF38" s="72" t="s">
        <v>461</v>
      </c>
      <c r="BG38" s="78">
        <v>92.14</v>
      </c>
      <c r="BH38" s="78">
        <v>92.14</v>
      </c>
      <c r="BI38" s="78">
        <v>71.06</v>
      </c>
      <c r="BJ38" s="78">
        <v>157.11000000000001</v>
      </c>
      <c r="BK38" s="78">
        <v>157.11000000000001</v>
      </c>
      <c r="BL38" s="78">
        <v>167.19</v>
      </c>
      <c r="BM38" s="78">
        <v>165.09</v>
      </c>
      <c r="BN38" s="78">
        <v>165.09</v>
      </c>
      <c r="BO38" s="78">
        <v>170.37</v>
      </c>
      <c r="BP38" s="78"/>
      <c r="BQ38" s="23">
        <v>0.36</v>
      </c>
      <c r="BR38" s="23">
        <v>0.79</v>
      </c>
      <c r="CF38" s="1" t="s">
        <v>447</v>
      </c>
      <c r="CG38" s="1" t="s">
        <v>462</v>
      </c>
      <c r="CI38" s="31">
        <v>1.1000000000000001</v>
      </c>
      <c r="DN38" s="1" t="s">
        <v>447</v>
      </c>
      <c r="DO38" s="1" t="s">
        <v>121</v>
      </c>
      <c r="DP38" s="1">
        <v>1</v>
      </c>
    </row>
    <row r="39" spans="1:120" hidden="1" x14ac:dyDescent="0.2">
      <c r="A39" s="1" t="s">
        <v>441</v>
      </c>
      <c r="B39" s="1" t="s">
        <v>442</v>
      </c>
      <c r="C39" s="39" t="s">
        <v>443</v>
      </c>
      <c r="D39" s="1">
        <v>10</v>
      </c>
      <c r="E39" s="7">
        <v>3</v>
      </c>
      <c r="G39" s="1" t="s">
        <v>5</v>
      </c>
      <c r="H39" s="1">
        <v>1</v>
      </c>
      <c r="I39" s="6">
        <v>0.9</v>
      </c>
      <c r="K39" s="39">
        <v>1</v>
      </c>
      <c r="L39" s="1" t="s">
        <v>48</v>
      </c>
      <c r="M39" s="1" t="s">
        <v>616</v>
      </c>
      <c r="N39" s="15">
        <f t="shared" ca="1" si="3"/>
        <v>8.0100000000000005E-2</v>
      </c>
      <c r="O39" s="15">
        <f t="shared" si="4"/>
        <v>8.0100000000000005E-2</v>
      </c>
      <c r="P39" s="15"/>
      <c r="BD39" s="1" t="s">
        <v>447</v>
      </c>
      <c r="BE39" s="1" t="s">
        <v>462</v>
      </c>
      <c r="BF39" s="72" t="s">
        <v>463</v>
      </c>
      <c r="BG39" s="78">
        <v>107.76</v>
      </c>
      <c r="BH39" s="78">
        <v>107.76</v>
      </c>
      <c r="BI39" s="78">
        <v>109.38</v>
      </c>
      <c r="BJ39" s="78">
        <v>112.75</v>
      </c>
      <c r="BK39" s="78">
        <v>112.75</v>
      </c>
      <c r="BL39" s="78">
        <v>123.01</v>
      </c>
      <c r="BM39" s="78">
        <v>134.13999999999999</v>
      </c>
      <c r="BN39" s="78">
        <v>134.13999999999999</v>
      </c>
      <c r="BO39" s="78">
        <v>127.43</v>
      </c>
      <c r="BP39" s="78"/>
      <c r="BQ39" s="23">
        <v>0.37</v>
      </c>
      <c r="BR39" s="23">
        <v>0.8</v>
      </c>
      <c r="CF39" s="1" t="s">
        <v>447</v>
      </c>
      <c r="CG39" s="1" t="s">
        <v>464</v>
      </c>
      <c r="CI39" s="31">
        <v>1.1000000000000001</v>
      </c>
      <c r="DN39" s="1" t="s">
        <v>447</v>
      </c>
      <c r="DO39" s="1" t="s">
        <v>462</v>
      </c>
      <c r="DP39" s="1">
        <v>1</v>
      </c>
    </row>
    <row r="40" spans="1:120" hidden="1" x14ac:dyDescent="0.2">
      <c r="A40" s="1" t="s">
        <v>447</v>
      </c>
      <c r="B40" s="1" t="s">
        <v>448</v>
      </c>
      <c r="C40" s="39" t="s">
        <v>449</v>
      </c>
      <c r="D40" s="1">
        <v>4</v>
      </c>
      <c r="E40" s="7">
        <v>3</v>
      </c>
      <c r="G40" s="1" t="s">
        <v>8</v>
      </c>
      <c r="H40" s="1">
        <v>1</v>
      </c>
      <c r="I40" s="6">
        <v>0.9</v>
      </c>
      <c r="K40" s="39">
        <v>1</v>
      </c>
      <c r="L40" s="1" t="s">
        <v>48</v>
      </c>
      <c r="M40" s="1" t="s">
        <v>617</v>
      </c>
      <c r="N40" s="15">
        <f t="shared" ca="1" si="3"/>
        <v>8.0100000000000005E-2</v>
      </c>
      <c r="O40" s="15">
        <f t="shared" si="4"/>
        <v>8.0100000000000005E-2</v>
      </c>
      <c r="P40" s="15"/>
      <c r="BD40" s="1" t="s">
        <v>447</v>
      </c>
      <c r="BE40" s="1" t="s">
        <v>464</v>
      </c>
      <c r="BF40" s="72" t="s">
        <v>465</v>
      </c>
      <c r="BG40" s="78">
        <v>107.76</v>
      </c>
      <c r="BH40" s="78">
        <v>107.76</v>
      </c>
      <c r="BI40" s="78">
        <v>109.38</v>
      </c>
      <c r="BJ40" s="78">
        <v>112.75</v>
      </c>
      <c r="BK40" s="78">
        <v>112.75</v>
      </c>
      <c r="BL40" s="78">
        <v>123.01</v>
      </c>
      <c r="BM40" s="78">
        <v>134.13999999999999</v>
      </c>
      <c r="BN40" s="78">
        <v>134.13999999999999</v>
      </c>
      <c r="BO40" s="78">
        <v>127.43</v>
      </c>
      <c r="BP40" s="78"/>
      <c r="BQ40" s="23">
        <v>0.38</v>
      </c>
      <c r="BR40" s="23">
        <v>0.81</v>
      </c>
      <c r="CF40" s="1" t="s">
        <v>447</v>
      </c>
      <c r="CG40" s="1" t="s">
        <v>466</v>
      </c>
      <c r="CI40" s="31">
        <v>1</v>
      </c>
      <c r="DN40" s="1" t="s">
        <v>447</v>
      </c>
      <c r="DO40" s="1" t="s">
        <v>464</v>
      </c>
      <c r="DP40" s="1">
        <v>1</v>
      </c>
    </row>
    <row r="41" spans="1:120" hidden="1" x14ac:dyDescent="0.2">
      <c r="A41" s="1" t="s">
        <v>468</v>
      </c>
      <c r="B41" s="1" t="s">
        <v>469</v>
      </c>
      <c r="C41" s="39" t="s">
        <v>470</v>
      </c>
      <c r="D41" s="1">
        <v>47</v>
      </c>
      <c r="E41" s="7">
        <v>3</v>
      </c>
      <c r="G41" s="1" t="s">
        <v>11</v>
      </c>
      <c r="H41" s="1">
        <v>3</v>
      </c>
      <c r="I41" s="6">
        <v>1</v>
      </c>
      <c r="K41" s="72">
        <v>1</v>
      </c>
      <c r="L41" s="1" t="s">
        <v>48</v>
      </c>
      <c r="M41" s="1" t="s">
        <v>618</v>
      </c>
      <c r="N41" s="15">
        <f t="shared" ca="1" si="3"/>
        <v>8.0100000000000005E-2</v>
      </c>
      <c r="O41" s="15">
        <f t="shared" si="4"/>
        <v>8.0100000000000005E-2</v>
      </c>
      <c r="P41" s="15"/>
      <c r="BD41" s="1" t="s">
        <v>447</v>
      </c>
      <c r="BE41" s="1" t="s">
        <v>466</v>
      </c>
      <c r="BF41" s="72" t="s">
        <v>467</v>
      </c>
      <c r="BG41" s="78">
        <v>107.76</v>
      </c>
      <c r="BH41" s="78">
        <v>107.76</v>
      </c>
      <c r="BI41" s="78">
        <v>109.38</v>
      </c>
      <c r="BJ41" s="78">
        <v>112.75</v>
      </c>
      <c r="BK41" s="78">
        <v>112.75</v>
      </c>
      <c r="BL41" s="78">
        <v>123.01</v>
      </c>
      <c r="BM41" s="78">
        <v>134.13999999999999</v>
      </c>
      <c r="BN41" s="78">
        <v>134.13999999999999</v>
      </c>
      <c r="BO41" s="78">
        <v>127.43</v>
      </c>
      <c r="BP41" s="78"/>
      <c r="BQ41" s="23">
        <v>0.39</v>
      </c>
      <c r="BR41" s="23">
        <v>0.81</v>
      </c>
      <c r="CF41" s="1" t="s">
        <v>468</v>
      </c>
      <c r="CG41" s="1" t="s">
        <v>469</v>
      </c>
      <c r="CI41" s="31">
        <v>1</v>
      </c>
      <c r="DN41" s="1" t="s">
        <v>447</v>
      </c>
      <c r="DO41" s="1" t="s">
        <v>466</v>
      </c>
      <c r="DP41" s="1">
        <v>1</v>
      </c>
    </row>
    <row r="42" spans="1:120" x14ac:dyDescent="0.2">
      <c r="A42" s="1" t="s">
        <v>482</v>
      </c>
      <c r="B42" s="1" t="s">
        <v>483</v>
      </c>
      <c r="C42" s="39" t="s">
        <v>484</v>
      </c>
      <c r="D42" s="1">
        <v>12</v>
      </c>
      <c r="E42" s="7">
        <v>3</v>
      </c>
      <c r="G42" s="1" t="s">
        <v>14</v>
      </c>
      <c r="H42" s="1">
        <v>2</v>
      </c>
      <c r="I42" s="6">
        <v>0.95</v>
      </c>
      <c r="K42" s="39">
        <v>1</v>
      </c>
      <c r="L42" s="1" t="s">
        <v>49</v>
      </c>
      <c r="M42" s="1" t="s">
        <v>610</v>
      </c>
      <c r="N42" s="15">
        <f t="shared" ca="1" si="3"/>
        <v>0.25240000000000001</v>
      </c>
      <c r="O42" s="15">
        <f>M8</f>
        <v>0.25240000000000001</v>
      </c>
      <c r="P42" s="15"/>
      <c r="BD42" s="1" t="s">
        <v>468</v>
      </c>
      <c r="BE42" s="1" t="s">
        <v>469</v>
      </c>
      <c r="BF42" s="72" t="s">
        <v>470</v>
      </c>
      <c r="BG42" s="78">
        <v>113.5</v>
      </c>
      <c r="BH42" s="78">
        <v>113.5</v>
      </c>
      <c r="BI42" s="78">
        <v>119.43</v>
      </c>
      <c r="BJ42" s="78">
        <v>131.46</v>
      </c>
      <c r="BK42" s="78">
        <v>131.46</v>
      </c>
      <c r="BL42" s="78">
        <v>141.97999999999999</v>
      </c>
      <c r="BM42" s="78">
        <v>138.03</v>
      </c>
      <c r="BN42" s="78">
        <v>138.03</v>
      </c>
      <c r="BO42" s="78">
        <v>142.05000000000001</v>
      </c>
      <c r="BP42" s="78"/>
      <c r="BQ42" s="23">
        <v>0.4</v>
      </c>
      <c r="BR42" s="23">
        <v>0.82</v>
      </c>
      <c r="CF42" s="1" t="s">
        <v>468</v>
      </c>
      <c r="CG42" s="1" t="s">
        <v>66</v>
      </c>
      <c r="CI42" s="31">
        <f t="shared" ref="CI42:CI48" si="5">IF(CH42=1,1.1,1)</f>
        <v>1</v>
      </c>
      <c r="DD42"/>
      <c r="DE42"/>
      <c r="DF42"/>
      <c r="DG42"/>
      <c r="DH42"/>
      <c r="DN42" s="1" t="s">
        <v>468</v>
      </c>
      <c r="DO42" s="1" t="s">
        <v>469</v>
      </c>
      <c r="DP42" s="1">
        <v>2</v>
      </c>
    </row>
    <row r="43" spans="1:120" hidden="1" x14ac:dyDescent="0.2">
      <c r="A43" s="1" t="s">
        <v>496</v>
      </c>
      <c r="B43" s="1" t="s">
        <v>497</v>
      </c>
      <c r="C43" s="39" t="s">
        <v>498</v>
      </c>
      <c r="D43" s="1">
        <v>10</v>
      </c>
      <c r="E43" s="7">
        <v>3</v>
      </c>
      <c r="G43" s="1" t="s">
        <v>17</v>
      </c>
      <c r="H43" s="1">
        <v>3</v>
      </c>
      <c r="I43" s="6">
        <v>1</v>
      </c>
      <c r="K43" s="39">
        <v>1</v>
      </c>
      <c r="L43" s="1" t="s">
        <v>49</v>
      </c>
      <c r="M43" s="1" t="s">
        <v>611</v>
      </c>
      <c r="N43" s="15">
        <f t="shared" ca="1" si="3"/>
        <v>0.25240000000000001</v>
      </c>
      <c r="O43" s="15">
        <f t="shared" ref="O43:O50" si="6">M9</f>
        <v>0.25240000000000001</v>
      </c>
      <c r="P43" s="15"/>
      <c r="BD43" s="1" t="s">
        <v>468</v>
      </c>
      <c r="BE43" s="1" t="s">
        <v>66</v>
      </c>
      <c r="BF43" s="72" t="s">
        <v>471</v>
      </c>
      <c r="BG43" s="78">
        <v>113.5</v>
      </c>
      <c r="BH43" s="78">
        <v>113.5</v>
      </c>
      <c r="BI43" s="78">
        <v>119.43</v>
      </c>
      <c r="BJ43" s="78">
        <v>131.46</v>
      </c>
      <c r="BK43" s="78">
        <v>131.46</v>
      </c>
      <c r="BL43" s="78">
        <v>141.97999999999999</v>
      </c>
      <c r="BM43" s="78">
        <v>138.03</v>
      </c>
      <c r="BN43" s="78">
        <v>138.03</v>
      </c>
      <c r="BO43" s="78">
        <v>142.05000000000001</v>
      </c>
      <c r="BP43" s="78"/>
      <c r="BQ43" s="23">
        <v>0.41</v>
      </c>
      <c r="BR43" s="23">
        <v>0.83</v>
      </c>
      <c r="CF43" s="1" t="s">
        <v>468</v>
      </c>
      <c r="CG43" s="1" t="s">
        <v>153</v>
      </c>
      <c r="CI43" s="31">
        <f t="shared" si="5"/>
        <v>1</v>
      </c>
      <c r="DD43"/>
      <c r="DE43"/>
      <c r="DF43"/>
      <c r="DG43"/>
      <c r="DH43"/>
      <c r="DN43" s="1" t="s">
        <v>468</v>
      </c>
      <c r="DO43" s="1" t="s">
        <v>66</v>
      </c>
      <c r="DP43" s="1">
        <v>2</v>
      </c>
    </row>
    <row r="44" spans="1:120" hidden="1" x14ac:dyDescent="0.2">
      <c r="A44" s="1" t="s">
        <v>125</v>
      </c>
      <c r="B44" s="1" t="s">
        <v>517</v>
      </c>
      <c r="C44" s="39" t="s">
        <v>518</v>
      </c>
      <c r="D44" s="1">
        <v>13</v>
      </c>
      <c r="E44" s="7">
        <v>3</v>
      </c>
      <c r="G44" s="1" t="s">
        <v>20</v>
      </c>
      <c r="H44" s="1">
        <v>4</v>
      </c>
      <c r="I44" s="6">
        <v>1.1000000000000001</v>
      </c>
      <c r="K44" s="39">
        <v>1</v>
      </c>
      <c r="L44" s="1" t="s">
        <v>49</v>
      </c>
      <c r="M44" s="1" t="s">
        <v>612</v>
      </c>
      <c r="N44" s="15">
        <f t="shared" ca="1" si="3"/>
        <v>0.1875</v>
      </c>
      <c r="O44" s="15">
        <f t="shared" si="6"/>
        <v>0.1875</v>
      </c>
      <c r="P44" s="15"/>
      <c r="BD44" s="1" t="s">
        <v>468</v>
      </c>
      <c r="BE44" s="1" t="s">
        <v>153</v>
      </c>
      <c r="BF44" s="72" t="s">
        <v>472</v>
      </c>
      <c r="BG44" s="78">
        <v>113.5</v>
      </c>
      <c r="BH44" s="78">
        <v>113.5</v>
      </c>
      <c r="BI44" s="78">
        <v>119.43</v>
      </c>
      <c r="BJ44" s="78">
        <v>131.46</v>
      </c>
      <c r="BK44" s="78">
        <v>131.46</v>
      </c>
      <c r="BL44" s="78">
        <v>141.97999999999999</v>
      </c>
      <c r="BM44" s="78">
        <v>138.03</v>
      </c>
      <c r="BN44" s="78">
        <v>138.03</v>
      </c>
      <c r="BO44" s="78">
        <v>142.05000000000001</v>
      </c>
      <c r="BP44" s="78"/>
      <c r="BQ44" s="23">
        <v>0.42</v>
      </c>
      <c r="BR44" s="23">
        <v>0.83</v>
      </c>
      <c r="CF44" s="1" t="s">
        <v>468</v>
      </c>
      <c r="CG44" s="1" t="s">
        <v>150</v>
      </c>
      <c r="CI44" s="31">
        <f t="shared" si="5"/>
        <v>1</v>
      </c>
      <c r="DD44"/>
      <c r="DE44"/>
      <c r="DF44"/>
      <c r="DG44"/>
      <c r="DH44"/>
      <c r="DN44" s="1" t="s">
        <v>468</v>
      </c>
      <c r="DO44" s="1" t="s">
        <v>153</v>
      </c>
      <c r="DP44" s="1">
        <v>2</v>
      </c>
    </row>
    <row r="45" spans="1:120" hidden="1" x14ac:dyDescent="0.2">
      <c r="A45" s="1" t="s">
        <v>528</v>
      </c>
      <c r="B45" s="1" t="s">
        <v>529</v>
      </c>
      <c r="C45" s="39" t="s">
        <v>530</v>
      </c>
      <c r="D45" s="1">
        <v>23</v>
      </c>
      <c r="E45" s="7">
        <v>3</v>
      </c>
      <c r="G45" s="1" t="s">
        <v>556</v>
      </c>
      <c r="H45" s="1">
        <v>3</v>
      </c>
      <c r="I45" s="6">
        <v>1</v>
      </c>
      <c r="K45" s="39">
        <v>1</v>
      </c>
      <c r="L45" s="1" t="s">
        <v>49</v>
      </c>
      <c r="M45" s="1" t="s">
        <v>613</v>
      </c>
      <c r="N45" s="15">
        <f t="shared" ca="1" si="3"/>
        <v>0.1875</v>
      </c>
      <c r="O45" s="15">
        <f t="shared" si="6"/>
        <v>0.1875</v>
      </c>
      <c r="P45" s="15"/>
      <c r="BD45" s="1" t="s">
        <v>468</v>
      </c>
      <c r="BE45" s="1" t="s">
        <v>150</v>
      </c>
      <c r="BF45" s="72" t="s">
        <v>473</v>
      </c>
      <c r="BG45" s="78">
        <v>113.44</v>
      </c>
      <c r="BH45" s="78">
        <v>113.44</v>
      </c>
      <c r="BI45" s="78">
        <v>115.95</v>
      </c>
      <c r="BJ45" s="78">
        <v>131.46</v>
      </c>
      <c r="BK45" s="78">
        <v>131.46</v>
      </c>
      <c r="BL45" s="78">
        <v>141.97999999999999</v>
      </c>
      <c r="BM45" s="78">
        <v>138.03</v>
      </c>
      <c r="BN45" s="78">
        <v>138.03</v>
      </c>
      <c r="BO45" s="78">
        <v>142.05000000000001</v>
      </c>
      <c r="BP45" s="78"/>
      <c r="BQ45" s="23">
        <v>0.43</v>
      </c>
      <c r="BR45" s="23">
        <v>0.84</v>
      </c>
      <c r="CF45" s="1" t="s">
        <v>468</v>
      </c>
      <c r="CG45" s="1" t="s">
        <v>99</v>
      </c>
      <c r="CH45" s="1">
        <v>1</v>
      </c>
      <c r="CI45" s="31">
        <f t="shared" si="5"/>
        <v>1.1000000000000001</v>
      </c>
      <c r="DD45"/>
      <c r="DE45"/>
      <c r="DF45"/>
      <c r="DG45"/>
      <c r="DH45"/>
      <c r="DN45" s="1" t="s">
        <v>468</v>
      </c>
      <c r="DO45" s="1" t="s">
        <v>150</v>
      </c>
      <c r="DP45" s="1">
        <v>2</v>
      </c>
    </row>
    <row r="46" spans="1:120" hidden="1" x14ac:dyDescent="0.2">
      <c r="A46" s="1" t="s">
        <v>536</v>
      </c>
      <c r="B46" s="1" t="s">
        <v>537</v>
      </c>
      <c r="C46" s="39" t="s">
        <v>538</v>
      </c>
      <c r="D46" s="1">
        <v>7</v>
      </c>
      <c r="E46" s="7">
        <v>3</v>
      </c>
      <c r="G46" s="1" t="s">
        <v>25</v>
      </c>
      <c r="H46" s="1">
        <v>2</v>
      </c>
      <c r="I46" s="6">
        <v>0.95</v>
      </c>
      <c r="K46" s="39">
        <v>1</v>
      </c>
      <c r="L46" s="1" t="s">
        <v>49</v>
      </c>
      <c r="M46" s="1" t="s">
        <v>614</v>
      </c>
      <c r="N46" s="15">
        <f t="shared" ca="1" si="3"/>
        <v>0.15140000000000001</v>
      </c>
      <c r="O46" s="15">
        <f t="shared" si="6"/>
        <v>0.15140000000000001</v>
      </c>
      <c r="P46" s="15"/>
      <c r="BD46" s="1" t="s">
        <v>468</v>
      </c>
      <c r="BE46" s="1" t="s">
        <v>99</v>
      </c>
      <c r="BF46" s="72" t="s">
        <v>474</v>
      </c>
      <c r="BG46" s="78">
        <v>115.39</v>
      </c>
      <c r="BH46" s="78">
        <v>115.39</v>
      </c>
      <c r="BI46" s="78">
        <v>117.28</v>
      </c>
      <c r="BJ46" s="78">
        <v>120.86</v>
      </c>
      <c r="BK46" s="78">
        <v>120.86</v>
      </c>
      <c r="BL46" s="78">
        <v>147.69</v>
      </c>
      <c r="BM46" s="78">
        <v>158.93</v>
      </c>
      <c r="BN46" s="78">
        <v>158.93</v>
      </c>
      <c r="BO46" s="78">
        <v>144</v>
      </c>
      <c r="BP46" s="78"/>
      <c r="BQ46" s="23">
        <v>0.44</v>
      </c>
      <c r="BR46" s="23">
        <v>0.84</v>
      </c>
      <c r="CF46" s="1" t="s">
        <v>468</v>
      </c>
      <c r="CG46" s="1" t="s">
        <v>123</v>
      </c>
      <c r="CH46" s="1">
        <v>1</v>
      </c>
      <c r="CI46" s="31">
        <f t="shared" si="5"/>
        <v>1.1000000000000001</v>
      </c>
      <c r="DD46"/>
      <c r="DE46"/>
      <c r="DF46"/>
      <c r="DG46"/>
      <c r="DH46"/>
      <c r="DN46" s="1" t="s">
        <v>468</v>
      </c>
      <c r="DO46" s="1" t="s">
        <v>99</v>
      </c>
      <c r="DP46" s="1">
        <v>2</v>
      </c>
    </row>
    <row r="47" spans="1:120" hidden="1" x14ac:dyDescent="0.2">
      <c r="A47" s="1" t="s">
        <v>542</v>
      </c>
      <c r="B47" s="1" t="s">
        <v>543</v>
      </c>
      <c r="C47" s="39" t="s">
        <v>544</v>
      </c>
      <c r="D47" s="1">
        <v>9</v>
      </c>
      <c r="E47" s="7">
        <v>3</v>
      </c>
      <c r="G47" s="1" t="s">
        <v>28</v>
      </c>
      <c r="H47" s="1">
        <v>2</v>
      </c>
      <c r="I47" s="6">
        <v>0.95</v>
      </c>
      <c r="K47" s="39">
        <v>1</v>
      </c>
      <c r="L47" s="1" t="s">
        <v>49</v>
      </c>
      <c r="M47" s="1" t="s">
        <v>615</v>
      </c>
      <c r="N47" s="15">
        <f t="shared" ca="1" si="3"/>
        <v>0.1082</v>
      </c>
      <c r="O47" s="15">
        <f t="shared" si="6"/>
        <v>0.1082</v>
      </c>
      <c r="P47" s="15"/>
      <c r="BD47" s="1" t="s">
        <v>468</v>
      </c>
      <c r="BE47" s="1" t="s">
        <v>123</v>
      </c>
      <c r="BF47" s="72" t="s">
        <v>475</v>
      </c>
      <c r="BG47" s="78">
        <v>113.44</v>
      </c>
      <c r="BH47" s="78">
        <v>113.44</v>
      </c>
      <c r="BI47" s="78">
        <v>115.95</v>
      </c>
      <c r="BJ47" s="78">
        <v>118.55</v>
      </c>
      <c r="BK47" s="78">
        <v>118.55</v>
      </c>
      <c r="BL47" s="78">
        <v>128.66999999999999</v>
      </c>
      <c r="BM47" s="78">
        <v>147.16999999999999</v>
      </c>
      <c r="BN47" s="78">
        <v>147.16999999999999</v>
      </c>
      <c r="BO47" s="78">
        <v>139.19</v>
      </c>
      <c r="BP47" s="78"/>
      <c r="BQ47" s="23">
        <v>0.45</v>
      </c>
      <c r="BR47" s="23">
        <v>0.85</v>
      </c>
      <c r="CF47" s="1" t="s">
        <v>468</v>
      </c>
      <c r="CG47" s="1" t="s">
        <v>476</v>
      </c>
      <c r="CI47" s="31">
        <f t="shared" si="5"/>
        <v>1</v>
      </c>
      <c r="DD47"/>
      <c r="DE47"/>
      <c r="DF47"/>
      <c r="DG47"/>
      <c r="DH47"/>
      <c r="DN47" s="1" t="s">
        <v>468</v>
      </c>
      <c r="DO47" s="1" t="s">
        <v>123</v>
      </c>
      <c r="DP47" s="1">
        <v>2</v>
      </c>
    </row>
    <row r="48" spans="1:120" hidden="1" x14ac:dyDescent="0.2">
      <c r="A48" s="1" t="s">
        <v>496</v>
      </c>
      <c r="B48" s="1" t="s">
        <v>134</v>
      </c>
      <c r="C48" s="39" t="s">
        <v>501</v>
      </c>
      <c r="D48" s="1">
        <v>10</v>
      </c>
      <c r="E48" s="7">
        <v>1</v>
      </c>
      <c r="G48" s="1" t="s">
        <v>47</v>
      </c>
      <c r="H48" s="1">
        <v>1</v>
      </c>
      <c r="I48" s="6">
        <v>0.9</v>
      </c>
      <c r="K48" s="39">
        <v>1</v>
      </c>
      <c r="L48" s="1" t="s">
        <v>49</v>
      </c>
      <c r="M48" s="1" t="s">
        <v>616</v>
      </c>
      <c r="N48" s="15">
        <f t="shared" ca="1" si="3"/>
        <v>9.3700000000000006E-2</v>
      </c>
      <c r="O48" s="15">
        <f t="shared" si="6"/>
        <v>9.3700000000000006E-2</v>
      </c>
      <c r="P48" s="15"/>
      <c r="BD48" s="1" t="s">
        <v>468</v>
      </c>
      <c r="BE48" s="1" t="s">
        <v>476</v>
      </c>
      <c r="BF48" s="72" t="s">
        <v>477</v>
      </c>
      <c r="BG48" s="78">
        <v>113.5</v>
      </c>
      <c r="BH48" s="78">
        <v>113.5</v>
      </c>
      <c r="BI48" s="78">
        <v>119.43</v>
      </c>
      <c r="BJ48" s="78">
        <v>131.46</v>
      </c>
      <c r="BK48" s="78">
        <v>131.46</v>
      </c>
      <c r="BL48" s="78">
        <v>141.97999999999999</v>
      </c>
      <c r="BM48" s="78">
        <v>138.03</v>
      </c>
      <c r="BN48" s="78">
        <v>138.03</v>
      </c>
      <c r="BO48" s="78">
        <v>142.05000000000001</v>
      </c>
      <c r="BP48" s="78"/>
      <c r="BQ48" s="23">
        <v>0.46</v>
      </c>
      <c r="BR48" s="23">
        <v>0.86</v>
      </c>
      <c r="CF48" s="1" t="s">
        <v>468</v>
      </c>
      <c r="CG48" s="1" t="s">
        <v>478</v>
      </c>
      <c r="CI48" s="31">
        <f t="shared" si="5"/>
        <v>1</v>
      </c>
      <c r="DD48"/>
      <c r="DE48"/>
      <c r="DF48"/>
      <c r="DG48"/>
      <c r="DH48"/>
      <c r="DN48" s="1" t="s">
        <v>468</v>
      </c>
      <c r="DO48" s="1" t="s">
        <v>476</v>
      </c>
      <c r="DP48" s="1">
        <v>2</v>
      </c>
    </row>
    <row r="49" spans="1:120" hidden="1" x14ac:dyDescent="0.2">
      <c r="A49" s="1" t="s">
        <v>406</v>
      </c>
      <c r="B49" s="1" t="s">
        <v>411</v>
      </c>
      <c r="C49" s="39" t="s">
        <v>412</v>
      </c>
      <c r="D49" s="7">
        <v>20</v>
      </c>
      <c r="E49" s="7">
        <v>5</v>
      </c>
      <c r="G49" s="1" t="s">
        <v>33</v>
      </c>
      <c r="H49" s="1">
        <v>1</v>
      </c>
      <c r="I49" s="6">
        <v>0.9</v>
      </c>
      <c r="K49" s="39">
        <v>1</v>
      </c>
      <c r="L49" s="1" t="s">
        <v>49</v>
      </c>
      <c r="M49" s="1" t="s">
        <v>617</v>
      </c>
      <c r="N49" s="15">
        <f t="shared" ca="1" si="3"/>
        <v>9.3700000000000006E-2</v>
      </c>
      <c r="O49" s="15">
        <f t="shared" si="6"/>
        <v>9.3700000000000006E-2</v>
      </c>
      <c r="P49" s="15"/>
      <c r="BD49" s="1" t="s">
        <v>468</v>
      </c>
      <c r="BE49" s="1" t="s">
        <v>478</v>
      </c>
      <c r="BF49" s="72" t="s">
        <v>479</v>
      </c>
      <c r="BG49" s="78">
        <v>114.73</v>
      </c>
      <c r="BH49" s="78">
        <v>114.73</v>
      </c>
      <c r="BI49" s="78">
        <v>120.8</v>
      </c>
      <c r="BJ49" s="78">
        <v>132.83000000000001</v>
      </c>
      <c r="BK49" s="78">
        <v>132.83000000000001</v>
      </c>
      <c r="BL49" s="78">
        <v>144.13999999999999</v>
      </c>
      <c r="BM49" s="78">
        <v>138.94999999999999</v>
      </c>
      <c r="BN49" s="78">
        <v>138.94999999999999</v>
      </c>
      <c r="BO49" s="78">
        <v>142.97</v>
      </c>
      <c r="BP49" s="78"/>
      <c r="BQ49" s="23">
        <v>0.47</v>
      </c>
      <c r="BR49" s="23">
        <v>0.86</v>
      </c>
      <c r="CF49" s="1" t="s">
        <v>468</v>
      </c>
      <c r="CG49" s="1" t="s">
        <v>480</v>
      </c>
      <c r="CI49" s="31">
        <v>1</v>
      </c>
      <c r="DD49"/>
      <c r="DE49"/>
      <c r="DF49"/>
      <c r="DG49"/>
      <c r="DH49"/>
      <c r="DN49" s="1" t="s">
        <v>468</v>
      </c>
      <c r="DO49" s="1" t="s">
        <v>478</v>
      </c>
      <c r="DP49" s="1">
        <v>2</v>
      </c>
    </row>
    <row r="50" spans="1:120" hidden="1" x14ac:dyDescent="0.2">
      <c r="A50" s="1" t="s">
        <v>447</v>
      </c>
      <c r="B50" s="1" t="s">
        <v>133</v>
      </c>
      <c r="C50" s="39" t="s">
        <v>459</v>
      </c>
      <c r="D50" s="1">
        <v>4</v>
      </c>
      <c r="E50" s="7">
        <v>2</v>
      </c>
      <c r="G50" s="1" t="s">
        <v>36</v>
      </c>
      <c r="H50" s="1">
        <v>3</v>
      </c>
      <c r="I50" s="6">
        <v>1</v>
      </c>
      <c r="K50" s="72">
        <v>1</v>
      </c>
      <c r="L50" s="1" t="s">
        <v>49</v>
      </c>
      <c r="M50" s="1" t="s">
        <v>618</v>
      </c>
      <c r="N50" s="15">
        <f t="shared" ca="1" si="3"/>
        <v>9.3700000000000006E-2</v>
      </c>
      <c r="O50" s="15">
        <f t="shared" si="6"/>
        <v>9.3700000000000006E-2</v>
      </c>
      <c r="P50" s="15"/>
      <c r="BD50" s="1" t="s">
        <v>468</v>
      </c>
      <c r="BE50" s="1" t="s">
        <v>480</v>
      </c>
      <c r="BF50" s="72" t="s">
        <v>481</v>
      </c>
      <c r="BG50" s="78">
        <v>113.5</v>
      </c>
      <c r="BH50" s="78">
        <v>113.5</v>
      </c>
      <c r="BI50" s="78">
        <v>119.43</v>
      </c>
      <c r="BJ50" s="78">
        <v>131.46</v>
      </c>
      <c r="BK50" s="78">
        <v>131.46</v>
      </c>
      <c r="BL50" s="78">
        <v>141.97999999999999</v>
      </c>
      <c r="BM50" s="78">
        <v>138.03</v>
      </c>
      <c r="BN50" s="78">
        <v>138.03</v>
      </c>
      <c r="BO50" s="78">
        <v>142.05000000000001</v>
      </c>
      <c r="BP50" s="78"/>
      <c r="BQ50" s="23">
        <v>0.48</v>
      </c>
      <c r="BR50" s="23">
        <v>0.87</v>
      </c>
      <c r="CF50" s="1" t="s">
        <v>482</v>
      </c>
      <c r="CG50" s="1" t="s">
        <v>483</v>
      </c>
      <c r="CI50" s="31">
        <v>1</v>
      </c>
      <c r="DD50"/>
      <c r="DE50"/>
      <c r="DF50"/>
      <c r="DG50"/>
      <c r="DH50"/>
      <c r="DN50" s="1" t="s">
        <v>468</v>
      </c>
      <c r="DO50" s="1" t="s">
        <v>480</v>
      </c>
      <c r="DP50" s="1">
        <v>2</v>
      </c>
    </row>
    <row r="51" spans="1:120" x14ac:dyDescent="0.2">
      <c r="A51" s="1" t="s">
        <v>496</v>
      </c>
      <c r="B51" s="1" t="s">
        <v>132</v>
      </c>
      <c r="C51" s="39" t="s">
        <v>502</v>
      </c>
      <c r="D51" s="1">
        <v>10</v>
      </c>
      <c r="E51" s="7">
        <v>1</v>
      </c>
      <c r="G51" s="1" t="s">
        <v>38</v>
      </c>
      <c r="H51" s="1">
        <v>2</v>
      </c>
      <c r="I51" s="6">
        <v>0.95</v>
      </c>
      <c r="K51" s="72">
        <v>2</v>
      </c>
      <c r="L51" s="1" t="s">
        <v>48</v>
      </c>
      <c r="M51" s="1" t="s">
        <v>610</v>
      </c>
      <c r="N51" s="15">
        <f t="shared" ca="1" si="3"/>
        <v>0.24030000000000001</v>
      </c>
      <c r="O51" s="15">
        <f>N8</f>
        <v>0.24030000000000001</v>
      </c>
      <c r="P51" s="15"/>
      <c r="BD51" s="1" t="s">
        <v>482</v>
      </c>
      <c r="BE51" s="1" t="s">
        <v>483</v>
      </c>
      <c r="BF51" s="72" t="s">
        <v>484</v>
      </c>
      <c r="BG51" s="78">
        <v>59.25</v>
      </c>
      <c r="BH51" s="78">
        <v>59.25</v>
      </c>
      <c r="BI51" s="78">
        <v>65.209999999999994</v>
      </c>
      <c r="BJ51" s="78">
        <v>75.81</v>
      </c>
      <c r="BK51" s="78">
        <v>75.81</v>
      </c>
      <c r="BL51" s="78">
        <v>78.989999999999995</v>
      </c>
      <c r="BM51" s="78">
        <v>81.349999999999994</v>
      </c>
      <c r="BN51" s="78">
        <v>81.349999999999994</v>
      </c>
      <c r="BO51" s="78">
        <v>85.3</v>
      </c>
      <c r="BP51" s="78"/>
      <c r="BQ51" s="23">
        <v>0.49</v>
      </c>
      <c r="BR51" s="23">
        <v>0.87</v>
      </c>
      <c r="CF51" s="1" t="s">
        <v>482</v>
      </c>
      <c r="CG51" s="1" t="s">
        <v>138</v>
      </c>
      <c r="CI51" s="31">
        <f>IF(CH51=1,1.1,1)</f>
        <v>1</v>
      </c>
      <c r="DD51"/>
      <c r="DE51"/>
      <c r="DF51"/>
      <c r="DG51"/>
      <c r="DH51"/>
      <c r="DN51" s="1" t="s">
        <v>482</v>
      </c>
      <c r="DO51" s="1" t="s">
        <v>483</v>
      </c>
      <c r="DP51" s="1">
        <v>4</v>
      </c>
    </row>
    <row r="52" spans="1:120" hidden="1" x14ac:dyDescent="0.2">
      <c r="A52" s="1" t="s">
        <v>125</v>
      </c>
      <c r="B52" s="1" t="s">
        <v>520</v>
      </c>
      <c r="C52" s="39" t="s">
        <v>521</v>
      </c>
      <c r="D52" s="1">
        <v>12</v>
      </c>
      <c r="E52" s="7">
        <v>5</v>
      </c>
      <c r="G52" s="1" t="s">
        <v>40</v>
      </c>
      <c r="H52" s="1">
        <v>2</v>
      </c>
      <c r="I52" s="6">
        <v>0.95</v>
      </c>
      <c r="K52" s="72">
        <v>2</v>
      </c>
      <c r="L52" s="1" t="s">
        <v>48</v>
      </c>
      <c r="M52" s="1" t="s">
        <v>611</v>
      </c>
      <c r="N52" s="15">
        <f t="shared" ca="1" si="3"/>
        <v>0.24030000000000001</v>
      </c>
      <c r="O52" s="15">
        <f t="shared" ref="O52:O59" si="7">N9</f>
        <v>0.24030000000000001</v>
      </c>
      <c r="P52" s="15"/>
      <c r="BD52" s="1" t="s">
        <v>482</v>
      </c>
      <c r="BE52" s="1" t="s">
        <v>138</v>
      </c>
      <c r="BF52" s="72" t="s">
        <v>485</v>
      </c>
      <c r="BG52" s="78">
        <v>53.02</v>
      </c>
      <c r="BH52" s="78">
        <v>53.02</v>
      </c>
      <c r="BI52" s="78">
        <v>59.04</v>
      </c>
      <c r="BJ52" s="78">
        <v>69.47</v>
      </c>
      <c r="BK52" s="78">
        <v>69.47</v>
      </c>
      <c r="BL52" s="78">
        <v>71.73</v>
      </c>
      <c r="BM52" s="78">
        <v>75.010000000000005</v>
      </c>
      <c r="BN52" s="78">
        <v>75.010000000000005</v>
      </c>
      <c r="BO52" s="78">
        <v>78.97</v>
      </c>
      <c r="BP52" s="78"/>
      <c r="BQ52" s="23">
        <v>0.5</v>
      </c>
      <c r="BR52" s="23">
        <v>0.88</v>
      </c>
      <c r="CF52" s="1" t="s">
        <v>482</v>
      </c>
      <c r="CG52" s="1" t="s">
        <v>486</v>
      </c>
      <c r="CI52" s="31">
        <v>1</v>
      </c>
      <c r="DN52" s="1" t="s">
        <v>482</v>
      </c>
      <c r="DO52" s="1" t="s">
        <v>138</v>
      </c>
      <c r="DP52" s="1">
        <v>4</v>
      </c>
    </row>
    <row r="53" spans="1:120" hidden="1" x14ac:dyDescent="0.2">
      <c r="A53" s="1" t="s">
        <v>496</v>
      </c>
      <c r="B53" s="1" t="s">
        <v>131</v>
      </c>
      <c r="C53" s="39" t="s">
        <v>503</v>
      </c>
      <c r="D53" s="1">
        <v>10</v>
      </c>
      <c r="E53" s="7">
        <v>2</v>
      </c>
      <c r="K53" s="72">
        <v>2</v>
      </c>
      <c r="L53" s="1" t="s">
        <v>48</v>
      </c>
      <c r="M53" s="1" t="s">
        <v>612</v>
      </c>
      <c r="N53" s="15">
        <f t="shared" ca="1" si="3"/>
        <v>0.18490000000000001</v>
      </c>
      <c r="O53" s="15">
        <f t="shared" si="7"/>
        <v>0.18490000000000001</v>
      </c>
      <c r="P53" s="15"/>
      <c r="BD53" s="1" t="s">
        <v>482</v>
      </c>
      <c r="BE53" s="1" t="s">
        <v>486</v>
      </c>
      <c r="BF53" s="72" t="s">
        <v>487</v>
      </c>
      <c r="BG53" s="78">
        <v>53.02</v>
      </c>
      <c r="BH53" s="78">
        <v>53.02</v>
      </c>
      <c r="BI53" s="78">
        <v>59.04</v>
      </c>
      <c r="BJ53" s="78">
        <v>69.47</v>
      </c>
      <c r="BK53" s="78">
        <v>69.47</v>
      </c>
      <c r="BL53" s="78">
        <v>71.73</v>
      </c>
      <c r="BM53" s="78">
        <v>75.010000000000005</v>
      </c>
      <c r="BN53" s="78">
        <v>75.010000000000005</v>
      </c>
      <c r="BO53" s="78">
        <v>78.97</v>
      </c>
      <c r="BP53" s="78"/>
      <c r="BQ53" s="23">
        <v>0.51</v>
      </c>
      <c r="BR53" s="23">
        <v>0.88</v>
      </c>
      <c r="CF53" s="1" t="s">
        <v>482</v>
      </c>
      <c r="CG53" s="1" t="s">
        <v>488</v>
      </c>
      <c r="CI53" s="31">
        <v>1</v>
      </c>
      <c r="DN53" s="1" t="s">
        <v>482</v>
      </c>
      <c r="DO53" s="1" t="s">
        <v>486</v>
      </c>
      <c r="DP53" s="1">
        <v>4</v>
      </c>
    </row>
    <row r="54" spans="1:120" hidden="1" x14ac:dyDescent="0.2">
      <c r="A54" s="1" t="s">
        <v>447</v>
      </c>
      <c r="B54" s="1" t="s">
        <v>130</v>
      </c>
      <c r="C54" s="39" t="s">
        <v>460</v>
      </c>
      <c r="D54" s="1">
        <v>9</v>
      </c>
      <c r="E54" s="7">
        <v>1</v>
      </c>
      <c r="G54" s="1" t="s">
        <v>557</v>
      </c>
      <c r="H54" s="1">
        <v>3</v>
      </c>
      <c r="I54" s="6">
        <v>1</v>
      </c>
      <c r="K54" s="72">
        <v>2</v>
      </c>
      <c r="L54" s="1" t="s">
        <v>48</v>
      </c>
      <c r="M54" s="1" t="s">
        <v>613</v>
      </c>
      <c r="N54" s="15">
        <f t="shared" ca="1" si="3"/>
        <v>0.18490000000000001</v>
      </c>
      <c r="O54" s="15">
        <f t="shared" si="7"/>
        <v>0.18490000000000001</v>
      </c>
      <c r="P54" s="15"/>
      <c r="BD54" s="1" t="s">
        <v>482</v>
      </c>
      <c r="BE54" s="1" t="s">
        <v>488</v>
      </c>
      <c r="BF54" s="72" t="s">
        <v>489</v>
      </c>
      <c r="BG54" s="78">
        <v>53.02</v>
      </c>
      <c r="BH54" s="78">
        <v>53.02</v>
      </c>
      <c r="BI54" s="78">
        <v>59.04</v>
      </c>
      <c r="BJ54" s="78">
        <v>69.47</v>
      </c>
      <c r="BK54" s="78">
        <v>69.47</v>
      </c>
      <c r="BL54" s="78">
        <v>71.73</v>
      </c>
      <c r="BM54" s="78">
        <v>75.010000000000005</v>
      </c>
      <c r="BN54" s="78">
        <v>75.010000000000005</v>
      </c>
      <c r="BO54" s="78">
        <v>78.97</v>
      </c>
      <c r="BP54" s="78"/>
      <c r="BQ54" s="23">
        <v>0.52</v>
      </c>
      <c r="BR54" s="23">
        <v>0.89</v>
      </c>
      <c r="CF54" s="1" t="s">
        <v>482</v>
      </c>
      <c r="CG54" s="1" t="s">
        <v>490</v>
      </c>
      <c r="CI54" s="31">
        <v>1</v>
      </c>
      <c r="DN54" s="1" t="s">
        <v>482</v>
      </c>
      <c r="DO54" s="1" t="s">
        <v>488</v>
      </c>
      <c r="DP54" s="1">
        <v>4</v>
      </c>
    </row>
    <row r="55" spans="1:120" hidden="1" x14ac:dyDescent="0.2">
      <c r="A55" s="1" t="s">
        <v>542</v>
      </c>
      <c r="B55" s="1" t="s">
        <v>129</v>
      </c>
      <c r="C55" s="39" t="s">
        <v>550</v>
      </c>
      <c r="D55" s="1">
        <v>9</v>
      </c>
      <c r="E55" s="7">
        <v>1</v>
      </c>
      <c r="G55" s="1" t="s">
        <v>167</v>
      </c>
      <c r="H55" s="17">
        <v>13</v>
      </c>
      <c r="I55" s="6">
        <v>1.1000000000000001</v>
      </c>
      <c r="K55" s="72">
        <v>2</v>
      </c>
      <c r="L55" s="1" t="s">
        <v>48</v>
      </c>
      <c r="M55" s="1" t="s">
        <v>614</v>
      </c>
      <c r="N55" s="15">
        <f t="shared" ca="1" si="3"/>
        <v>0.15409999999999999</v>
      </c>
      <c r="O55" s="15">
        <f t="shared" si="7"/>
        <v>0.15409999999999999</v>
      </c>
      <c r="P55" s="15"/>
      <c r="BD55" s="1" t="s">
        <v>482</v>
      </c>
      <c r="BE55" s="1" t="s">
        <v>490</v>
      </c>
      <c r="BF55" s="72" t="s">
        <v>491</v>
      </c>
      <c r="BG55" s="78">
        <v>53.02</v>
      </c>
      <c r="BH55" s="78">
        <v>53.02</v>
      </c>
      <c r="BI55" s="78">
        <v>59.04</v>
      </c>
      <c r="BJ55" s="78">
        <v>69.47</v>
      </c>
      <c r="BK55" s="78">
        <v>69.47</v>
      </c>
      <c r="BL55" s="78">
        <v>71.73</v>
      </c>
      <c r="BM55" s="78">
        <v>75.010000000000005</v>
      </c>
      <c r="BN55" s="78">
        <v>75.010000000000005</v>
      </c>
      <c r="BO55" s="78">
        <v>78.97</v>
      </c>
      <c r="BP55" s="78"/>
      <c r="BQ55" s="23">
        <v>0.53</v>
      </c>
      <c r="BR55" s="23">
        <v>0.89</v>
      </c>
      <c r="CF55" s="1" t="s">
        <v>482</v>
      </c>
      <c r="CG55" s="1" t="s">
        <v>492</v>
      </c>
      <c r="CI55" s="31">
        <v>1</v>
      </c>
      <c r="DN55" s="1" t="s">
        <v>482</v>
      </c>
      <c r="DO55" s="1" t="s">
        <v>490</v>
      </c>
      <c r="DP55" s="1">
        <v>4</v>
      </c>
    </row>
    <row r="56" spans="1:120" hidden="1" x14ac:dyDescent="0.2">
      <c r="A56" s="1" t="s">
        <v>468</v>
      </c>
      <c r="B56" s="1" t="s">
        <v>99</v>
      </c>
      <c r="C56" s="39" t="s">
        <v>474</v>
      </c>
      <c r="D56" s="1">
        <v>3</v>
      </c>
      <c r="E56" s="7">
        <v>1</v>
      </c>
      <c r="G56" s="1" t="s">
        <v>165</v>
      </c>
      <c r="H56" s="17">
        <v>11</v>
      </c>
      <c r="I56" s="6">
        <v>1.05</v>
      </c>
      <c r="K56" s="72">
        <v>2</v>
      </c>
      <c r="L56" s="1" t="s">
        <v>48</v>
      </c>
      <c r="M56" s="1" t="s">
        <v>615</v>
      </c>
      <c r="N56" s="15">
        <f t="shared" ca="1" si="3"/>
        <v>0.1109</v>
      </c>
      <c r="O56" s="15">
        <f t="shared" si="7"/>
        <v>0.1109</v>
      </c>
      <c r="P56" s="15"/>
      <c r="BD56" s="1" t="s">
        <v>482</v>
      </c>
      <c r="BE56" s="1" t="s">
        <v>492</v>
      </c>
      <c r="BF56" s="72" t="s">
        <v>493</v>
      </c>
      <c r="BG56" s="78">
        <v>53.02</v>
      </c>
      <c r="BH56" s="78">
        <v>53.02</v>
      </c>
      <c r="BI56" s="78">
        <v>59.04</v>
      </c>
      <c r="BJ56" s="78">
        <v>69.47</v>
      </c>
      <c r="BK56" s="78">
        <v>69.47</v>
      </c>
      <c r="BL56" s="78">
        <v>71.73</v>
      </c>
      <c r="BM56" s="78">
        <v>75.010000000000005</v>
      </c>
      <c r="BN56" s="78">
        <v>75.010000000000005</v>
      </c>
      <c r="BO56" s="78">
        <v>78.97</v>
      </c>
      <c r="BP56" s="78"/>
      <c r="BQ56" s="23">
        <v>0.54</v>
      </c>
      <c r="BR56" s="23">
        <v>0.9</v>
      </c>
      <c r="CF56" s="1" t="s">
        <v>482</v>
      </c>
      <c r="CG56" s="1" t="s">
        <v>494</v>
      </c>
      <c r="CI56" s="31">
        <v>1</v>
      </c>
      <c r="DN56" s="1" t="s">
        <v>482</v>
      </c>
      <c r="DO56" s="1" t="s">
        <v>492</v>
      </c>
      <c r="DP56" s="1">
        <v>4</v>
      </c>
    </row>
    <row r="57" spans="1:120" hidden="1" x14ac:dyDescent="0.2">
      <c r="A57" s="1" t="s">
        <v>496</v>
      </c>
      <c r="B57" s="1" t="s">
        <v>128</v>
      </c>
      <c r="C57" s="39" t="s">
        <v>504</v>
      </c>
      <c r="D57" s="1">
        <v>10</v>
      </c>
      <c r="E57" s="7">
        <v>1</v>
      </c>
      <c r="G57" s="1" t="s">
        <v>166</v>
      </c>
      <c r="H57" s="17">
        <v>12</v>
      </c>
      <c r="I57" s="6">
        <v>1.1000000000000001</v>
      </c>
      <c r="K57" s="72">
        <v>2</v>
      </c>
      <c r="L57" s="1" t="s">
        <v>48</v>
      </c>
      <c r="M57" s="1" t="s">
        <v>616</v>
      </c>
      <c r="N57" s="15">
        <f t="shared" ca="1" si="3"/>
        <v>9.2399999999999996E-2</v>
      </c>
      <c r="O57" s="15">
        <f t="shared" si="7"/>
        <v>9.2399999999999996E-2</v>
      </c>
      <c r="P57" s="15"/>
      <c r="BD57" s="1" t="s">
        <v>482</v>
      </c>
      <c r="BE57" s="1" t="s">
        <v>494</v>
      </c>
      <c r="BF57" s="72" t="s">
        <v>495</v>
      </c>
      <c r="BG57" s="78">
        <v>53.02</v>
      </c>
      <c r="BH57" s="78">
        <v>53.02</v>
      </c>
      <c r="BI57" s="78">
        <v>59.04</v>
      </c>
      <c r="BJ57" s="78">
        <v>69.47</v>
      </c>
      <c r="BK57" s="78">
        <v>69.47</v>
      </c>
      <c r="BL57" s="78">
        <v>71.73</v>
      </c>
      <c r="BM57" s="78">
        <v>75.010000000000005</v>
      </c>
      <c r="BN57" s="78">
        <v>75.010000000000005</v>
      </c>
      <c r="BO57" s="78">
        <v>78.97</v>
      </c>
      <c r="BP57" s="78"/>
      <c r="BQ57" s="23">
        <v>0.55000000000000004</v>
      </c>
      <c r="BR57" s="23">
        <v>0.9</v>
      </c>
      <c r="CF57" s="1" t="s">
        <v>496</v>
      </c>
      <c r="CG57" s="1" t="s">
        <v>497</v>
      </c>
      <c r="CI57" s="31">
        <v>1</v>
      </c>
      <c r="DN57" s="1" t="s">
        <v>482</v>
      </c>
      <c r="DO57" s="1" t="s">
        <v>494</v>
      </c>
      <c r="DP57" s="1">
        <v>4</v>
      </c>
    </row>
    <row r="58" spans="1:120" hidden="1" x14ac:dyDescent="0.2">
      <c r="A58" s="1" t="s">
        <v>482</v>
      </c>
      <c r="B58" s="1" t="s">
        <v>490</v>
      </c>
      <c r="C58" s="39" t="s">
        <v>491</v>
      </c>
      <c r="D58" s="1">
        <v>12</v>
      </c>
      <c r="E58" s="7">
        <v>5</v>
      </c>
      <c r="G58" s="1" t="s">
        <v>168</v>
      </c>
      <c r="H58" s="17">
        <v>14</v>
      </c>
      <c r="I58" s="6">
        <v>1</v>
      </c>
      <c r="K58" s="72">
        <v>2</v>
      </c>
      <c r="L58" s="1" t="s">
        <v>48</v>
      </c>
      <c r="M58" s="1" t="s">
        <v>617</v>
      </c>
      <c r="N58" s="15">
        <f t="shared" ca="1" si="3"/>
        <v>9.2399999999999996E-2</v>
      </c>
      <c r="O58" s="15">
        <f t="shared" si="7"/>
        <v>9.2399999999999996E-2</v>
      </c>
      <c r="P58" s="15"/>
      <c r="BD58" s="1" t="s">
        <v>496</v>
      </c>
      <c r="BE58" s="1" t="s">
        <v>497</v>
      </c>
      <c r="BF58" s="72" t="s">
        <v>498</v>
      </c>
      <c r="BG58" s="78">
        <v>113.5</v>
      </c>
      <c r="BH58" s="78">
        <v>113.5</v>
      </c>
      <c r="BI58" s="78">
        <v>119.43</v>
      </c>
      <c r="BJ58" s="78">
        <v>131.46</v>
      </c>
      <c r="BK58" s="78">
        <v>131.46</v>
      </c>
      <c r="BL58" s="78">
        <v>141.97999999999999</v>
      </c>
      <c r="BM58" s="78">
        <v>138.03</v>
      </c>
      <c r="BN58" s="78">
        <v>138.03</v>
      </c>
      <c r="BO58" s="78">
        <v>142.05000000000001</v>
      </c>
      <c r="BP58" s="78"/>
      <c r="BQ58" s="23">
        <v>0.56000000000000005</v>
      </c>
      <c r="BR58" s="23">
        <v>0.9</v>
      </c>
      <c r="CF58" s="1" t="s">
        <v>496</v>
      </c>
      <c r="CG58" s="1" t="s">
        <v>152</v>
      </c>
      <c r="CI58" s="31">
        <f t="shared" ref="CI58:CI71" si="8">IF(CH58=1,1.1,1)</f>
        <v>1</v>
      </c>
      <c r="DN58" s="1" t="s">
        <v>496</v>
      </c>
      <c r="DO58" s="1" t="s">
        <v>497</v>
      </c>
      <c r="DP58" s="1">
        <v>2</v>
      </c>
    </row>
    <row r="59" spans="1:120" hidden="1" x14ac:dyDescent="0.2">
      <c r="A59" s="1" t="s">
        <v>401</v>
      </c>
      <c r="B59" s="1" t="s">
        <v>423</v>
      </c>
      <c r="C59" s="39" t="s">
        <v>424</v>
      </c>
      <c r="D59" s="7">
        <v>18</v>
      </c>
      <c r="E59" s="7">
        <v>5</v>
      </c>
      <c r="K59" s="72">
        <v>2</v>
      </c>
      <c r="L59" s="1" t="s">
        <v>48</v>
      </c>
      <c r="M59" s="1" t="s">
        <v>618</v>
      </c>
      <c r="N59" s="15">
        <f t="shared" ca="1" si="3"/>
        <v>9.2399999999999996E-2</v>
      </c>
      <c r="O59" s="15">
        <f t="shared" si="7"/>
        <v>9.2399999999999996E-2</v>
      </c>
      <c r="P59" s="15"/>
      <c r="BD59" s="1" t="s">
        <v>496</v>
      </c>
      <c r="BE59" s="1" t="s">
        <v>152</v>
      </c>
      <c r="BF59" s="72" t="s">
        <v>499</v>
      </c>
      <c r="BG59" s="78">
        <v>113.5</v>
      </c>
      <c r="BH59" s="78">
        <v>113.5</v>
      </c>
      <c r="BI59" s="78">
        <v>119.43</v>
      </c>
      <c r="BJ59" s="78">
        <v>131.46</v>
      </c>
      <c r="BK59" s="78">
        <v>131.46</v>
      </c>
      <c r="BL59" s="78">
        <v>141.97999999999999</v>
      </c>
      <c r="BM59" s="78">
        <v>138.03</v>
      </c>
      <c r="BN59" s="78">
        <v>138.03</v>
      </c>
      <c r="BO59" s="78">
        <v>142.05000000000001</v>
      </c>
      <c r="BP59" s="78"/>
      <c r="BQ59" s="23">
        <v>0.56999999999999995</v>
      </c>
      <c r="BR59" s="23">
        <v>0.91</v>
      </c>
      <c r="CF59" s="1" t="s">
        <v>496</v>
      </c>
      <c r="CG59" s="1" t="s">
        <v>151</v>
      </c>
      <c r="CI59" s="31">
        <f t="shared" si="8"/>
        <v>1</v>
      </c>
      <c r="DN59" s="1" t="s">
        <v>496</v>
      </c>
      <c r="DO59" s="1" t="s">
        <v>152</v>
      </c>
      <c r="DP59" s="1">
        <v>2</v>
      </c>
    </row>
    <row r="60" spans="1:120" x14ac:dyDescent="0.2">
      <c r="A60" s="1" t="s">
        <v>406</v>
      </c>
      <c r="B60" s="1" t="s">
        <v>413</v>
      </c>
      <c r="C60" s="39" t="s">
        <v>414</v>
      </c>
      <c r="D60" s="7">
        <v>20</v>
      </c>
      <c r="E60" s="7">
        <v>5</v>
      </c>
      <c r="G60" s="1" t="s">
        <v>169</v>
      </c>
      <c r="H60" s="17">
        <v>21</v>
      </c>
      <c r="I60" s="6">
        <v>1.1000000000000001</v>
      </c>
      <c r="K60" s="72">
        <v>2</v>
      </c>
      <c r="L60" s="1" t="s">
        <v>49</v>
      </c>
      <c r="M60" s="1" t="s">
        <v>610</v>
      </c>
      <c r="N60" s="15">
        <f t="shared" ca="1" si="3"/>
        <v>0.28120000000000001</v>
      </c>
      <c r="O60" s="15">
        <f>O8</f>
        <v>0.28120000000000001</v>
      </c>
      <c r="P60" s="15"/>
      <c r="BD60" s="1" t="s">
        <v>496</v>
      </c>
      <c r="BE60" s="1" t="s">
        <v>151</v>
      </c>
      <c r="BF60" s="72" t="s">
        <v>500</v>
      </c>
      <c r="BG60" s="78">
        <v>149.11000000000001</v>
      </c>
      <c r="BH60" s="78">
        <v>149.11000000000001</v>
      </c>
      <c r="BI60" s="78">
        <v>156.53</v>
      </c>
      <c r="BJ60" s="78">
        <v>173.1</v>
      </c>
      <c r="BK60" s="78">
        <v>173.1</v>
      </c>
      <c r="BL60" s="78">
        <v>186.74</v>
      </c>
      <c r="BM60" s="78">
        <v>181.63</v>
      </c>
      <c r="BN60" s="78">
        <v>181.63</v>
      </c>
      <c r="BO60" s="78">
        <v>188.02</v>
      </c>
      <c r="BP60" s="78"/>
      <c r="BQ60" s="23">
        <v>0.57999999999999996</v>
      </c>
      <c r="BR60" s="23">
        <v>0.91</v>
      </c>
      <c r="CF60" s="1" t="s">
        <v>496</v>
      </c>
      <c r="CG60" s="1" t="s">
        <v>134</v>
      </c>
      <c r="CI60" s="31">
        <f t="shared" si="8"/>
        <v>1</v>
      </c>
      <c r="DN60" s="1" t="s">
        <v>496</v>
      </c>
      <c r="DO60" s="1" t="s">
        <v>151</v>
      </c>
      <c r="DP60" s="1">
        <v>2</v>
      </c>
    </row>
    <row r="61" spans="1:120" hidden="1" x14ac:dyDescent="0.2">
      <c r="A61" s="1" t="s">
        <v>406</v>
      </c>
      <c r="B61" s="1" t="s">
        <v>415</v>
      </c>
      <c r="C61" s="39" t="s">
        <v>416</v>
      </c>
      <c r="D61" s="7">
        <v>20</v>
      </c>
      <c r="E61" s="7">
        <v>5</v>
      </c>
      <c r="G61" s="1" t="s">
        <v>170</v>
      </c>
      <c r="H61" s="17">
        <v>22</v>
      </c>
      <c r="I61" s="6">
        <v>0.9</v>
      </c>
      <c r="K61" s="72">
        <v>2</v>
      </c>
      <c r="L61" s="1" t="s">
        <v>49</v>
      </c>
      <c r="M61" s="1" t="s">
        <v>611</v>
      </c>
      <c r="N61" s="15">
        <f t="shared" ca="1" si="3"/>
        <v>0.28120000000000001</v>
      </c>
      <c r="O61" s="15">
        <f t="shared" ref="O61:O68" si="9">O9</f>
        <v>0.28120000000000001</v>
      </c>
      <c r="P61" s="15"/>
      <c r="BD61" s="1" t="s">
        <v>496</v>
      </c>
      <c r="BE61" s="1" t="s">
        <v>134</v>
      </c>
      <c r="BF61" s="72" t="s">
        <v>501</v>
      </c>
      <c r="BG61" s="78">
        <v>113.5</v>
      </c>
      <c r="BH61" s="78">
        <v>113.5</v>
      </c>
      <c r="BI61" s="78">
        <v>119.43</v>
      </c>
      <c r="BJ61" s="78">
        <v>131.46</v>
      </c>
      <c r="BK61" s="78">
        <v>131.46</v>
      </c>
      <c r="BL61" s="78">
        <v>141.97999999999999</v>
      </c>
      <c r="BM61" s="78">
        <v>138.03</v>
      </c>
      <c r="BN61" s="78">
        <v>138.03</v>
      </c>
      <c r="BO61" s="78">
        <v>142.05000000000001</v>
      </c>
      <c r="BP61" s="78"/>
      <c r="BQ61" s="23">
        <v>0.59</v>
      </c>
      <c r="BR61" s="23">
        <v>0.91</v>
      </c>
      <c r="CF61" s="1" t="s">
        <v>496</v>
      </c>
      <c r="CG61" s="1" t="s">
        <v>132</v>
      </c>
      <c r="CI61" s="31">
        <f t="shared" si="8"/>
        <v>1</v>
      </c>
      <c r="DN61" s="1" t="s">
        <v>496</v>
      </c>
      <c r="DO61" s="1" t="s">
        <v>134</v>
      </c>
      <c r="DP61" s="1">
        <v>2</v>
      </c>
    </row>
    <row r="62" spans="1:120" hidden="1" x14ac:dyDescent="0.2">
      <c r="A62" s="1" t="s">
        <v>125</v>
      </c>
      <c r="B62" s="1" t="s">
        <v>127</v>
      </c>
      <c r="C62" s="39" t="s">
        <v>522</v>
      </c>
      <c r="D62" s="1">
        <v>13</v>
      </c>
      <c r="E62" s="7">
        <v>2</v>
      </c>
      <c r="K62" s="72">
        <v>2</v>
      </c>
      <c r="L62" s="1" t="s">
        <v>49</v>
      </c>
      <c r="M62" s="1" t="s">
        <v>612</v>
      </c>
      <c r="N62" s="15">
        <f t="shared" ca="1" si="3"/>
        <v>0.21629999999999999</v>
      </c>
      <c r="O62" s="15">
        <f t="shared" si="9"/>
        <v>0.21629999999999999</v>
      </c>
      <c r="P62" s="15"/>
      <c r="BD62" s="1" t="s">
        <v>496</v>
      </c>
      <c r="BE62" s="1" t="s">
        <v>132</v>
      </c>
      <c r="BF62" s="72" t="s">
        <v>502</v>
      </c>
      <c r="BG62" s="78">
        <v>53.02</v>
      </c>
      <c r="BH62" s="78">
        <v>53.02</v>
      </c>
      <c r="BI62" s="78">
        <v>59.04</v>
      </c>
      <c r="BJ62" s="78">
        <v>69.47</v>
      </c>
      <c r="BK62" s="78">
        <v>69.47</v>
      </c>
      <c r="BL62" s="78">
        <v>71.73</v>
      </c>
      <c r="BM62" s="78">
        <v>75.010000000000005</v>
      </c>
      <c r="BN62" s="78">
        <v>75.010000000000005</v>
      </c>
      <c r="BO62" s="78">
        <v>78.97</v>
      </c>
      <c r="BP62" s="78"/>
      <c r="BQ62" s="23">
        <v>0.6</v>
      </c>
      <c r="BR62" s="23">
        <v>0.92</v>
      </c>
      <c r="CF62" s="1" t="s">
        <v>496</v>
      </c>
      <c r="CG62" s="1" t="s">
        <v>131</v>
      </c>
      <c r="CI62" s="31">
        <f t="shared" si="8"/>
        <v>1</v>
      </c>
      <c r="DN62" s="1" t="s">
        <v>496</v>
      </c>
      <c r="DO62" s="1" t="s">
        <v>132</v>
      </c>
      <c r="DP62" s="1">
        <v>2</v>
      </c>
    </row>
    <row r="63" spans="1:120" hidden="1" x14ac:dyDescent="0.2">
      <c r="A63" s="1" t="s">
        <v>429</v>
      </c>
      <c r="B63" s="1" t="s">
        <v>126</v>
      </c>
      <c r="C63" s="39" t="s">
        <v>436</v>
      </c>
      <c r="D63" s="1">
        <v>39</v>
      </c>
      <c r="E63" s="7">
        <v>1</v>
      </c>
      <c r="K63" s="72">
        <v>2</v>
      </c>
      <c r="L63" s="1" t="s">
        <v>49</v>
      </c>
      <c r="M63" s="1" t="s">
        <v>613</v>
      </c>
      <c r="N63" s="15">
        <f t="shared" ca="1" si="3"/>
        <v>0.21629999999999999</v>
      </c>
      <c r="O63" s="15">
        <f t="shared" si="9"/>
        <v>0.21629999999999999</v>
      </c>
      <c r="P63" s="15"/>
      <c r="BD63" s="1" t="s">
        <v>496</v>
      </c>
      <c r="BE63" s="1" t="s">
        <v>131</v>
      </c>
      <c r="BF63" s="72" t="s">
        <v>503</v>
      </c>
      <c r="BG63" s="78">
        <v>149.11000000000001</v>
      </c>
      <c r="BH63" s="78">
        <v>149.11000000000001</v>
      </c>
      <c r="BI63" s="78">
        <v>156.53</v>
      </c>
      <c r="BJ63" s="78">
        <v>173.1</v>
      </c>
      <c r="BK63" s="78">
        <v>173.1</v>
      </c>
      <c r="BL63" s="78">
        <v>186.74</v>
      </c>
      <c r="BM63" s="78">
        <v>181.63</v>
      </c>
      <c r="BN63" s="78">
        <v>181.63</v>
      </c>
      <c r="BO63" s="78">
        <v>188.02</v>
      </c>
      <c r="BP63" s="78"/>
      <c r="BQ63" s="23">
        <v>0.61</v>
      </c>
      <c r="BR63" s="23">
        <v>0.92</v>
      </c>
      <c r="CF63" s="1" t="s">
        <v>496</v>
      </c>
      <c r="CG63" s="1" t="s">
        <v>128</v>
      </c>
      <c r="CI63" s="31">
        <f t="shared" si="8"/>
        <v>1</v>
      </c>
      <c r="DN63" s="1" t="s">
        <v>496</v>
      </c>
      <c r="DO63" s="1" t="s">
        <v>131</v>
      </c>
      <c r="DP63" s="1">
        <v>2</v>
      </c>
    </row>
    <row r="64" spans="1:120" hidden="1" x14ac:dyDescent="0.2">
      <c r="A64" s="1" t="s">
        <v>125</v>
      </c>
      <c r="B64" s="1" t="s">
        <v>125</v>
      </c>
      <c r="C64" s="39" t="s">
        <v>523</v>
      </c>
      <c r="D64" s="1">
        <v>12</v>
      </c>
      <c r="E64" s="7">
        <v>3</v>
      </c>
      <c r="K64" s="72">
        <v>2</v>
      </c>
      <c r="L64" s="1" t="s">
        <v>49</v>
      </c>
      <c r="M64" s="1" t="s">
        <v>614</v>
      </c>
      <c r="N64" s="15">
        <f t="shared" ca="1" si="3"/>
        <v>0.18029999999999999</v>
      </c>
      <c r="O64" s="15">
        <f t="shared" si="9"/>
        <v>0.18029999999999999</v>
      </c>
      <c r="P64" s="15"/>
      <c r="BD64" s="1" t="s">
        <v>496</v>
      </c>
      <c r="BE64" s="1" t="s">
        <v>128</v>
      </c>
      <c r="BF64" s="72" t="s">
        <v>504</v>
      </c>
      <c r="BG64" s="78">
        <v>149.11000000000001</v>
      </c>
      <c r="BH64" s="78">
        <v>149.11000000000001</v>
      </c>
      <c r="BI64" s="78">
        <v>156.53</v>
      </c>
      <c r="BJ64" s="78">
        <v>173.1</v>
      </c>
      <c r="BK64" s="78">
        <v>173.1</v>
      </c>
      <c r="BL64" s="78">
        <v>186.74</v>
      </c>
      <c r="BM64" s="78">
        <v>181.63</v>
      </c>
      <c r="BN64" s="78">
        <v>181.63</v>
      </c>
      <c r="BO64" s="78">
        <v>188.02</v>
      </c>
      <c r="BP64" s="78"/>
      <c r="BQ64" s="23">
        <v>0.62</v>
      </c>
      <c r="BR64" s="23">
        <v>0.92</v>
      </c>
      <c r="CF64" s="1" t="s">
        <v>496</v>
      </c>
      <c r="CG64" s="1" t="s">
        <v>122</v>
      </c>
      <c r="CI64" s="31">
        <f t="shared" si="8"/>
        <v>1</v>
      </c>
      <c r="DN64" s="1" t="s">
        <v>496</v>
      </c>
      <c r="DO64" s="1" t="s">
        <v>128</v>
      </c>
      <c r="DP64" s="1">
        <v>2</v>
      </c>
    </row>
    <row r="65" spans="1:120" hidden="1" x14ac:dyDescent="0.2">
      <c r="A65" s="1" t="s">
        <v>542</v>
      </c>
      <c r="B65" s="1" t="s">
        <v>124</v>
      </c>
      <c r="C65" s="39" t="s">
        <v>551</v>
      </c>
      <c r="D65" s="1">
        <v>9</v>
      </c>
      <c r="E65" s="7">
        <v>2</v>
      </c>
      <c r="K65" s="72">
        <v>2</v>
      </c>
      <c r="L65" s="1" t="s">
        <v>49</v>
      </c>
      <c r="M65" s="1" t="s">
        <v>615</v>
      </c>
      <c r="N65" s="15">
        <f t="shared" ref="N65:N86" ca="1" si="10">INDEX(OFFSET($L$8:$L$16,0,2*(K65-1)+IF(L65="Basic",0,1)),MATCH(M65,$K$8:$K$16,0))</f>
        <v>0.1298</v>
      </c>
      <c r="O65" s="15">
        <f t="shared" si="9"/>
        <v>0.1298</v>
      </c>
      <c r="P65" s="15"/>
      <c r="BD65" s="1" t="s">
        <v>496</v>
      </c>
      <c r="BE65" s="1" t="s">
        <v>122</v>
      </c>
      <c r="BF65" s="72" t="s">
        <v>505</v>
      </c>
      <c r="BG65" s="78">
        <v>133.13</v>
      </c>
      <c r="BH65" s="78">
        <v>133.13</v>
      </c>
      <c r="BI65" s="78">
        <v>140.56</v>
      </c>
      <c r="BJ65" s="78">
        <v>157.09</v>
      </c>
      <c r="BK65" s="78">
        <v>157.09</v>
      </c>
      <c r="BL65" s="78">
        <v>167.95</v>
      </c>
      <c r="BM65" s="78">
        <v>165.62</v>
      </c>
      <c r="BN65" s="78">
        <v>165.62</v>
      </c>
      <c r="BO65" s="78">
        <v>172</v>
      </c>
      <c r="BP65" s="78"/>
      <c r="BQ65" s="23">
        <v>0.63</v>
      </c>
      <c r="BR65" s="23">
        <v>0.92</v>
      </c>
      <c r="CF65" s="1" t="s">
        <v>496</v>
      </c>
      <c r="CG65" s="1" t="s">
        <v>506</v>
      </c>
      <c r="CI65" s="31">
        <f t="shared" si="8"/>
        <v>1</v>
      </c>
      <c r="DN65" s="1" t="s">
        <v>496</v>
      </c>
      <c r="DO65" s="1" t="s">
        <v>122</v>
      </c>
      <c r="DP65" s="1">
        <v>2</v>
      </c>
    </row>
    <row r="66" spans="1:120" hidden="1" x14ac:dyDescent="0.2">
      <c r="A66" s="1" t="s">
        <v>514</v>
      </c>
      <c r="B66" s="1" t="s">
        <v>515</v>
      </c>
      <c r="C66" s="39" t="s">
        <v>516</v>
      </c>
      <c r="D66" s="1">
        <v>37</v>
      </c>
      <c r="E66" s="7">
        <v>1</v>
      </c>
      <c r="K66" s="72">
        <v>2</v>
      </c>
      <c r="L66" s="1" t="s">
        <v>49</v>
      </c>
      <c r="M66" s="1" t="s">
        <v>616</v>
      </c>
      <c r="N66" s="15">
        <f t="shared" ca="1" si="10"/>
        <v>0.1082</v>
      </c>
      <c r="O66" s="15">
        <f t="shared" si="9"/>
        <v>0.1082</v>
      </c>
      <c r="P66" s="15"/>
      <c r="BD66" s="1" t="s">
        <v>496</v>
      </c>
      <c r="BE66" s="1" t="s">
        <v>506</v>
      </c>
      <c r="BF66" s="72" t="s">
        <v>507</v>
      </c>
      <c r="BG66" s="78">
        <v>106.64</v>
      </c>
      <c r="BH66" s="78">
        <v>106.64</v>
      </c>
      <c r="BI66" s="78">
        <v>113.9</v>
      </c>
      <c r="BJ66" s="78">
        <v>130.47</v>
      </c>
      <c r="BK66" s="78">
        <v>130.47</v>
      </c>
      <c r="BL66" s="78">
        <v>136.05000000000001</v>
      </c>
      <c r="BM66" s="78">
        <v>139.46</v>
      </c>
      <c r="BN66" s="78">
        <v>139.46</v>
      </c>
      <c r="BO66" s="78">
        <v>145.84</v>
      </c>
      <c r="BP66" s="78"/>
      <c r="BQ66" s="23">
        <v>0.64</v>
      </c>
      <c r="BR66" s="23">
        <v>0.93</v>
      </c>
      <c r="CF66" s="1" t="s">
        <v>496</v>
      </c>
      <c r="CG66" s="1" t="s">
        <v>119</v>
      </c>
      <c r="CI66" s="31">
        <f t="shared" si="8"/>
        <v>1</v>
      </c>
      <c r="DN66" s="1" t="s">
        <v>496</v>
      </c>
      <c r="DO66" s="1" t="s">
        <v>506</v>
      </c>
      <c r="DP66" s="1">
        <v>2</v>
      </c>
    </row>
    <row r="67" spans="1:120" hidden="1" x14ac:dyDescent="0.2">
      <c r="A67" s="1" t="s">
        <v>468</v>
      </c>
      <c r="B67" s="1" t="s">
        <v>123</v>
      </c>
      <c r="C67" s="39" t="s">
        <v>475</v>
      </c>
      <c r="D67" s="1">
        <v>3</v>
      </c>
      <c r="E67" s="7">
        <v>1</v>
      </c>
      <c r="K67" s="72">
        <v>2</v>
      </c>
      <c r="L67" s="1" t="s">
        <v>49</v>
      </c>
      <c r="M67" s="1" t="s">
        <v>617</v>
      </c>
      <c r="N67" s="15">
        <f t="shared" ca="1" si="10"/>
        <v>0.1082</v>
      </c>
      <c r="O67" s="15">
        <f t="shared" si="9"/>
        <v>0.1082</v>
      </c>
      <c r="P67" s="15"/>
      <c r="BD67" s="1" t="s">
        <v>496</v>
      </c>
      <c r="BE67" s="1" t="s">
        <v>119</v>
      </c>
      <c r="BF67" s="72" t="s">
        <v>508</v>
      </c>
      <c r="BG67" s="78">
        <v>113.5</v>
      </c>
      <c r="BH67" s="78">
        <v>113.5</v>
      </c>
      <c r="BI67" s="78">
        <v>119.43</v>
      </c>
      <c r="BJ67" s="78">
        <v>131.46</v>
      </c>
      <c r="BK67" s="78">
        <v>131.46</v>
      </c>
      <c r="BL67" s="78">
        <v>141.97999999999999</v>
      </c>
      <c r="BM67" s="78">
        <v>138.03</v>
      </c>
      <c r="BN67" s="78">
        <v>138.03</v>
      </c>
      <c r="BO67" s="78">
        <v>142.05000000000001</v>
      </c>
      <c r="BP67" s="78"/>
      <c r="BQ67" s="23">
        <v>0.65</v>
      </c>
      <c r="BR67" s="23">
        <v>0.93</v>
      </c>
      <c r="CF67" s="1" t="s">
        <v>496</v>
      </c>
      <c r="CG67" s="1" t="s">
        <v>115</v>
      </c>
      <c r="CI67" s="31">
        <f t="shared" si="8"/>
        <v>1</v>
      </c>
      <c r="DN67" s="1" t="s">
        <v>496</v>
      </c>
      <c r="DO67" s="1" t="s">
        <v>119</v>
      </c>
      <c r="DP67" s="1">
        <v>2</v>
      </c>
    </row>
    <row r="68" spans="1:120" hidden="1" x14ac:dyDescent="0.2">
      <c r="A68" s="1" t="s">
        <v>496</v>
      </c>
      <c r="B68" s="1" t="s">
        <v>122</v>
      </c>
      <c r="C68" s="39" t="s">
        <v>505</v>
      </c>
      <c r="D68" s="1">
        <v>10</v>
      </c>
      <c r="E68" s="7">
        <v>1</v>
      </c>
      <c r="K68" s="72">
        <v>2</v>
      </c>
      <c r="L68" s="1" t="s">
        <v>49</v>
      </c>
      <c r="M68" s="1" t="s">
        <v>618</v>
      </c>
      <c r="N68" s="15">
        <f t="shared" ca="1" si="10"/>
        <v>0.1082</v>
      </c>
      <c r="O68" s="15">
        <f t="shared" si="9"/>
        <v>0.1082</v>
      </c>
      <c r="P68" s="15"/>
      <c r="BD68" s="1" t="s">
        <v>496</v>
      </c>
      <c r="BE68" s="1" t="s">
        <v>115</v>
      </c>
      <c r="BF68" s="72" t="s">
        <v>509</v>
      </c>
      <c r="BG68" s="78">
        <v>113.5</v>
      </c>
      <c r="BH68" s="78">
        <v>113.5</v>
      </c>
      <c r="BI68" s="78">
        <v>119.43</v>
      </c>
      <c r="BJ68" s="78">
        <v>131.46</v>
      </c>
      <c r="BK68" s="78">
        <v>131.46</v>
      </c>
      <c r="BL68" s="78">
        <v>141.97999999999999</v>
      </c>
      <c r="BM68" s="78">
        <v>138.03</v>
      </c>
      <c r="BN68" s="78">
        <v>138.03</v>
      </c>
      <c r="BO68" s="78">
        <v>142.05000000000001</v>
      </c>
      <c r="BP68" s="78"/>
      <c r="BQ68" s="23">
        <v>0.66</v>
      </c>
      <c r="BR68" s="23">
        <v>0.93</v>
      </c>
      <c r="CF68" s="1" t="s">
        <v>496</v>
      </c>
      <c r="CG68" s="1" t="s">
        <v>111</v>
      </c>
      <c r="CI68" s="31">
        <f t="shared" si="8"/>
        <v>1</v>
      </c>
      <c r="DN68" s="1" t="s">
        <v>496</v>
      </c>
      <c r="DO68" s="1" t="s">
        <v>115</v>
      </c>
      <c r="DP68" s="1">
        <v>2</v>
      </c>
    </row>
    <row r="69" spans="1:120" x14ac:dyDescent="0.2">
      <c r="A69" s="1" t="s">
        <v>496</v>
      </c>
      <c r="B69" s="1" t="s">
        <v>506</v>
      </c>
      <c r="C69" s="39" t="s">
        <v>507</v>
      </c>
      <c r="D69" s="1">
        <v>10</v>
      </c>
      <c r="E69" s="7">
        <v>1</v>
      </c>
      <c r="K69" s="72">
        <v>3</v>
      </c>
      <c r="L69" s="1" t="s">
        <v>48</v>
      </c>
      <c r="M69" s="1" t="s">
        <v>610</v>
      </c>
      <c r="N69" s="15">
        <f t="shared" ca="1" si="10"/>
        <v>0.27729999999999999</v>
      </c>
      <c r="O69" s="15">
        <f>P8</f>
        <v>0.27729999999999999</v>
      </c>
      <c r="P69" s="15"/>
      <c r="BD69" s="1" t="s">
        <v>496</v>
      </c>
      <c r="BE69" s="1" t="s">
        <v>111</v>
      </c>
      <c r="BF69" s="72" t="s">
        <v>510</v>
      </c>
      <c r="BG69" s="78">
        <v>113.5</v>
      </c>
      <c r="BH69" s="78">
        <v>113.5</v>
      </c>
      <c r="BI69" s="78">
        <v>119.43</v>
      </c>
      <c r="BJ69" s="78">
        <v>131.46</v>
      </c>
      <c r="BK69" s="78">
        <v>131.46</v>
      </c>
      <c r="BL69" s="78">
        <v>141.97999999999999</v>
      </c>
      <c r="BM69" s="78">
        <v>138.03</v>
      </c>
      <c r="BN69" s="78">
        <v>138.03</v>
      </c>
      <c r="BO69" s="78">
        <v>142.05000000000001</v>
      </c>
      <c r="BP69" s="78"/>
      <c r="BQ69" s="23">
        <v>0.67</v>
      </c>
      <c r="BR69" s="23">
        <v>0.93</v>
      </c>
      <c r="CF69" s="1" t="s">
        <v>496</v>
      </c>
      <c r="CG69" s="1" t="s">
        <v>104</v>
      </c>
      <c r="CI69" s="31">
        <f t="shared" si="8"/>
        <v>1</v>
      </c>
      <c r="DN69" s="1" t="s">
        <v>496</v>
      </c>
      <c r="DO69" s="1" t="s">
        <v>111</v>
      </c>
      <c r="DP69" s="1">
        <v>2</v>
      </c>
    </row>
    <row r="70" spans="1:120" hidden="1" x14ac:dyDescent="0.2">
      <c r="A70" s="1" t="s">
        <v>468</v>
      </c>
      <c r="B70" s="1" t="s">
        <v>476</v>
      </c>
      <c r="C70" s="39" t="s">
        <v>477</v>
      </c>
      <c r="D70" s="1">
        <v>47</v>
      </c>
      <c r="E70" s="7">
        <v>3</v>
      </c>
      <c r="K70" s="72">
        <v>3</v>
      </c>
      <c r="L70" s="1" t="s">
        <v>48</v>
      </c>
      <c r="M70" s="1" t="s">
        <v>611</v>
      </c>
      <c r="N70" s="15">
        <f t="shared" ca="1" si="10"/>
        <v>0.27729999999999999</v>
      </c>
      <c r="O70" s="15">
        <f t="shared" ref="O70:O77" si="11">P9</f>
        <v>0.27729999999999999</v>
      </c>
      <c r="P70" s="15"/>
      <c r="BD70" s="1" t="s">
        <v>496</v>
      </c>
      <c r="BE70" s="1" t="s">
        <v>104</v>
      </c>
      <c r="BF70" s="72" t="s">
        <v>511</v>
      </c>
      <c r="BG70" s="78">
        <v>113.5</v>
      </c>
      <c r="BH70" s="78">
        <v>113.5</v>
      </c>
      <c r="BI70" s="78">
        <v>119.43</v>
      </c>
      <c r="BJ70" s="78">
        <v>131.46</v>
      </c>
      <c r="BK70" s="78">
        <v>131.46</v>
      </c>
      <c r="BL70" s="78">
        <v>141.97999999999999</v>
      </c>
      <c r="BM70" s="78">
        <v>138.03</v>
      </c>
      <c r="BN70" s="78">
        <v>138.03</v>
      </c>
      <c r="BO70" s="78">
        <v>142.05000000000001</v>
      </c>
      <c r="BP70" s="78"/>
      <c r="BQ70" s="23">
        <v>0.68</v>
      </c>
      <c r="BR70" s="23">
        <v>0.94</v>
      </c>
      <c r="CF70" s="1" t="s">
        <v>496</v>
      </c>
      <c r="CG70" s="1" t="s">
        <v>103</v>
      </c>
      <c r="CI70" s="31">
        <f t="shared" si="8"/>
        <v>1</v>
      </c>
      <c r="DN70" s="1" t="s">
        <v>496</v>
      </c>
      <c r="DO70" s="1" t="s">
        <v>104</v>
      </c>
      <c r="DP70" s="1">
        <v>2</v>
      </c>
    </row>
    <row r="71" spans="1:120" hidden="1" x14ac:dyDescent="0.2">
      <c r="A71" s="1" t="s">
        <v>468</v>
      </c>
      <c r="B71" s="1" t="s">
        <v>478</v>
      </c>
      <c r="C71" s="39" t="s">
        <v>479</v>
      </c>
      <c r="D71" s="1">
        <v>10</v>
      </c>
      <c r="E71" s="7">
        <v>2</v>
      </c>
      <c r="K71" s="72">
        <v>3</v>
      </c>
      <c r="L71" s="1" t="s">
        <v>48</v>
      </c>
      <c r="M71" s="1" t="s">
        <v>612</v>
      </c>
      <c r="N71" s="15">
        <f t="shared" ca="1" si="10"/>
        <v>0.24030000000000001</v>
      </c>
      <c r="O71" s="15">
        <f t="shared" si="11"/>
        <v>0.24030000000000001</v>
      </c>
      <c r="P71" s="15"/>
      <c r="BD71" s="1" t="s">
        <v>496</v>
      </c>
      <c r="BE71" s="1" t="s">
        <v>103</v>
      </c>
      <c r="BF71" s="72" t="s">
        <v>512</v>
      </c>
      <c r="BG71" s="78">
        <v>113.5</v>
      </c>
      <c r="BH71" s="78">
        <v>113.5</v>
      </c>
      <c r="BI71" s="78">
        <v>119.43</v>
      </c>
      <c r="BJ71" s="78">
        <v>131.46</v>
      </c>
      <c r="BK71" s="78">
        <v>131.46</v>
      </c>
      <c r="BL71" s="78">
        <v>141.97999999999999</v>
      </c>
      <c r="BM71" s="78">
        <v>138.03</v>
      </c>
      <c r="BN71" s="78">
        <v>138.03</v>
      </c>
      <c r="BO71" s="78">
        <v>142.05000000000001</v>
      </c>
      <c r="BP71" s="78"/>
      <c r="BQ71" s="23">
        <v>0.69</v>
      </c>
      <c r="BR71" s="23">
        <v>0.94</v>
      </c>
      <c r="CF71" s="1" t="s">
        <v>496</v>
      </c>
      <c r="CG71" s="1" t="s">
        <v>101</v>
      </c>
      <c r="CI71" s="31">
        <f t="shared" si="8"/>
        <v>1</v>
      </c>
      <c r="DN71" s="1" t="s">
        <v>496</v>
      </c>
      <c r="DO71" s="1" t="s">
        <v>103</v>
      </c>
      <c r="DP71" s="1">
        <v>2</v>
      </c>
    </row>
    <row r="72" spans="1:120" hidden="1" x14ac:dyDescent="0.2">
      <c r="A72" s="1" t="s">
        <v>447</v>
      </c>
      <c r="B72" s="1" t="s">
        <v>121</v>
      </c>
      <c r="C72" s="39" t="s">
        <v>461</v>
      </c>
      <c r="D72" s="1">
        <v>4</v>
      </c>
      <c r="E72" s="7">
        <v>1</v>
      </c>
      <c r="K72" s="72">
        <v>3</v>
      </c>
      <c r="L72" s="1" t="s">
        <v>48</v>
      </c>
      <c r="M72" s="1" t="s">
        <v>613</v>
      </c>
      <c r="N72" s="15">
        <f t="shared" ca="1" si="10"/>
        <v>0.24030000000000001</v>
      </c>
      <c r="O72" s="15">
        <f t="shared" si="11"/>
        <v>0.24030000000000001</v>
      </c>
      <c r="P72" s="15"/>
      <c r="BD72" s="1" t="s">
        <v>496</v>
      </c>
      <c r="BE72" s="1" t="s">
        <v>101</v>
      </c>
      <c r="BF72" s="72" t="s">
        <v>513</v>
      </c>
      <c r="BG72" s="78">
        <v>149.11000000000001</v>
      </c>
      <c r="BH72" s="78">
        <v>149.11000000000001</v>
      </c>
      <c r="BI72" s="78">
        <v>156.53</v>
      </c>
      <c r="BJ72" s="78">
        <v>173.1</v>
      </c>
      <c r="BK72" s="78">
        <v>173.1</v>
      </c>
      <c r="BL72" s="78">
        <v>186.74</v>
      </c>
      <c r="BM72" s="78">
        <v>181.63</v>
      </c>
      <c r="BN72" s="78">
        <v>181.63</v>
      </c>
      <c r="BO72" s="78">
        <v>188.02</v>
      </c>
      <c r="BP72" s="78"/>
      <c r="BQ72" s="23">
        <v>0.7</v>
      </c>
      <c r="BR72" s="23">
        <v>0.94</v>
      </c>
      <c r="CF72" s="1" t="s">
        <v>514</v>
      </c>
      <c r="CG72" s="1" t="s">
        <v>515</v>
      </c>
      <c r="CI72" s="31">
        <v>1</v>
      </c>
      <c r="DN72" s="1" t="s">
        <v>496</v>
      </c>
      <c r="DO72" s="1" t="s">
        <v>101</v>
      </c>
      <c r="DP72" s="1">
        <v>2</v>
      </c>
    </row>
    <row r="73" spans="1:120" hidden="1" x14ac:dyDescent="0.2">
      <c r="A73" s="1" t="s">
        <v>120</v>
      </c>
      <c r="B73" s="1" t="s">
        <v>120</v>
      </c>
      <c r="C73" s="39" t="s">
        <v>527</v>
      </c>
      <c r="D73" s="1">
        <v>8</v>
      </c>
      <c r="E73" s="7">
        <v>1</v>
      </c>
      <c r="K73" s="72">
        <v>3</v>
      </c>
      <c r="L73" s="1" t="s">
        <v>48</v>
      </c>
      <c r="M73" s="1" t="s">
        <v>614</v>
      </c>
      <c r="N73" s="15">
        <f t="shared" ca="1" si="10"/>
        <v>0.18490000000000001</v>
      </c>
      <c r="O73" s="15">
        <f t="shared" si="11"/>
        <v>0.18490000000000001</v>
      </c>
      <c r="P73" s="15"/>
      <c r="BD73" s="1" t="s">
        <v>514</v>
      </c>
      <c r="BE73" s="1" t="s">
        <v>515</v>
      </c>
      <c r="BF73" s="72" t="s">
        <v>516</v>
      </c>
      <c r="BG73" s="78">
        <v>196.8</v>
      </c>
      <c r="BH73" s="78">
        <v>196.8</v>
      </c>
      <c r="BI73" s="78">
        <v>195.6</v>
      </c>
      <c r="BJ73" s="78">
        <v>183.6</v>
      </c>
      <c r="BK73" s="78">
        <v>183.6</v>
      </c>
      <c r="BL73" s="78">
        <v>174</v>
      </c>
      <c r="BM73" s="78">
        <v>154.80000000000001</v>
      </c>
      <c r="BN73" s="78">
        <v>154.80000000000001</v>
      </c>
      <c r="BO73" s="78">
        <v>152.4</v>
      </c>
      <c r="BP73" s="78"/>
      <c r="BQ73" s="23">
        <v>0.71</v>
      </c>
      <c r="BR73" s="23">
        <v>0.94</v>
      </c>
      <c r="CF73" s="1" t="s">
        <v>125</v>
      </c>
      <c r="CG73" s="1" t="s">
        <v>517</v>
      </c>
      <c r="CI73" s="31">
        <v>1</v>
      </c>
      <c r="DN73" s="1" t="s">
        <v>514</v>
      </c>
      <c r="DO73" s="1" t="s">
        <v>515</v>
      </c>
      <c r="DP73" s="1">
        <v>2</v>
      </c>
    </row>
    <row r="74" spans="1:120" hidden="1" x14ac:dyDescent="0.2">
      <c r="A74" s="1" t="s">
        <v>496</v>
      </c>
      <c r="B74" s="1" t="s">
        <v>119</v>
      </c>
      <c r="C74" s="39" t="s">
        <v>508</v>
      </c>
      <c r="D74" s="1">
        <v>10</v>
      </c>
      <c r="E74" s="7">
        <v>2</v>
      </c>
      <c r="K74" s="72">
        <v>3</v>
      </c>
      <c r="L74" s="1" t="s">
        <v>48</v>
      </c>
      <c r="M74" s="1" t="s">
        <v>615</v>
      </c>
      <c r="N74" s="15">
        <f t="shared" ca="1" si="10"/>
        <v>0.12939999999999999</v>
      </c>
      <c r="O74" s="15">
        <f t="shared" si="11"/>
        <v>0.12939999999999999</v>
      </c>
      <c r="P74" s="15"/>
      <c r="BD74" s="1" t="s">
        <v>125</v>
      </c>
      <c r="BE74" s="1" t="s">
        <v>517</v>
      </c>
      <c r="BF74" s="72" t="s">
        <v>518</v>
      </c>
      <c r="BG74" s="78">
        <v>100</v>
      </c>
      <c r="BH74" s="78">
        <v>100</v>
      </c>
      <c r="BI74" s="78">
        <v>105</v>
      </c>
      <c r="BJ74" s="78">
        <v>110</v>
      </c>
      <c r="BK74" s="78">
        <v>110</v>
      </c>
      <c r="BL74" s="78">
        <v>115</v>
      </c>
      <c r="BM74" s="78">
        <v>120</v>
      </c>
      <c r="BN74" s="78">
        <v>120</v>
      </c>
      <c r="BO74" s="78">
        <v>125</v>
      </c>
      <c r="BP74" s="78"/>
      <c r="BQ74" s="23">
        <v>0.72</v>
      </c>
      <c r="BR74" s="23">
        <v>0.94</v>
      </c>
      <c r="CF74" s="1" t="s">
        <v>125</v>
      </c>
      <c r="CG74" s="1" t="s">
        <v>144</v>
      </c>
      <c r="CI74" s="31">
        <f>IF(CH74=1,1.1,1)</f>
        <v>1</v>
      </c>
      <c r="DN74" s="1" t="s">
        <v>125</v>
      </c>
      <c r="DO74" s="1" t="s">
        <v>517</v>
      </c>
      <c r="DP74" s="1">
        <v>2</v>
      </c>
    </row>
    <row r="75" spans="1:120" hidden="1" x14ac:dyDescent="0.2">
      <c r="A75" s="1" t="s">
        <v>125</v>
      </c>
      <c r="B75" s="1" t="s">
        <v>118</v>
      </c>
      <c r="C75" s="39" t="s">
        <v>524</v>
      </c>
      <c r="D75" s="1">
        <v>13</v>
      </c>
      <c r="E75" s="7">
        <v>3</v>
      </c>
      <c r="K75" s="72">
        <v>3</v>
      </c>
      <c r="L75" s="1" t="s">
        <v>48</v>
      </c>
      <c r="M75" s="1" t="s">
        <v>616</v>
      </c>
      <c r="N75" s="15">
        <f t="shared" ca="1" si="10"/>
        <v>0.1171</v>
      </c>
      <c r="O75" s="15">
        <f t="shared" si="11"/>
        <v>0.1171</v>
      </c>
      <c r="P75" s="15"/>
      <c r="BD75" s="1" t="s">
        <v>125</v>
      </c>
      <c r="BE75" s="1" t="s">
        <v>144</v>
      </c>
      <c r="BF75" s="72" t="s">
        <v>519</v>
      </c>
      <c r="BG75" s="78">
        <v>100</v>
      </c>
      <c r="BH75" s="78">
        <v>100</v>
      </c>
      <c r="BI75" s="78">
        <v>105</v>
      </c>
      <c r="BJ75" s="78">
        <v>110</v>
      </c>
      <c r="BK75" s="78">
        <v>110</v>
      </c>
      <c r="BL75" s="78">
        <v>115</v>
      </c>
      <c r="BM75" s="78">
        <v>120</v>
      </c>
      <c r="BN75" s="78">
        <v>120</v>
      </c>
      <c r="BO75" s="78">
        <v>125</v>
      </c>
      <c r="BP75" s="78"/>
      <c r="BQ75" s="23">
        <v>0.73</v>
      </c>
      <c r="BR75" s="23">
        <v>0.95</v>
      </c>
      <c r="CF75" s="1" t="s">
        <v>125</v>
      </c>
      <c r="CG75" s="1" t="s">
        <v>520</v>
      </c>
      <c r="CI75" s="31">
        <v>1</v>
      </c>
      <c r="DN75" s="1" t="s">
        <v>125</v>
      </c>
      <c r="DO75" s="1" t="s">
        <v>144</v>
      </c>
      <c r="DP75" s="1">
        <v>2</v>
      </c>
    </row>
    <row r="76" spans="1:120" hidden="1" x14ac:dyDescent="0.2">
      <c r="A76" s="1" t="s">
        <v>542</v>
      </c>
      <c r="B76" s="1" t="s">
        <v>117</v>
      </c>
      <c r="C76" s="39" t="s">
        <v>552</v>
      </c>
      <c r="D76" s="1">
        <v>8</v>
      </c>
      <c r="E76" s="7">
        <v>2</v>
      </c>
      <c r="K76" s="72">
        <v>3</v>
      </c>
      <c r="L76" s="1" t="s">
        <v>48</v>
      </c>
      <c r="M76" s="1" t="s">
        <v>617</v>
      </c>
      <c r="N76" s="15">
        <f t="shared" ca="1" si="10"/>
        <v>0.1171</v>
      </c>
      <c r="O76" s="15">
        <f t="shared" si="11"/>
        <v>0.1171</v>
      </c>
      <c r="P76" s="15"/>
      <c r="BD76" s="1" t="s">
        <v>125</v>
      </c>
      <c r="BE76" s="1" t="s">
        <v>520</v>
      </c>
      <c r="BF76" s="72" t="s">
        <v>521</v>
      </c>
      <c r="BG76" s="78">
        <v>100</v>
      </c>
      <c r="BH76" s="78">
        <v>100</v>
      </c>
      <c r="BI76" s="78">
        <v>105</v>
      </c>
      <c r="BJ76" s="78">
        <v>110</v>
      </c>
      <c r="BK76" s="78">
        <v>110</v>
      </c>
      <c r="BL76" s="78">
        <v>115</v>
      </c>
      <c r="BM76" s="78">
        <v>120</v>
      </c>
      <c r="BN76" s="78">
        <v>120</v>
      </c>
      <c r="BO76" s="78">
        <v>125</v>
      </c>
      <c r="BP76" s="78"/>
      <c r="BQ76" s="23">
        <v>0.74</v>
      </c>
      <c r="BR76" s="23">
        <v>0.95</v>
      </c>
      <c r="CF76" s="1" t="s">
        <v>125</v>
      </c>
      <c r="CG76" s="1" t="s">
        <v>127</v>
      </c>
      <c r="CI76" s="31">
        <f>IF(CH76=1,1.1,1)</f>
        <v>1</v>
      </c>
      <c r="DN76" s="1" t="s">
        <v>125</v>
      </c>
      <c r="DO76" s="1" t="s">
        <v>520</v>
      </c>
      <c r="DP76" s="1">
        <v>2</v>
      </c>
    </row>
    <row r="77" spans="1:120" hidden="1" x14ac:dyDescent="0.2">
      <c r="A77" s="1" t="s">
        <v>528</v>
      </c>
      <c r="B77" s="1" t="s">
        <v>116</v>
      </c>
      <c r="C77" s="39" t="s">
        <v>533</v>
      </c>
      <c r="D77" s="1">
        <v>23</v>
      </c>
      <c r="E77" s="7">
        <v>1</v>
      </c>
      <c r="K77" s="72">
        <v>3</v>
      </c>
      <c r="L77" s="1" t="s">
        <v>48</v>
      </c>
      <c r="M77" s="1" t="s">
        <v>618</v>
      </c>
      <c r="N77" s="15">
        <f t="shared" ca="1" si="10"/>
        <v>0.1171</v>
      </c>
      <c r="O77" s="15">
        <f t="shared" si="11"/>
        <v>0.1171</v>
      </c>
      <c r="P77" s="15"/>
      <c r="BD77" s="1" t="s">
        <v>125</v>
      </c>
      <c r="BE77" s="1" t="s">
        <v>127</v>
      </c>
      <c r="BF77" s="72" t="s">
        <v>522</v>
      </c>
      <c r="BG77" s="78">
        <v>100</v>
      </c>
      <c r="BH77" s="78">
        <v>100</v>
      </c>
      <c r="BI77" s="78">
        <v>105</v>
      </c>
      <c r="BJ77" s="78">
        <v>110</v>
      </c>
      <c r="BK77" s="78">
        <v>110</v>
      </c>
      <c r="BL77" s="78">
        <v>115</v>
      </c>
      <c r="BM77" s="78">
        <v>120</v>
      </c>
      <c r="BN77" s="78">
        <v>120</v>
      </c>
      <c r="BO77" s="78">
        <v>125</v>
      </c>
      <c r="BP77" s="78"/>
      <c r="BQ77" s="23">
        <v>0.75</v>
      </c>
      <c r="BR77" s="23">
        <v>0.95</v>
      </c>
      <c r="CF77" s="1" t="s">
        <v>125</v>
      </c>
      <c r="CG77" s="1" t="s">
        <v>125</v>
      </c>
      <c r="CI77" s="31">
        <f>IF(CH77=1,1.1,1)</f>
        <v>1</v>
      </c>
      <c r="DN77" s="1" t="s">
        <v>125</v>
      </c>
      <c r="DO77" s="1" t="s">
        <v>127</v>
      </c>
      <c r="DP77" s="1">
        <v>2</v>
      </c>
    </row>
    <row r="78" spans="1:120" x14ac:dyDescent="0.2">
      <c r="A78" s="1" t="s">
        <v>496</v>
      </c>
      <c r="B78" s="1" t="s">
        <v>115</v>
      </c>
      <c r="C78" s="39" t="s">
        <v>509</v>
      </c>
      <c r="D78" s="1">
        <v>10</v>
      </c>
      <c r="E78" s="7">
        <v>1</v>
      </c>
      <c r="K78" s="72">
        <v>3</v>
      </c>
      <c r="L78" s="1" t="s">
        <v>49</v>
      </c>
      <c r="M78" s="1" t="s">
        <v>610</v>
      </c>
      <c r="N78" s="15">
        <f t="shared" ca="1" si="10"/>
        <v>0.32450000000000001</v>
      </c>
      <c r="O78" s="15">
        <f>Q8</f>
        <v>0.32450000000000001</v>
      </c>
      <c r="P78" s="15"/>
      <c r="BD78" s="1" t="s">
        <v>125</v>
      </c>
      <c r="BE78" s="1" t="s">
        <v>125</v>
      </c>
      <c r="BF78" s="72" t="s">
        <v>523</v>
      </c>
      <c r="BG78" s="78">
        <v>100</v>
      </c>
      <c r="BH78" s="78">
        <v>100</v>
      </c>
      <c r="BI78" s="78">
        <v>105</v>
      </c>
      <c r="BJ78" s="78">
        <v>110</v>
      </c>
      <c r="BK78" s="78">
        <v>110</v>
      </c>
      <c r="BL78" s="78">
        <v>115</v>
      </c>
      <c r="BM78" s="78">
        <v>120</v>
      </c>
      <c r="BN78" s="78">
        <v>120</v>
      </c>
      <c r="BO78" s="78">
        <v>125</v>
      </c>
      <c r="BP78" s="78"/>
      <c r="BQ78" s="23">
        <v>0.76</v>
      </c>
      <c r="BR78" s="23">
        <v>0.95</v>
      </c>
      <c r="CF78" s="1" t="s">
        <v>125</v>
      </c>
      <c r="CG78" s="1" t="s">
        <v>118</v>
      </c>
      <c r="CI78" s="31">
        <f>IF(CH78=1,1.1,1)</f>
        <v>1</v>
      </c>
      <c r="DN78" s="1" t="s">
        <v>125</v>
      </c>
      <c r="DO78" s="1" t="s">
        <v>125</v>
      </c>
      <c r="DP78" s="1">
        <v>2</v>
      </c>
    </row>
    <row r="79" spans="1:120" hidden="1" x14ac:dyDescent="0.2">
      <c r="A79" s="1" t="s">
        <v>482</v>
      </c>
      <c r="B79" s="1" t="s">
        <v>492</v>
      </c>
      <c r="C79" s="39" t="s">
        <v>493</v>
      </c>
      <c r="D79" s="1">
        <v>33</v>
      </c>
      <c r="E79" s="7">
        <v>5</v>
      </c>
      <c r="K79" s="72">
        <v>3</v>
      </c>
      <c r="L79" s="1" t="s">
        <v>49</v>
      </c>
      <c r="M79" s="1" t="s">
        <v>611</v>
      </c>
      <c r="N79" s="15">
        <f t="shared" ca="1" si="10"/>
        <v>0.32450000000000001</v>
      </c>
      <c r="O79" s="15">
        <f t="shared" ref="O79:O86" si="12">Q9</f>
        <v>0.32450000000000001</v>
      </c>
      <c r="P79" s="15"/>
      <c r="BD79" s="1" t="s">
        <v>125</v>
      </c>
      <c r="BE79" s="1" t="s">
        <v>118</v>
      </c>
      <c r="BF79" s="72" t="s">
        <v>524</v>
      </c>
      <c r="BG79" s="78">
        <v>100</v>
      </c>
      <c r="BH79" s="78">
        <v>100</v>
      </c>
      <c r="BI79" s="78">
        <v>105</v>
      </c>
      <c r="BJ79" s="78">
        <v>110</v>
      </c>
      <c r="BK79" s="78">
        <v>110</v>
      </c>
      <c r="BL79" s="78">
        <v>115</v>
      </c>
      <c r="BM79" s="78">
        <v>120</v>
      </c>
      <c r="BN79" s="78">
        <v>120</v>
      </c>
      <c r="BO79" s="78">
        <v>125</v>
      </c>
      <c r="BP79" s="78"/>
      <c r="BQ79" s="23">
        <v>0.77</v>
      </c>
      <c r="BR79" s="23">
        <v>0.96</v>
      </c>
      <c r="CF79" s="1" t="s">
        <v>125</v>
      </c>
      <c r="CG79" s="1" t="s">
        <v>102</v>
      </c>
      <c r="CI79" s="31">
        <f>IF(CH79=1,1.1,1)</f>
        <v>1</v>
      </c>
      <c r="DN79" s="1" t="s">
        <v>125</v>
      </c>
      <c r="DO79" s="1" t="s">
        <v>118</v>
      </c>
      <c r="DP79" s="1">
        <v>2</v>
      </c>
    </row>
    <row r="80" spans="1:120" hidden="1" x14ac:dyDescent="0.2">
      <c r="A80" s="1" t="s">
        <v>542</v>
      </c>
      <c r="B80" s="1" t="s">
        <v>114</v>
      </c>
      <c r="C80" s="39" t="s">
        <v>553</v>
      </c>
      <c r="D80" s="1">
        <v>4</v>
      </c>
      <c r="E80" s="7">
        <v>1</v>
      </c>
      <c r="K80" s="72">
        <v>3</v>
      </c>
      <c r="L80" s="1" t="s">
        <v>49</v>
      </c>
      <c r="M80" s="1" t="s">
        <v>612</v>
      </c>
      <c r="N80" s="15">
        <f t="shared" ca="1" si="10"/>
        <v>0.28120000000000001</v>
      </c>
      <c r="O80" s="15">
        <f t="shared" si="12"/>
        <v>0.28120000000000001</v>
      </c>
      <c r="P80" s="15"/>
      <c r="BD80" s="1" t="s">
        <v>125</v>
      </c>
      <c r="BE80" s="1" t="s">
        <v>102</v>
      </c>
      <c r="BF80" s="72" t="s">
        <v>525</v>
      </c>
      <c r="BG80" s="78">
        <v>53.02</v>
      </c>
      <c r="BH80" s="78">
        <v>53.02</v>
      </c>
      <c r="BI80" s="78">
        <v>59.04</v>
      </c>
      <c r="BJ80" s="78">
        <v>69.47</v>
      </c>
      <c r="BK80" s="78">
        <v>69.47</v>
      </c>
      <c r="BL80" s="78">
        <v>71.73</v>
      </c>
      <c r="BM80" s="78">
        <v>75.010000000000005</v>
      </c>
      <c r="BN80" s="78">
        <v>75.010000000000005</v>
      </c>
      <c r="BO80" s="78">
        <v>78.97</v>
      </c>
      <c r="BP80" s="78"/>
      <c r="BQ80" s="23">
        <v>0.78</v>
      </c>
      <c r="BR80" s="23">
        <v>0.96</v>
      </c>
      <c r="CF80" s="1" t="s">
        <v>125</v>
      </c>
      <c r="CG80" s="1" t="s">
        <v>100</v>
      </c>
      <c r="CI80" s="31">
        <f t="shared" ref="CI80:CI90" si="13">IF(CH80=1,1.1,1)</f>
        <v>1</v>
      </c>
      <c r="DN80" s="1" t="s">
        <v>125</v>
      </c>
      <c r="DO80" s="1" t="s">
        <v>102</v>
      </c>
      <c r="DP80" s="1">
        <v>2</v>
      </c>
    </row>
    <row r="81" spans="1:120" hidden="1" x14ac:dyDescent="0.2">
      <c r="A81" s="1" t="s">
        <v>542</v>
      </c>
      <c r="B81" s="1" t="s">
        <v>113</v>
      </c>
      <c r="C81" s="39" t="s">
        <v>554</v>
      </c>
      <c r="D81" s="1">
        <v>4</v>
      </c>
      <c r="E81" s="7">
        <v>2</v>
      </c>
      <c r="K81" s="72">
        <v>3</v>
      </c>
      <c r="L81" s="1" t="s">
        <v>49</v>
      </c>
      <c r="M81" s="1" t="s">
        <v>613</v>
      </c>
      <c r="N81" s="15">
        <f t="shared" ca="1" si="10"/>
        <v>0.28120000000000001</v>
      </c>
      <c r="O81" s="15">
        <f t="shared" si="12"/>
        <v>0.28120000000000001</v>
      </c>
      <c r="P81" s="15"/>
      <c r="BD81" s="1" t="s">
        <v>125</v>
      </c>
      <c r="BE81" s="1" t="s">
        <v>100</v>
      </c>
      <c r="BF81" s="72" t="s">
        <v>526</v>
      </c>
      <c r="BG81" s="78">
        <v>100</v>
      </c>
      <c r="BH81" s="78">
        <v>100</v>
      </c>
      <c r="BI81" s="78">
        <v>105</v>
      </c>
      <c r="BJ81" s="78">
        <v>110</v>
      </c>
      <c r="BK81" s="78">
        <v>110</v>
      </c>
      <c r="BL81" s="78">
        <v>115</v>
      </c>
      <c r="BM81" s="78">
        <v>120</v>
      </c>
      <c r="BN81" s="78">
        <v>120</v>
      </c>
      <c r="BO81" s="78">
        <v>125</v>
      </c>
      <c r="BP81" s="78"/>
      <c r="BQ81" s="23">
        <v>0.79</v>
      </c>
      <c r="BR81" s="23">
        <v>0.96</v>
      </c>
      <c r="CF81" s="1" t="s">
        <v>120</v>
      </c>
      <c r="CG81" s="1" t="s">
        <v>120</v>
      </c>
      <c r="CI81" s="31">
        <f t="shared" si="13"/>
        <v>1</v>
      </c>
      <c r="DN81" s="1" t="s">
        <v>125</v>
      </c>
      <c r="DO81" s="1" t="s">
        <v>100</v>
      </c>
      <c r="DP81" s="1">
        <v>2</v>
      </c>
    </row>
    <row r="82" spans="1:120" hidden="1" x14ac:dyDescent="0.2">
      <c r="A82" s="1" t="s">
        <v>441</v>
      </c>
      <c r="B82" s="1" t="s">
        <v>112</v>
      </c>
      <c r="C82" s="39" t="s">
        <v>446</v>
      </c>
      <c r="D82" s="1">
        <v>9</v>
      </c>
      <c r="E82" s="7">
        <v>1</v>
      </c>
      <c r="K82" s="72">
        <v>3</v>
      </c>
      <c r="L82" s="1" t="s">
        <v>49</v>
      </c>
      <c r="M82" s="1" t="s">
        <v>614</v>
      </c>
      <c r="N82" s="15">
        <f t="shared" ca="1" si="10"/>
        <v>0.21629999999999999</v>
      </c>
      <c r="O82" s="15">
        <f t="shared" si="12"/>
        <v>0.21629999999999999</v>
      </c>
      <c r="P82" s="15"/>
      <c r="BD82" s="1" t="s">
        <v>120</v>
      </c>
      <c r="BE82" s="1" t="s">
        <v>120</v>
      </c>
      <c r="BF82" s="72" t="s">
        <v>527</v>
      </c>
      <c r="BG82" s="78">
        <v>196.8</v>
      </c>
      <c r="BH82" s="78">
        <v>196.8</v>
      </c>
      <c r="BI82" s="78">
        <v>195.6</v>
      </c>
      <c r="BJ82" s="78">
        <v>183.6</v>
      </c>
      <c r="BK82" s="78">
        <v>183.6</v>
      </c>
      <c r="BL82" s="78">
        <v>174</v>
      </c>
      <c r="BM82" s="78">
        <v>154.80000000000001</v>
      </c>
      <c r="BN82" s="78">
        <v>154.80000000000001</v>
      </c>
      <c r="BO82" s="78">
        <v>152.4</v>
      </c>
      <c r="BP82" s="78"/>
      <c r="BQ82" s="23">
        <v>0.8</v>
      </c>
      <c r="BR82" s="23">
        <v>0.96</v>
      </c>
      <c r="CF82" s="1" t="s">
        <v>528</v>
      </c>
      <c r="CG82" s="1" t="s">
        <v>529</v>
      </c>
      <c r="CI82" s="31">
        <v>1</v>
      </c>
      <c r="DN82" s="1" t="s">
        <v>120</v>
      </c>
      <c r="DO82" s="1" t="s">
        <v>120</v>
      </c>
      <c r="DP82" s="1">
        <v>1</v>
      </c>
    </row>
    <row r="83" spans="1:120" hidden="1" x14ac:dyDescent="0.2">
      <c r="A83" s="1" t="s">
        <v>468</v>
      </c>
      <c r="B83" s="1" t="s">
        <v>480</v>
      </c>
      <c r="C83" s="39" t="s">
        <v>481</v>
      </c>
      <c r="D83" s="1">
        <v>47</v>
      </c>
      <c r="E83" s="7">
        <v>2</v>
      </c>
      <c r="K83" s="72">
        <v>3</v>
      </c>
      <c r="L83" s="1" t="s">
        <v>49</v>
      </c>
      <c r="M83" s="1" t="s">
        <v>615</v>
      </c>
      <c r="N83" s="15">
        <f t="shared" ca="1" si="10"/>
        <v>0.15140000000000001</v>
      </c>
      <c r="O83" s="15">
        <f t="shared" si="12"/>
        <v>0.15140000000000001</v>
      </c>
      <c r="P83" s="15"/>
      <c r="BD83" s="1" t="s">
        <v>528</v>
      </c>
      <c r="BE83" s="1" t="s">
        <v>529</v>
      </c>
      <c r="BF83" s="72" t="s">
        <v>530</v>
      </c>
      <c r="BG83" s="78">
        <v>172.2</v>
      </c>
      <c r="BH83" s="78">
        <v>172.2</v>
      </c>
      <c r="BI83" s="78">
        <v>179.49</v>
      </c>
      <c r="BJ83" s="78">
        <v>179.3</v>
      </c>
      <c r="BK83" s="78">
        <v>179.3</v>
      </c>
      <c r="BL83" s="78">
        <v>195.46</v>
      </c>
      <c r="BM83" s="78">
        <v>207.42</v>
      </c>
      <c r="BN83" s="78">
        <v>207.42</v>
      </c>
      <c r="BO83" s="78">
        <v>199.51</v>
      </c>
      <c r="BP83" s="78"/>
      <c r="BQ83" s="23">
        <v>0.81</v>
      </c>
      <c r="BR83" s="23">
        <v>0.97</v>
      </c>
      <c r="CF83" s="1" t="s">
        <v>528</v>
      </c>
      <c r="CG83" s="1" t="s">
        <v>147</v>
      </c>
      <c r="CI83" s="31">
        <f t="shared" si="13"/>
        <v>1</v>
      </c>
      <c r="DN83" s="1" t="s">
        <v>528</v>
      </c>
      <c r="DO83" s="1" t="s">
        <v>529</v>
      </c>
      <c r="DP83" s="1">
        <v>1</v>
      </c>
    </row>
    <row r="84" spans="1:120" hidden="1" x14ac:dyDescent="0.2">
      <c r="A84" s="1" t="s">
        <v>401</v>
      </c>
      <c r="B84" s="1" t="s">
        <v>425</v>
      </c>
      <c r="C84" s="39" t="s">
        <v>426</v>
      </c>
      <c r="D84" s="7">
        <v>18</v>
      </c>
      <c r="E84" s="7">
        <v>5</v>
      </c>
      <c r="K84" s="72">
        <v>3</v>
      </c>
      <c r="L84" s="1" t="s">
        <v>49</v>
      </c>
      <c r="M84" s="1" t="s">
        <v>616</v>
      </c>
      <c r="N84" s="15">
        <f t="shared" ca="1" si="10"/>
        <v>0.13700000000000001</v>
      </c>
      <c r="O84" s="15">
        <f t="shared" si="12"/>
        <v>0.13700000000000001</v>
      </c>
      <c r="P84" s="15"/>
      <c r="BD84" s="1" t="s">
        <v>528</v>
      </c>
      <c r="BE84" s="1" t="s">
        <v>147</v>
      </c>
      <c r="BF84" s="72" t="s">
        <v>531</v>
      </c>
      <c r="BG84" s="78">
        <v>106.64</v>
      </c>
      <c r="BH84" s="78">
        <v>106.64</v>
      </c>
      <c r="BI84" s="78">
        <v>113.9</v>
      </c>
      <c r="BJ84" s="78">
        <v>130.47</v>
      </c>
      <c r="BK84" s="78">
        <v>130.47</v>
      </c>
      <c r="BL84" s="78">
        <v>136.05000000000001</v>
      </c>
      <c r="BM84" s="78">
        <v>139.46</v>
      </c>
      <c r="BN84" s="78">
        <v>139.46</v>
      </c>
      <c r="BO84" s="78">
        <v>145.84</v>
      </c>
      <c r="BP84" s="78"/>
      <c r="BQ84" s="23">
        <v>0.82</v>
      </c>
      <c r="BR84" s="23">
        <v>0.97</v>
      </c>
      <c r="CF84" s="1" t="s">
        <v>528</v>
      </c>
      <c r="CG84" s="1" t="s">
        <v>146</v>
      </c>
      <c r="CI84" s="31">
        <f t="shared" si="13"/>
        <v>1</v>
      </c>
      <c r="DN84" s="1" t="s">
        <v>528</v>
      </c>
      <c r="DO84" s="1" t="s">
        <v>147</v>
      </c>
      <c r="DP84" s="1">
        <v>1</v>
      </c>
    </row>
    <row r="85" spans="1:120" hidden="1" x14ac:dyDescent="0.2">
      <c r="A85" s="1" t="s">
        <v>496</v>
      </c>
      <c r="B85" s="1" t="s">
        <v>111</v>
      </c>
      <c r="C85" s="39" t="s">
        <v>510</v>
      </c>
      <c r="D85" s="1">
        <v>10</v>
      </c>
      <c r="E85" s="7">
        <v>1</v>
      </c>
      <c r="K85" s="72">
        <v>3</v>
      </c>
      <c r="L85" s="1" t="s">
        <v>49</v>
      </c>
      <c r="M85" s="1" t="s">
        <v>617</v>
      </c>
      <c r="N85" s="15">
        <f t="shared" ca="1" si="10"/>
        <v>0.13700000000000001</v>
      </c>
      <c r="O85" s="15">
        <f t="shared" si="12"/>
        <v>0.13700000000000001</v>
      </c>
      <c r="P85" s="15"/>
      <c r="BD85" s="1" t="s">
        <v>528</v>
      </c>
      <c r="BE85" s="1" t="s">
        <v>146</v>
      </c>
      <c r="BF85" s="72" t="s">
        <v>532</v>
      </c>
      <c r="BG85" s="78">
        <v>113.5</v>
      </c>
      <c r="BH85" s="78">
        <v>113.5</v>
      </c>
      <c r="BI85" s="78">
        <v>119.43</v>
      </c>
      <c r="BJ85" s="78">
        <v>131.46</v>
      </c>
      <c r="BK85" s="78">
        <v>131.46</v>
      </c>
      <c r="BL85" s="78">
        <v>141.97999999999999</v>
      </c>
      <c r="BM85" s="78">
        <v>138.03</v>
      </c>
      <c r="BN85" s="78">
        <v>138.03</v>
      </c>
      <c r="BO85" s="78">
        <v>142.05000000000001</v>
      </c>
      <c r="BP85" s="78"/>
      <c r="BQ85" s="23">
        <v>0.83</v>
      </c>
      <c r="BR85" s="23">
        <v>0.97</v>
      </c>
      <c r="CF85" s="1" t="s">
        <v>528</v>
      </c>
      <c r="CG85" s="1" t="s">
        <v>116</v>
      </c>
      <c r="CI85" s="31">
        <f t="shared" si="13"/>
        <v>1</v>
      </c>
      <c r="DN85" s="1" t="s">
        <v>528</v>
      </c>
      <c r="DO85" s="1" t="s">
        <v>146</v>
      </c>
      <c r="DP85" s="1">
        <v>1</v>
      </c>
    </row>
    <row r="86" spans="1:120" hidden="1" x14ac:dyDescent="0.2">
      <c r="A86" s="1" t="s">
        <v>447</v>
      </c>
      <c r="B86" s="1" t="s">
        <v>462</v>
      </c>
      <c r="C86" s="39" t="s">
        <v>463</v>
      </c>
      <c r="D86" s="1">
        <v>2</v>
      </c>
      <c r="E86" s="7">
        <v>5</v>
      </c>
      <c r="K86" s="72">
        <v>3</v>
      </c>
      <c r="L86" s="1" t="s">
        <v>49</v>
      </c>
      <c r="M86" s="1" t="s">
        <v>618</v>
      </c>
      <c r="N86" s="15">
        <f t="shared" ca="1" si="10"/>
        <v>0.13700000000000001</v>
      </c>
      <c r="O86" s="15">
        <f t="shared" si="12"/>
        <v>0.13700000000000001</v>
      </c>
      <c r="P86" s="15"/>
      <c r="BD86" s="1" t="s">
        <v>528</v>
      </c>
      <c r="BE86" s="1" t="s">
        <v>116</v>
      </c>
      <c r="BF86" s="72" t="s">
        <v>533</v>
      </c>
      <c r="BG86" s="78">
        <v>172.2</v>
      </c>
      <c r="BH86" s="78">
        <v>172.2</v>
      </c>
      <c r="BI86" s="78">
        <v>179.49</v>
      </c>
      <c r="BJ86" s="78">
        <v>179.3</v>
      </c>
      <c r="BK86" s="78">
        <v>179.3</v>
      </c>
      <c r="BL86" s="78">
        <v>195.46</v>
      </c>
      <c r="BM86" s="78">
        <v>207.42</v>
      </c>
      <c r="BN86" s="78">
        <v>207.42</v>
      </c>
      <c r="BO86" s="78">
        <v>199.51</v>
      </c>
      <c r="BP86" s="78"/>
      <c r="BQ86" s="23">
        <v>0.84</v>
      </c>
      <c r="BR86" s="23">
        <v>0.98</v>
      </c>
      <c r="CF86" s="1" t="s">
        <v>528</v>
      </c>
      <c r="CG86" s="1" t="s">
        <v>534</v>
      </c>
      <c r="CI86" s="31">
        <f t="shared" si="13"/>
        <v>1</v>
      </c>
      <c r="DN86" s="1" t="s">
        <v>528</v>
      </c>
      <c r="DO86" s="1" t="s">
        <v>116</v>
      </c>
      <c r="DP86" s="1">
        <v>1</v>
      </c>
    </row>
    <row r="87" spans="1:120" x14ac:dyDescent="0.2">
      <c r="A87" s="1" t="s">
        <v>528</v>
      </c>
      <c r="B87" s="1" t="s">
        <v>534</v>
      </c>
      <c r="C87" s="39" t="s">
        <v>535</v>
      </c>
      <c r="D87" s="1">
        <v>25</v>
      </c>
      <c r="E87" s="7">
        <v>1</v>
      </c>
      <c r="K87" s="72">
        <v>4</v>
      </c>
      <c r="L87" s="1" t="s">
        <v>48</v>
      </c>
      <c r="M87" s="1" t="s">
        <v>610</v>
      </c>
      <c r="N87" s="73">
        <f t="shared" ref="N87:N104" ca="1" si="14">N69*1.35</f>
        <v>0.37435499999999999</v>
      </c>
      <c r="P87" s="15"/>
      <c r="BD87" s="1" t="s">
        <v>528</v>
      </c>
      <c r="BE87" s="1" t="s">
        <v>534</v>
      </c>
      <c r="BF87" s="72" t="s">
        <v>535</v>
      </c>
      <c r="BG87" s="78">
        <v>139.1</v>
      </c>
      <c r="BH87" s="78">
        <v>139.1</v>
      </c>
      <c r="BI87" s="78">
        <v>143.99</v>
      </c>
      <c r="BJ87" s="78">
        <v>150.99</v>
      </c>
      <c r="BK87" s="78">
        <v>150.99</v>
      </c>
      <c r="BL87" s="78">
        <v>164.65</v>
      </c>
      <c r="BM87" s="78">
        <v>175.96</v>
      </c>
      <c r="BN87" s="78">
        <v>175.96</v>
      </c>
      <c r="BO87" s="78">
        <v>168.87</v>
      </c>
      <c r="BP87" s="78"/>
      <c r="BQ87" s="23">
        <v>0.85</v>
      </c>
      <c r="BR87" s="23">
        <v>0.98</v>
      </c>
      <c r="CF87" s="1" t="s">
        <v>536</v>
      </c>
      <c r="CG87" s="1" t="s">
        <v>537</v>
      </c>
      <c r="CI87" s="31">
        <v>1</v>
      </c>
      <c r="DN87" s="1" t="s">
        <v>528</v>
      </c>
      <c r="DO87" s="1" t="s">
        <v>534</v>
      </c>
      <c r="DP87" s="1">
        <v>1</v>
      </c>
    </row>
    <row r="88" spans="1:120" hidden="1" x14ac:dyDescent="0.2">
      <c r="A88" s="1" t="s">
        <v>447</v>
      </c>
      <c r="B88" s="1" t="s">
        <v>464</v>
      </c>
      <c r="C88" s="39" t="s">
        <v>465</v>
      </c>
      <c r="D88" s="1">
        <v>2</v>
      </c>
      <c r="E88" s="7">
        <v>5</v>
      </c>
      <c r="K88" s="72">
        <v>4</v>
      </c>
      <c r="L88" s="1" t="s">
        <v>48</v>
      </c>
      <c r="M88" s="1" t="s">
        <v>611</v>
      </c>
      <c r="N88" s="74">
        <f t="shared" ca="1" si="14"/>
        <v>0.37435499999999999</v>
      </c>
      <c r="P88" s="15"/>
      <c r="BD88" s="1" t="s">
        <v>536</v>
      </c>
      <c r="BE88" s="1" t="s">
        <v>537</v>
      </c>
      <c r="BF88" s="72" t="s">
        <v>538</v>
      </c>
      <c r="BG88" s="78">
        <v>108.05</v>
      </c>
      <c r="BH88" s="78">
        <v>108.05</v>
      </c>
      <c r="BI88" s="78">
        <v>114.76</v>
      </c>
      <c r="BJ88" s="78">
        <v>132.15</v>
      </c>
      <c r="BK88" s="78">
        <v>132.15</v>
      </c>
      <c r="BL88" s="78">
        <v>137.49</v>
      </c>
      <c r="BM88" s="78">
        <v>140.13</v>
      </c>
      <c r="BN88" s="78">
        <v>140.13</v>
      </c>
      <c r="BO88" s="78">
        <v>145.41</v>
      </c>
      <c r="BP88" s="78"/>
      <c r="BQ88" s="23">
        <v>0.86</v>
      </c>
      <c r="BR88" s="23">
        <v>0.98</v>
      </c>
      <c r="CF88" s="1" t="s">
        <v>536</v>
      </c>
      <c r="CG88" s="1" t="s">
        <v>154</v>
      </c>
      <c r="CI88" s="31">
        <f t="shared" si="13"/>
        <v>1</v>
      </c>
      <c r="DN88" s="1" t="s">
        <v>536</v>
      </c>
      <c r="DO88" s="1" t="s">
        <v>537</v>
      </c>
      <c r="DP88" s="1">
        <v>1</v>
      </c>
    </row>
    <row r="89" spans="1:120" hidden="1" x14ac:dyDescent="0.2">
      <c r="A89" s="1" t="s">
        <v>429</v>
      </c>
      <c r="B89" s="1" t="s">
        <v>110</v>
      </c>
      <c r="C89" s="39" t="s">
        <v>437</v>
      </c>
      <c r="D89" s="1">
        <v>5</v>
      </c>
      <c r="E89" s="7">
        <v>1</v>
      </c>
      <c r="K89" s="72">
        <v>4</v>
      </c>
      <c r="L89" s="1" t="s">
        <v>48</v>
      </c>
      <c r="M89" s="1" t="s">
        <v>612</v>
      </c>
      <c r="N89" s="74">
        <f t="shared" ca="1" si="14"/>
        <v>0.32440500000000005</v>
      </c>
      <c r="P89" s="15"/>
      <c r="BD89" s="1" t="s">
        <v>536</v>
      </c>
      <c r="BE89" s="1" t="s">
        <v>154</v>
      </c>
      <c r="BF89" s="72" t="s">
        <v>539</v>
      </c>
      <c r="BG89" s="78">
        <v>108.05</v>
      </c>
      <c r="BH89" s="78">
        <v>108.05</v>
      </c>
      <c r="BI89" s="78">
        <v>114.76</v>
      </c>
      <c r="BJ89" s="78">
        <v>132.15</v>
      </c>
      <c r="BK89" s="78">
        <v>132.15</v>
      </c>
      <c r="BL89" s="78">
        <v>137.49</v>
      </c>
      <c r="BM89" s="78">
        <v>140.13</v>
      </c>
      <c r="BN89" s="78">
        <v>140.13</v>
      </c>
      <c r="BO89" s="78">
        <v>145.41</v>
      </c>
      <c r="BP89" s="78"/>
      <c r="BQ89" s="23">
        <v>0.87</v>
      </c>
      <c r="BR89" s="23">
        <v>0.98</v>
      </c>
      <c r="CF89" s="1" t="s">
        <v>536</v>
      </c>
      <c r="CG89" s="1" t="s">
        <v>109</v>
      </c>
      <c r="CI89" s="31">
        <f t="shared" si="13"/>
        <v>1</v>
      </c>
      <c r="DN89" s="1" t="s">
        <v>536</v>
      </c>
      <c r="DO89" s="1" t="s">
        <v>154</v>
      </c>
      <c r="DP89" s="1">
        <v>1</v>
      </c>
    </row>
    <row r="90" spans="1:120" hidden="1" x14ac:dyDescent="0.2">
      <c r="A90" s="1" t="s">
        <v>536</v>
      </c>
      <c r="B90" s="1" t="s">
        <v>109</v>
      </c>
      <c r="C90" s="39" t="s">
        <v>540</v>
      </c>
      <c r="D90" s="1">
        <v>7</v>
      </c>
      <c r="E90" s="7">
        <v>1</v>
      </c>
      <c r="K90" s="72">
        <v>4</v>
      </c>
      <c r="L90" s="1" t="s">
        <v>48</v>
      </c>
      <c r="M90" s="1" t="s">
        <v>613</v>
      </c>
      <c r="N90" s="74">
        <f t="shared" ca="1" si="14"/>
        <v>0.32440500000000005</v>
      </c>
      <c r="P90" s="15"/>
      <c r="BD90" s="1" t="s">
        <v>536</v>
      </c>
      <c r="BE90" s="1" t="s">
        <v>109</v>
      </c>
      <c r="BF90" s="72" t="s">
        <v>540</v>
      </c>
      <c r="BG90" s="78">
        <v>108.05</v>
      </c>
      <c r="BH90" s="78">
        <v>108.05</v>
      </c>
      <c r="BI90" s="78">
        <v>114.76</v>
      </c>
      <c r="BJ90" s="78">
        <v>132.15</v>
      </c>
      <c r="BK90" s="78">
        <v>132.15</v>
      </c>
      <c r="BL90" s="78">
        <v>137.49</v>
      </c>
      <c r="BM90" s="78">
        <v>140.13</v>
      </c>
      <c r="BN90" s="78">
        <v>140.13</v>
      </c>
      <c r="BO90" s="78">
        <v>145.41</v>
      </c>
      <c r="BP90" s="78"/>
      <c r="BQ90" s="23">
        <v>0.88</v>
      </c>
      <c r="BR90" s="23">
        <v>0.99</v>
      </c>
      <c r="CF90" s="1" t="s">
        <v>536</v>
      </c>
      <c r="CG90" s="1" t="s">
        <v>105</v>
      </c>
      <c r="CI90" s="31">
        <f t="shared" si="13"/>
        <v>1</v>
      </c>
      <c r="DN90" s="1" t="s">
        <v>536</v>
      </c>
      <c r="DO90" s="1" t="s">
        <v>109</v>
      </c>
      <c r="DP90" s="1">
        <v>1</v>
      </c>
    </row>
    <row r="91" spans="1:120" hidden="1" x14ac:dyDescent="0.2">
      <c r="A91" s="1" t="s">
        <v>401</v>
      </c>
      <c r="B91" s="1" t="s">
        <v>427</v>
      </c>
      <c r="C91" s="39" t="s">
        <v>428</v>
      </c>
      <c r="D91" s="7">
        <v>18</v>
      </c>
      <c r="E91" s="7">
        <v>5</v>
      </c>
      <c r="K91" s="72">
        <v>4</v>
      </c>
      <c r="L91" s="1" t="s">
        <v>48</v>
      </c>
      <c r="M91" s="1" t="s">
        <v>614</v>
      </c>
      <c r="N91" s="74">
        <f t="shared" ca="1" si="14"/>
        <v>0.24961500000000003</v>
      </c>
      <c r="P91" s="15"/>
      <c r="BD91" s="1" t="s">
        <v>536</v>
      </c>
      <c r="BE91" s="1" t="s">
        <v>105</v>
      </c>
      <c r="BF91" s="72" t="s">
        <v>541</v>
      </c>
      <c r="BG91" s="78">
        <v>108.05</v>
      </c>
      <c r="BH91" s="78">
        <v>108.05</v>
      </c>
      <c r="BI91" s="78">
        <v>114.76</v>
      </c>
      <c r="BJ91" s="78">
        <v>132.15</v>
      </c>
      <c r="BK91" s="78">
        <v>132.15</v>
      </c>
      <c r="BL91" s="78">
        <v>137.49</v>
      </c>
      <c r="BM91" s="78">
        <v>140.13</v>
      </c>
      <c r="BN91" s="78">
        <v>140.13</v>
      </c>
      <c r="BO91" s="78">
        <v>145.41</v>
      </c>
      <c r="BP91" s="78"/>
      <c r="BQ91" s="23">
        <v>0.89</v>
      </c>
      <c r="BR91" s="23">
        <v>0.99</v>
      </c>
      <c r="CF91" s="1" t="s">
        <v>542</v>
      </c>
      <c r="CG91" s="1" t="s">
        <v>543</v>
      </c>
      <c r="CI91" s="31">
        <v>1</v>
      </c>
      <c r="DN91" s="1" t="s">
        <v>536</v>
      </c>
      <c r="DO91" s="1" t="s">
        <v>105</v>
      </c>
      <c r="DP91" s="1">
        <v>1</v>
      </c>
    </row>
    <row r="92" spans="1:120" hidden="1" x14ac:dyDescent="0.2">
      <c r="A92" s="1" t="s">
        <v>429</v>
      </c>
      <c r="B92" s="1" t="s">
        <v>108</v>
      </c>
      <c r="C92" s="39" t="s">
        <v>438</v>
      </c>
      <c r="D92" s="1">
        <v>5</v>
      </c>
      <c r="E92" s="7">
        <v>1</v>
      </c>
      <c r="K92" s="72">
        <v>4</v>
      </c>
      <c r="L92" s="1" t="s">
        <v>48</v>
      </c>
      <c r="M92" s="1" t="s">
        <v>615</v>
      </c>
      <c r="N92" s="74">
        <f t="shared" ca="1" si="14"/>
        <v>0.17468999999999998</v>
      </c>
      <c r="P92" s="15"/>
      <c r="BD92" s="1" t="s">
        <v>542</v>
      </c>
      <c r="BE92" s="1" t="s">
        <v>543</v>
      </c>
      <c r="BF92" s="72" t="s">
        <v>544</v>
      </c>
      <c r="BG92" s="78">
        <v>112.94</v>
      </c>
      <c r="BH92" s="78">
        <v>112.94</v>
      </c>
      <c r="BI92" s="78">
        <v>118.44</v>
      </c>
      <c r="BJ92" s="78">
        <v>133.78</v>
      </c>
      <c r="BK92" s="78">
        <v>133.78</v>
      </c>
      <c r="BL92" s="78">
        <v>141.19</v>
      </c>
      <c r="BM92" s="78">
        <v>140.91</v>
      </c>
      <c r="BN92" s="78">
        <v>140.91</v>
      </c>
      <c r="BO92" s="78">
        <v>146.05000000000001</v>
      </c>
      <c r="BP92" s="78"/>
      <c r="BQ92" s="23">
        <v>0.9</v>
      </c>
      <c r="BR92" s="23">
        <v>0.99</v>
      </c>
      <c r="CF92" s="1" t="s">
        <v>542</v>
      </c>
      <c r="CG92" s="1" t="s">
        <v>156</v>
      </c>
      <c r="CI92" s="31">
        <f t="shared" ref="CI92:CI99" si="15">IF(CH92=1,1.1,1)</f>
        <v>1</v>
      </c>
      <c r="DN92" s="1" t="s">
        <v>542</v>
      </c>
      <c r="DO92" s="1" t="s">
        <v>543</v>
      </c>
      <c r="DP92" s="1">
        <v>2</v>
      </c>
    </row>
    <row r="93" spans="1:120" hidden="1" x14ac:dyDescent="0.2">
      <c r="A93" s="1" t="s">
        <v>447</v>
      </c>
      <c r="B93" s="1" t="s">
        <v>466</v>
      </c>
      <c r="C93" s="39" t="s">
        <v>467</v>
      </c>
      <c r="D93" s="1">
        <v>2</v>
      </c>
      <c r="E93" s="7">
        <v>5</v>
      </c>
      <c r="K93" s="72">
        <v>4</v>
      </c>
      <c r="L93" s="1" t="s">
        <v>48</v>
      </c>
      <c r="M93" s="1" t="s">
        <v>616</v>
      </c>
      <c r="N93" s="74">
        <f t="shared" ca="1" si="14"/>
        <v>0.158085</v>
      </c>
      <c r="P93" s="15"/>
      <c r="BD93" s="1" t="s">
        <v>542</v>
      </c>
      <c r="BE93" s="1" t="s">
        <v>156</v>
      </c>
      <c r="BF93" s="72" t="s">
        <v>545</v>
      </c>
      <c r="BG93" s="78">
        <v>112.94</v>
      </c>
      <c r="BH93" s="78">
        <v>112.94</v>
      </c>
      <c r="BI93" s="78">
        <v>118.44</v>
      </c>
      <c r="BJ93" s="78">
        <v>133.78</v>
      </c>
      <c r="BK93" s="78">
        <v>133.78</v>
      </c>
      <c r="BL93" s="78">
        <v>141.19</v>
      </c>
      <c r="BM93" s="78">
        <v>140.91</v>
      </c>
      <c r="BN93" s="78">
        <v>140.91</v>
      </c>
      <c r="BO93" s="78">
        <v>146.05000000000001</v>
      </c>
      <c r="BP93" s="78"/>
      <c r="BQ93" s="23">
        <v>0.91</v>
      </c>
      <c r="BR93" s="23">
        <v>0.99</v>
      </c>
      <c r="CF93" s="1" t="s">
        <v>542</v>
      </c>
      <c r="CG93" s="1" t="s">
        <v>155</v>
      </c>
      <c r="CI93" s="31">
        <f t="shared" si="15"/>
        <v>1</v>
      </c>
      <c r="DN93" s="1" t="s">
        <v>542</v>
      </c>
      <c r="DO93" s="1" t="s">
        <v>156</v>
      </c>
      <c r="DP93" s="1">
        <v>2</v>
      </c>
    </row>
    <row r="94" spans="1:120" hidden="1" x14ac:dyDescent="0.2">
      <c r="A94" s="1" t="s">
        <v>429</v>
      </c>
      <c r="B94" s="1" t="s">
        <v>107</v>
      </c>
      <c r="C94" s="39" t="s">
        <v>439</v>
      </c>
      <c r="D94" s="1">
        <v>5</v>
      </c>
      <c r="E94" s="7">
        <v>3</v>
      </c>
      <c r="K94" s="72">
        <v>4</v>
      </c>
      <c r="L94" s="1" t="s">
        <v>48</v>
      </c>
      <c r="M94" s="1" t="s">
        <v>617</v>
      </c>
      <c r="N94" s="74">
        <f t="shared" ca="1" si="14"/>
        <v>0.158085</v>
      </c>
      <c r="P94" s="15"/>
      <c r="BD94" s="1" t="s">
        <v>542</v>
      </c>
      <c r="BE94" s="1" t="s">
        <v>155</v>
      </c>
      <c r="BF94" s="72" t="s">
        <v>546</v>
      </c>
      <c r="BG94" s="78">
        <v>112.94</v>
      </c>
      <c r="BH94" s="78">
        <v>112.94</v>
      </c>
      <c r="BI94" s="78">
        <v>118.44</v>
      </c>
      <c r="BJ94" s="78">
        <v>133.78</v>
      </c>
      <c r="BK94" s="78">
        <v>133.78</v>
      </c>
      <c r="BL94" s="78">
        <v>141.19</v>
      </c>
      <c r="BM94" s="78">
        <v>140.91</v>
      </c>
      <c r="BN94" s="78">
        <v>140.91</v>
      </c>
      <c r="BO94" s="78">
        <v>146.05000000000001</v>
      </c>
      <c r="BP94" s="78"/>
      <c r="BQ94" s="23">
        <v>0.92</v>
      </c>
      <c r="BR94" s="23">
        <v>0.99</v>
      </c>
      <c r="CF94" s="1" t="s">
        <v>542</v>
      </c>
      <c r="CG94" s="1" t="s">
        <v>149</v>
      </c>
      <c r="CI94" s="31">
        <f t="shared" si="15"/>
        <v>1</v>
      </c>
      <c r="DN94" s="1" t="s">
        <v>542</v>
      </c>
      <c r="DO94" s="1" t="s">
        <v>155</v>
      </c>
      <c r="DP94" s="1">
        <v>2</v>
      </c>
    </row>
    <row r="95" spans="1:120" hidden="1" x14ac:dyDescent="0.2">
      <c r="A95" s="1" t="s">
        <v>429</v>
      </c>
      <c r="B95" s="1" t="s">
        <v>106</v>
      </c>
      <c r="C95" s="39" t="s">
        <v>440</v>
      </c>
      <c r="D95" s="1">
        <v>5</v>
      </c>
      <c r="E95" s="7">
        <v>1</v>
      </c>
      <c r="K95" s="72">
        <v>4</v>
      </c>
      <c r="L95" s="1" t="s">
        <v>48</v>
      </c>
      <c r="M95" s="1" t="s">
        <v>618</v>
      </c>
      <c r="N95" s="74">
        <f t="shared" ca="1" si="14"/>
        <v>0.158085</v>
      </c>
      <c r="P95" s="15"/>
      <c r="BD95" s="1" t="s">
        <v>542</v>
      </c>
      <c r="BE95" s="1" t="s">
        <v>149</v>
      </c>
      <c r="BF95" s="72" t="s">
        <v>547</v>
      </c>
      <c r="BG95" s="78">
        <v>112.94</v>
      </c>
      <c r="BH95" s="78">
        <v>112.94</v>
      </c>
      <c r="BI95" s="78">
        <v>118.44</v>
      </c>
      <c r="BJ95" s="78">
        <v>133.78</v>
      </c>
      <c r="BK95" s="78">
        <v>133.78</v>
      </c>
      <c r="BL95" s="78">
        <v>141.19</v>
      </c>
      <c r="BM95" s="78">
        <v>140.91</v>
      </c>
      <c r="BN95" s="78">
        <v>140.91</v>
      </c>
      <c r="BO95" s="78">
        <v>146.05000000000001</v>
      </c>
      <c r="BP95" s="78"/>
      <c r="BQ95" s="23">
        <v>0.93</v>
      </c>
      <c r="BR95" s="23">
        <v>0.99</v>
      </c>
      <c r="CF95" s="1" t="s">
        <v>542</v>
      </c>
      <c r="CG95" s="1" t="s">
        <v>145</v>
      </c>
      <c r="CI95" s="31">
        <f>IF(CH95=1,1.1,1)</f>
        <v>1</v>
      </c>
      <c r="DN95" s="1" t="s">
        <v>542</v>
      </c>
      <c r="DO95" s="1" t="s">
        <v>149</v>
      </c>
      <c r="DP95" s="1">
        <v>2</v>
      </c>
    </row>
    <row r="96" spans="1:120" x14ac:dyDescent="0.2">
      <c r="A96" s="1" t="s">
        <v>482</v>
      </c>
      <c r="B96" s="1" t="s">
        <v>494</v>
      </c>
      <c r="C96" s="39" t="s">
        <v>495</v>
      </c>
      <c r="D96" s="1">
        <v>33</v>
      </c>
      <c r="E96" s="7">
        <v>5</v>
      </c>
      <c r="K96" s="72">
        <v>4</v>
      </c>
      <c r="L96" s="1" t="s">
        <v>49</v>
      </c>
      <c r="M96" s="1" t="s">
        <v>610</v>
      </c>
      <c r="N96" s="74">
        <f t="shared" ca="1" si="14"/>
        <v>0.43807500000000005</v>
      </c>
      <c r="P96" s="15"/>
      <c r="BD96" s="1" t="s">
        <v>542</v>
      </c>
      <c r="BE96" s="1" t="s">
        <v>145</v>
      </c>
      <c r="BF96" s="72" t="s">
        <v>548</v>
      </c>
      <c r="BG96" s="78">
        <v>112.94</v>
      </c>
      <c r="BH96" s="78">
        <v>112.94</v>
      </c>
      <c r="BI96" s="78">
        <v>118.44</v>
      </c>
      <c r="BJ96" s="78">
        <v>133.78</v>
      </c>
      <c r="BK96" s="78">
        <v>133.78</v>
      </c>
      <c r="BL96" s="78">
        <v>141.19</v>
      </c>
      <c r="BM96" s="78">
        <v>140.91</v>
      </c>
      <c r="BN96" s="78">
        <v>140.91</v>
      </c>
      <c r="BO96" s="78">
        <v>146.05000000000001</v>
      </c>
      <c r="BP96" s="78"/>
      <c r="BQ96" s="23">
        <v>0.94</v>
      </c>
      <c r="BR96" s="23">
        <v>0.99</v>
      </c>
      <c r="CF96" s="1" t="s">
        <v>542</v>
      </c>
      <c r="CG96" s="1" t="s">
        <v>135</v>
      </c>
      <c r="CI96" s="31">
        <f t="shared" si="15"/>
        <v>1</v>
      </c>
      <c r="DN96" s="1" t="s">
        <v>542</v>
      </c>
      <c r="DO96" s="1" t="s">
        <v>145</v>
      </c>
      <c r="DP96" s="1">
        <v>2</v>
      </c>
    </row>
    <row r="97" spans="1:120" hidden="1" x14ac:dyDescent="0.2">
      <c r="A97" s="1" t="s">
        <v>536</v>
      </c>
      <c r="B97" s="1" t="s">
        <v>105</v>
      </c>
      <c r="C97" s="39" t="s">
        <v>541</v>
      </c>
      <c r="D97" s="1">
        <v>7</v>
      </c>
      <c r="E97" s="7">
        <v>1</v>
      </c>
      <c r="K97" s="72">
        <v>4</v>
      </c>
      <c r="L97" s="1" t="s">
        <v>49</v>
      </c>
      <c r="M97" s="1" t="s">
        <v>611</v>
      </c>
      <c r="N97" s="74">
        <f t="shared" ca="1" si="14"/>
        <v>0.43807500000000005</v>
      </c>
      <c r="P97" s="15"/>
      <c r="BD97" s="1" t="s">
        <v>542</v>
      </c>
      <c r="BE97" s="1" t="s">
        <v>135</v>
      </c>
      <c r="BF97" s="72" t="s">
        <v>549</v>
      </c>
      <c r="BG97" s="78">
        <v>112.94</v>
      </c>
      <c r="BH97" s="78">
        <v>112.94</v>
      </c>
      <c r="BI97" s="78">
        <v>118.44</v>
      </c>
      <c r="BJ97" s="78">
        <v>133.78</v>
      </c>
      <c r="BK97" s="78">
        <v>133.78</v>
      </c>
      <c r="BL97" s="78">
        <v>141.19</v>
      </c>
      <c r="BM97" s="78">
        <v>140.91</v>
      </c>
      <c r="BN97" s="78">
        <v>140.91</v>
      </c>
      <c r="BO97" s="78">
        <v>146.05000000000001</v>
      </c>
      <c r="BP97" s="78"/>
      <c r="BQ97" s="23">
        <v>0.95</v>
      </c>
      <c r="BR97" s="23">
        <v>1</v>
      </c>
      <c r="CF97" s="1" t="s">
        <v>542</v>
      </c>
      <c r="CG97" s="1" t="s">
        <v>129</v>
      </c>
      <c r="CH97" s="1">
        <v>1</v>
      </c>
      <c r="CI97" s="31">
        <f>IF(CH97=1,1.1,1)</f>
        <v>1.1000000000000001</v>
      </c>
      <c r="DN97" s="1" t="s">
        <v>542</v>
      </c>
      <c r="DO97" s="1" t="s">
        <v>135</v>
      </c>
      <c r="DP97" s="1">
        <v>2</v>
      </c>
    </row>
    <row r="98" spans="1:120" hidden="1" x14ac:dyDescent="0.2">
      <c r="A98" s="1" t="s">
        <v>496</v>
      </c>
      <c r="B98" s="1" t="s">
        <v>104</v>
      </c>
      <c r="C98" s="39" t="s">
        <v>511</v>
      </c>
      <c r="D98" s="1">
        <v>10</v>
      </c>
      <c r="E98" s="7">
        <v>1</v>
      </c>
      <c r="K98" s="72">
        <v>4</v>
      </c>
      <c r="L98" s="1" t="s">
        <v>49</v>
      </c>
      <c r="M98" s="1" t="s">
        <v>612</v>
      </c>
      <c r="N98" s="74">
        <f t="shared" ca="1" si="14"/>
        <v>0.37962000000000001</v>
      </c>
      <c r="P98" s="15"/>
      <c r="BD98" s="1" t="s">
        <v>542</v>
      </c>
      <c r="BE98" s="1" t="s">
        <v>129</v>
      </c>
      <c r="BF98" s="72" t="s">
        <v>550</v>
      </c>
      <c r="BG98" s="78">
        <v>141.25</v>
      </c>
      <c r="BH98" s="78">
        <v>141.25</v>
      </c>
      <c r="BI98" s="78">
        <v>207.64</v>
      </c>
      <c r="BJ98" s="78">
        <v>231.29</v>
      </c>
      <c r="BK98" s="78">
        <v>231.29</v>
      </c>
      <c r="BL98" s="78">
        <v>253.26</v>
      </c>
      <c r="BM98" s="78">
        <v>239.27</v>
      </c>
      <c r="BN98" s="78">
        <v>239.27</v>
      </c>
      <c r="BO98" s="78">
        <v>244.55</v>
      </c>
      <c r="BP98" s="78"/>
      <c r="BQ98" s="23">
        <v>0.96</v>
      </c>
      <c r="BR98" s="23">
        <v>1</v>
      </c>
      <c r="CF98" s="1" t="s">
        <v>542</v>
      </c>
      <c r="CG98" s="1" t="s">
        <v>124</v>
      </c>
      <c r="CI98" s="31">
        <f>IF(CH98=1,1.1,1)</f>
        <v>1</v>
      </c>
      <c r="DN98" s="1" t="s">
        <v>542</v>
      </c>
      <c r="DO98" s="1" t="s">
        <v>129</v>
      </c>
      <c r="DP98" s="1">
        <v>2</v>
      </c>
    </row>
    <row r="99" spans="1:120" hidden="1" x14ac:dyDescent="0.2">
      <c r="A99" s="1" t="s">
        <v>496</v>
      </c>
      <c r="B99" s="1" t="s">
        <v>103</v>
      </c>
      <c r="C99" s="39" t="s">
        <v>512</v>
      </c>
      <c r="D99" s="1">
        <v>10</v>
      </c>
      <c r="E99" s="7">
        <v>1</v>
      </c>
      <c r="K99" s="72">
        <v>4</v>
      </c>
      <c r="L99" s="1" t="s">
        <v>49</v>
      </c>
      <c r="M99" s="1" t="s">
        <v>613</v>
      </c>
      <c r="N99" s="74">
        <f t="shared" ca="1" si="14"/>
        <v>0.37962000000000001</v>
      </c>
      <c r="P99" s="15"/>
      <c r="BD99" s="1" t="s">
        <v>542</v>
      </c>
      <c r="BE99" s="1" t="s">
        <v>124</v>
      </c>
      <c r="BF99" s="72" t="s">
        <v>551</v>
      </c>
      <c r="BG99" s="78">
        <v>112.94</v>
      </c>
      <c r="BH99" s="78">
        <v>112.94</v>
      </c>
      <c r="BI99" s="78">
        <v>118.44</v>
      </c>
      <c r="BJ99" s="78">
        <v>133.78</v>
      </c>
      <c r="BK99" s="78">
        <v>133.78</v>
      </c>
      <c r="BL99" s="78">
        <v>141.19</v>
      </c>
      <c r="BM99" s="78">
        <v>140.91</v>
      </c>
      <c r="BN99" s="78">
        <v>140.91</v>
      </c>
      <c r="BO99" s="78">
        <v>146.05000000000001</v>
      </c>
      <c r="BP99" s="78"/>
      <c r="BQ99" s="23">
        <v>0.97</v>
      </c>
      <c r="BR99" s="23">
        <v>1</v>
      </c>
      <c r="CF99" s="1" t="s">
        <v>542</v>
      </c>
      <c r="CG99" s="1" t="s">
        <v>117</v>
      </c>
      <c r="CI99" s="31">
        <f t="shared" si="15"/>
        <v>1</v>
      </c>
      <c r="DN99" s="1" t="s">
        <v>542</v>
      </c>
      <c r="DO99" s="1" t="s">
        <v>124</v>
      </c>
      <c r="DP99" s="1">
        <v>2</v>
      </c>
    </row>
    <row r="100" spans="1:120" hidden="1" x14ac:dyDescent="0.2">
      <c r="A100" s="1" t="s">
        <v>125</v>
      </c>
      <c r="B100" s="1" t="s">
        <v>102</v>
      </c>
      <c r="C100" s="39" t="s">
        <v>525</v>
      </c>
      <c r="D100" s="1">
        <v>6</v>
      </c>
      <c r="E100" s="7">
        <v>2</v>
      </c>
      <c r="K100" s="72">
        <v>4</v>
      </c>
      <c r="L100" s="1" t="s">
        <v>49</v>
      </c>
      <c r="M100" s="1" t="s">
        <v>614</v>
      </c>
      <c r="N100" s="74">
        <f t="shared" ca="1" si="14"/>
        <v>0.29200500000000001</v>
      </c>
      <c r="P100" s="15"/>
      <c r="BD100" s="1" t="s">
        <v>542</v>
      </c>
      <c r="BE100" s="1" t="s">
        <v>117</v>
      </c>
      <c r="BF100" s="72" t="s">
        <v>552</v>
      </c>
      <c r="BG100" s="78">
        <v>112.94</v>
      </c>
      <c r="BH100" s="78">
        <v>112.94</v>
      </c>
      <c r="BI100" s="78">
        <v>118.44</v>
      </c>
      <c r="BJ100" s="78">
        <v>133.78</v>
      </c>
      <c r="BK100" s="78">
        <v>133.78</v>
      </c>
      <c r="BL100" s="78">
        <v>141.19</v>
      </c>
      <c r="BM100" s="78">
        <v>140.91</v>
      </c>
      <c r="BN100" s="78">
        <v>140.91</v>
      </c>
      <c r="BO100" s="78">
        <v>146.05000000000001</v>
      </c>
      <c r="BP100" s="78"/>
      <c r="BQ100" s="23">
        <v>0.98</v>
      </c>
      <c r="BR100" s="23">
        <v>1</v>
      </c>
      <c r="CF100" s="1" t="s">
        <v>542</v>
      </c>
      <c r="CG100" s="1" t="s">
        <v>114</v>
      </c>
      <c r="CI100" s="31">
        <f>IF(CH100=1,1.1,1)</f>
        <v>1</v>
      </c>
      <c r="DN100" s="1" t="s">
        <v>542</v>
      </c>
      <c r="DO100" s="1" t="s">
        <v>117</v>
      </c>
      <c r="DP100" s="1">
        <v>2</v>
      </c>
    </row>
    <row r="101" spans="1:120" hidden="1" x14ac:dyDescent="0.2">
      <c r="A101" s="1" t="s">
        <v>496</v>
      </c>
      <c r="B101" s="1" t="s">
        <v>101</v>
      </c>
      <c r="C101" s="39" t="s">
        <v>513</v>
      </c>
      <c r="D101" s="1">
        <v>10</v>
      </c>
      <c r="E101" s="7">
        <v>2</v>
      </c>
      <c r="K101" s="72">
        <v>4</v>
      </c>
      <c r="L101" s="1" t="s">
        <v>49</v>
      </c>
      <c r="M101" s="1" t="s">
        <v>615</v>
      </c>
      <c r="N101" s="74">
        <f t="shared" ca="1" si="14"/>
        <v>0.20439000000000002</v>
      </c>
      <c r="P101" s="15"/>
      <c r="BD101" s="1" t="s">
        <v>542</v>
      </c>
      <c r="BE101" s="1" t="s">
        <v>114</v>
      </c>
      <c r="BF101" s="72" t="s">
        <v>553</v>
      </c>
      <c r="BG101" s="78">
        <v>128.44</v>
      </c>
      <c r="BH101" s="78">
        <v>128.44</v>
      </c>
      <c r="BI101" s="78">
        <v>135.68</v>
      </c>
      <c r="BJ101" s="78">
        <v>152.41</v>
      </c>
      <c r="BK101" s="78">
        <v>152.41</v>
      </c>
      <c r="BL101" s="78">
        <v>162.65</v>
      </c>
      <c r="BM101" s="78">
        <v>160.38999999999999</v>
      </c>
      <c r="BN101" s="78">
        <v>160.38999999999999</v>
      </c>
      <c r="BO101" s="78">
        <v>165.67</v>
      </c>
      <c r="BP101" s="78"/>
      <c r="BQ101" s="23">
        <v>0.99</v>
      </c>
      <c r="BR101" s="23">
        <v>1</v>
      </c>
      <c r="CF101" s="1" t="s">
        <v>542</v>
      </c>
      <c r="CG101" s="1" t="s">
        <v>113</v>
      </c>
      <c r="CI101" s="31">
        <f>IF(CH101=1,1.1,1)</f>
        <v>1</v>
      </c>
      <c r="DN101" s="1" t="s">
        <v>542</v>
      </c>
      <c r="DO101" s="1" t="s">
        <v>114</v>
      </c>
      <c r="DP101" s="1">
        <v>2</v>
      </c>
    </row>
    <row r="102" spans="1:120" hidden="1" x14ac:dyDescent="0.2">
      <c r="A102" s="1" t="s">
        <v>125</v>
      </c>
      <c r="B102" s="1" t="s">
        <v>100</v>
      </c>
      <c r="C102" s="39" t="s">
        <v>526</v>
      </c>
      <c r="D102" s="1">
        <v>12</v>
      </c>
      <c r="E102" s="7">
        <v>3</v>
      </c>
      <c r="K102" s="72">
        <v>4</v>
      </c>
      <c r="L102" s="1" t="s">
        <v>49</v>
      </c>
      <c r="M102" s="1" t="s">
        <v>616</v>
      </c>
      <c r="N102" s="74">
        <f t="shared" ca="1" si="14"/>
        <v>0.18495000000000003</v>
      </c>
      <c r="P102" s="15"/>
      <c r="BD102" s="1" t="s">
        <v>542</v>
      </c>
      <c r="BE102" s="1" t="s">
        <v>113</v>
      </c>
      <c r="BF102" s="72" t="s">
        <v>554</v>
      </c>
      <c r="BG102" s="78">
        <v>128.44</v>
      </c>
      <c r="BH102" s="78">
        <v>128.44</v>
      </c>
      <c r="BI102" s="78">
        <v>135.68</v>
      </c>
      <c r="BJ102" s="78">
        <v>152.41</v>
      </c>
      <c r="BK102" s="78">
        <v>152.41</v>
      </c>
      <c r="BL102" s="78">
        <v>162.65</v>
      </c>
      <c r="BM102" s="78">
        <v>160.38999999999999</v>
      </c>
      <c r="BN102" s="78">
        <v>160.38999999999999</v>
      </c>
      <c r="BO102" s="78">
        <v>165.67</v>
      </c>
      <c r="BP102" s="78"/>
      <c r="BQ102" s="23">
        <v>1</v>
      </c>
      <c r="BR102" s="23">
        <v>1</v>
      </c>
      <c r="DN102" s="1" t="s">
        <v>542</v>
      </c>
      <c r="DO102" s="1" t="s">
        <v>113</v>
      </c>
      <c r="DP102" s="1">
        <v>2</v>
      </c>
    </row>
    <row r="103" spans="1:120" hidden="1" x14ac:dyDescent="0.2">
      <c r="K103" s="72">
        <v>4</v>
      </c>
      <c r="L103" s="1" t="s">
        <v>49</v>
      </c>
      <c r="M103" s="1" t="s">
        <v>617</v>
      </c>
      <c r="N103" s="74">
        <f t="shared" ca="1" si="14"/>
        <v>0.18495000000000003</v>
      </c>
      <c r="P103" s="15"/>
    </row>
    <row r="104" spans="1:120" hidden="1" x14ac:dyDescent="0.2">
      <c r="K104" s="72">
        <v>4</v>
      </c>
      <c r="L104" s="1" t="s">
        <v>49</v>
      </c>
      <c r="M104" s="1" t="s">
        <v>618</v>
      </c>
      <c r="N104" s="75">
        <f t="shared" ca="1" si="14"/>
        <v>0.18495000000000003</v>
      </c>
      <c r="P104" s="15"/>
    </row>
    <row r="105" spans="1:120" x14ac:dyDescent="0.2">
      <c r="K105" s="72">
        <v>5</v>
      </c>
      <c r="L105" s="1" t="s">
        <v>48</v>
      </c>
      <c r="M105" s="1" t="s">
        <v>610</v>
      </c>
      <c r="N105" s="73">
        <f t="shared" ref="N105:N122" ca="1" si="16">N69*1.7</f>
        <v>0.47141</v>
      </c>
      <c r="P105" s="15"/>
    </row>
    <row r="106" spans="1:120" hidden="1" x14ac:dyDescent="0.2">
      <c r="K106" s="72">
        <v>5</v>
      </c>
      <c r="L106" s="1" t="s">
        <v>48</v>
      </c>
      <c r="M106" s="1" t="s">
        <v>611</v>
      </c>
      <c r="N106" s="74">
        <f t="shared" ca="1" si="16"/>
        <v>0.47141</v>
      </c>
      <c r="P106" s="15"/>
    </row>
    <row r="107" spans="1:120" hidden="1" x14ac:dyDescent="0.2">
      <c r="K107" s="72">
        <v>5</v>
      </c>
      <c r="L107" s="1" t="s">
        <v>48</v>
      </c>
      <c r="M107" s="1" t="s">
        <v>612</v>
      </c>
      <c r="N107" s="74">
        <f t="shared" ca="1" si="16"/>
        <v>0.40851000000000004</v>
      </c>
      <c r="P107" s="15"/>
    </row>
    <row r="108" spans="1:120" hidden="1" x14ac:dyDescent="0.2">
      <c r="A108" s="1" t="s">
        <v>406</v>
      </c>
      <c r="K108" s="72">
        <v>5</v>
      </c>
      <c r="L108" s="1" t="s">
        <v>48</v>
      </c>
      <c r="M108" s="1" t="s">
        <v>613</v>
      </c>
      <c r="N108" s="74">
        <f t="shared" ca="1" si="16"/>
        <v>0.40851000000000004</v>
      </c>
      <c r="P108" s="15"/>
    </row>
    <row r="109" spans="1:120" hidden="1" x14ac:dyDescent="0.2">
      <c r="A109" s="1" t="s">
        <v>401</v>
      </c>
      <c r="K109" s="72">
        <v>5</v>
      </c>
      <c r="L109" s="1" t="s">
        <v>48</v>
      </c>
      <c r="M109" s="1" t="s">
        <v>614</v>
      </c>
      <c r="N109" s="74">
        <f t="shared" ca="1" si="16"/>
        <v>0.31433</v>
      </c>
      <c r="P109" s="15"/>
    </row>
    <row r="110" spans="1:120" hidden="1" x14ac:dyDescent="0.2">
      <c r="A110" s="1" t="s">
        <v>429</v>
      </c>
      <c r="K110" s="72">
        <v>5</v>
      </c>
      <c r="L110" s="1" t="s">
        <v>48</v>
      </c>
      <c r="M110" s="1" t="s">
        <v>615</v>
      </c>
      <c r="N110" s="74">
        <f t="shared" ca="1" si="16"/>
        <v>0.21997999999999998</v>
      </c>
      <c r="P110" s="15"/>
    </row>
    <row r="111" spans="1:120" hidden="1" x14ac:dyDescent="0.2">
      <c r="A111" s="1" t="s">
        <v>441</v>
      </c>
      <c r="K111" s="72">
        <v>5</v>
      </c>
      <c r="L111" s="1" t="s">
        <v>48</v>
      </c>
      <c r="M111" s="1" t="s">
        <v>616</v>
      </c>
      <c r="N111" s="74">
        <f t="shared" ca="1" si="16"/>
        <v>0.19907</v>
      </c>
      <c r="P111" s="15"/>
    </row>
    <row r="112" spans="1:120" hidden="1" x14ac:dyDescent="0.2">
      <c r="A112" s="1" t="s">
        <v>447</v>
      </c>
      <c r="K112" s="72">
        <v>5</v>
      </c>
      <c r="L112" s="1" t="s">
        <v>48</v>
      </c>
      <c r="M112" s="1" t="s">
        <v>617</v>
      </c>
      <c r="N112" s="74">
        <f t="shared" ca="1" si="16"/>
        <v>0.19907</v>
      </c>
      <c r="P112" s="15"/>
    </row>
    <row r="113" spans="1:16" hidden="1" x14ac:dyDescent="0.2">
      <c r="A113" s="1" t="s">
        <v>468</v>
      </c>
      <c r="K113" s="72">
        <v>5</v>
      </c>
      <c r="L113" s="1" t="s">
        <v>48</v>
      </c>
      <c r="M113" s="1" t="s">
        <v>618</v>
      </c>
      <c r="N113" s="74">
        <f t="shared" ca="1" si="16"/>
        <v>0.19907</v>
      </c>
      <c r="P113" s="15"/>
    </row>
    <row r="114" spans="1:16" x14ac:dyDescent="0.2">
      <c r="A114" s="1" t="s">
        <v>482</v>
      </c>
      <c r="K114" s="72">
        <v>5</v>
      </c>
      <c r="L114" s="1" t="s">
        <v>49</v>
      </c>
      <c r="M114" s="1" t="s">
        <v>610</v>
      </c>
      <c r="N114" s="74">
        <f t="shared" ca="1" si="16"/>
        <v>0.55164999999999997</v>
      </c>
      <c r="P114" s="15"/>
    </row>
    <row r="115" spans="1:16" hidden="1" x14ac:dyDescent="0.2">
      <c r="A115" s="1" t="s">
        <v>496</v>
      </c>
      <c r="K115" s="72">
        <v>5</v>
      </c>
      <c r="L115" s="1" t="s">
        <v>49</v>
      </c>
      <c r="M115" s="1" t="s">
        <v>611</v>
      </c>
      <c r="N115" s="74">
        <f t="shared" ca="1" si="16"/>
        <v>0.55164999999999997</v>
      </c>
      <c r="P115" s="15"/>
    </row>
    <row r="116" spans="1:16" hidden="1" x14ac:dyDescent="0.2">
      <c r="A116" s="1" t="s">
        <v>514</v>
      </c>
      <c r="K116" s="72">
        <v>5</v>
      </c>
      <c r="L116" s="1" t="s">
        <v>49</v>
      </c>
      <c r="M116" s="1" t="s">
        <v>612</v>
      </c>
      <c r="N116" s="74">
        <f t="shared" ca="1" si="16"/>
        <v>0.47804000000000002</v>
      </c>
      <c r="P116" s="15"/>
    </row>
    <row r="117" spans="1:16" hidden="1" x14ac:dyDescent="0.2">
      <c r="A117" s="1" t="s">
        <v>125</v>
      </c>
      <c r="K117" s="72">
        <v>5</v>
      </c>
      <c r="L117" s="1" t="s">
        <v>49</v>
      </c>
      <c r="M117" s="1" t="s">
        <v>613</v>
      </c>
      <c r="N117" s="74">
        <f t="shared" ca="1" si="16"/>
        <v>0.47804000000000002</v>
      </c>
      <c r="P117" s="15"/>
    </row>
    <row r="118" spans="1:16" hidden="1" x14ac:dyDescent="0.2">
      <c r="A118" s="1" t="s">
        <v>120</v>
      </c>
      <c r="K118" s="72">
        <v>5</v>
      </c>
      <c r="L118" s="1" t="s">
        <v>49</v>
      </c>
      <c r="M118" s="1" t="s">
        <v>614</v>
      </c>
      <c r="N118" s="74">
        <f t="shared" ca="1" si="16"/>
        <v>0.36770999999999998</v>
      </c>
      <c r="P118" s="15"/>
    </row>
    <row r="119" spans="1:16" hidden="1" x14ac:dyDescent="0.2">
      <c r="A119" s="1" t="s">
        <v>528</v>
      </c>
      <c r="K119" s="72">
        <v>5</v>
      </c>
      <c r="L119" s="1" t="s">
        <v>49</v>
      </c>
      <c r="M119" s="1" t="s">
        <v>615</v>
      </c>
      <c r="N119" s="74">
        <f t="shared" ca="1" si="16"/>
        <v>0.25738</v>
      </c>
      <c r="P119" s="15"/>
    </row>
    <row r="120" spans="1:16" hidden="1" x14ac:dyDescent="0.2">
      <c r="A120" s="1" t="s">
        <v>536</v>
      </c>
      <c r="K120" s="72">
        <v>5</v>
      </c>
      <c r="L120" s="1" t="s">
        <v>49</v>
      </c>
      <c r="M120" s="1" t="s">
        <v>616</v>
      </c>
      <c r="N120" s="74">
        <f t="shared" ca="1" si="16"/>
        <v>0.23290000000000002</v>
      </c>
      <c r="P120" s="15"/>
    </row>
    <row r="121" spans="1:16" hidden="1" x14ac:dyDescent="0.2">
      <c r="A121" s="1" t="s">
        <v>542</v>
      </c>
      <c r="K121" s="72">
        <v>5</v>
      </c>
      <c r="L121" s="1" t="s">
        <v>49</v>
      </c>
      <c r="M121" s="1" t="s">
        <v>617</v>
      </c>
      <c r="N121" s="74">
        <f t="shared" ca="1" si="16"/>
        <v>0.23290000000000002</v>
      </c>
      <c r="P121" s="15"/>
    </row>
    <row r="122" spans="1:16" hidden="1" x14ac:dyDescent="0.2">
      <c r="K122" s="72">
        <v>5</v>
      </c>
      <c r="L122" s="1" t="s">
        <v>49</v>
      </c>
      <c r="M122" s="1" t="s">
        <v>618</v>
      </c>
      <c r="N122" s="75">
        <f t="shared" ca="1" si="16"/>
        <v>0.23290000000000002</v>
      </c>
      <c r="P122" s="15"/>
    </row>
  </sheetData>
  <autoFilter ref="K32:N122">
    <filterColumn colId="2">
      <filters>
        <filter val="ISO 1 – Brick Veneer"/>
      </filters>
    </filterColumn>
  </autoFilter>
  <sortState ref="A3:E102">
    <sortCondition ref="B3"/>
  </sortState>
  <mergeCells count="50">
    <mergeCell ref="AT12:AV12"/>
    <mergeCell ref="AU13:AV13"/>
    <mergeCell ref="AX1:AY1"/>
    <mergeCell ref="AT1:AV1"/>
    <mergeCell ref="AK1:AL1"/>
    <mergeCell ref="AN1:AO1"/>
    <mergeCell ref="AQ5:AR5"/>
    <mergeCell ref="A1:E1"/>
    <mergeCell ref="G1:I1"/>
    <mergeCell ref="AQ1:AR1"/>
    <mergeCell ref="K1:Q1"/>
    <mergeCell ref="DD32:DE32"/>
    <mergeCell ref="DD5:DH5"/>
    <mergeCell ref="DE6:DF6"/>
    <mergeCell ref="DG6:DH6"/>
    <mergeCell ref="DD19:DH19"/>
    <mergeCell ref="DE20:DF20"/>
    <mergeCell ref="DG20:DH20"/>
    <mergeCell ref="L20:M20"/>
    <mergeCell ref="N20:O20"/>
    <mergeCell ref="P20:Q20"/>
    <mergeCell ref="BD1:BO1"/>
    <mergeCell ref="CF1:CI1"/>
    <mergeCell ref="BT8:BW8"/>
    <mergeCell ref="BT1:BW1"/>
    <mergeCell ref="BY1:CD1"/>
    <mergeCell ref="K19:Q19"/>
    <mergeCell ref="K5:Q5"/>
    <mergeCell ref="AU2:AV2"/>
    <mergeCell ref="L6:M6"/>
    <mergeCell ref="N6:O6"/>
    <mergeCell ref="AE2:AF2"/>
    <mergeCell ref="P6:Q6"/>
    <mergeCell ref="S1:U1"/>
    <mergeCell ref="W1:Y1"/>
    <mergeCell ref="AA1:AF1"/>
    <mergeCell ref="AH1:AI1"/>
    <mergeCell ref="AA2:AB2"/>
    <mergeCell ref="AC2:AD2"/>
    <mergeCell ref="DN1:DP1"/>
    <mergeCell ref="CR5:CS5"/>
    <mergeCell ref="DD1:DH1"/>
    <mergeCell ref="BA1:BB1"/>
    <mergeCell ref="CU1:CV1"/>
    <mergeCell ref="CX1:CY1"/>
    <mergeCell ref="DA1:DB1"/>
    <mergeCell ref="BQ1:BR1"/>
    <mergeCell ref="CN1:CP1"/>
    <mergeCell ref="CR1:CS1"/>
    <mergeCell ref="CK1:CL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rgb="FFFF0000"/>
  </sheetPr>
  <dimension ref="A3:AZ147"/>
  <sheetViews>
    <sheetView workbookViewId="0">
      <selection activeCell="W6" sqref="W6"/>
    </sheetView>
  </sheetViews>
  <sheetFormatPr defaultRowHeight="12.75" x14ac:dyDescent="0.2"/>
  <cols>
    <col min="2" max="2" width="6.85546875" bestFit="1" customWidth="1"/>
    <col min="3" max="3" width="22.28515625" bestFit="1" customWidth="1"/>
    <col min="4" max="4" width="23" bestFit="1" customWidth="1"/>
    <col min="5" max="5" width="15.5703125" style="229" bestFit="1" customWidth="1"/>
    <col min="6" max="6" width="16.140625" style="229" bestFit="1" customWidth="1"/>
    <col min="7" max="7" width="12" style="234" bestFit="1" customWidth="1"/>
    <col min="8" max="8" width="12" style="277" bestFit="1" customWidth="1"/>
    <col min="9" max="9" width="18.5703125" style="234" bestFit="1" customWidth="1"/>
    <col min="10" max="10" width="29.7109375" style="234" bestFit="1" customWidth="1"/>
    <col min="11" max="11" width="20.28515625" style="234" bestFit="1" customWidth="1"/>
    <col min="12" max="12" width="24.5703125" style="234" bestFit="1" customWidth="1"/>
    <col min="13" max="13" width="23.42578125" style="234" bestFit="1" customWidth="1"/>
    <col min="14" max="14" width="19.140625" style="234" bestFit="1" customWidth="1"/>
    <col min="15" max="15" width="20.7109375" style="234" bestFit="1" customWidth="1"/>
    <col min="16" max="16" width="19.85546875" bestFit="1" customWidth="1"/>
    <col min="18" max="18" width="7.5703125" bestFit="1" customWidth="1"/>
    <col min="19" max="19" width="13.85546875" bestFit="1" customWidth="1"/>
    <col min="20" max="20" width="30.42578125" bestFit="1" customWidth="1"/>
    <col min="21" max="21" width="30.42578125" customWidth="1"/>
    <col min="22" max="25" width="11.7109375" customWidth="1"/>
    <col min="26" max="26" width="34.42578125" bestFit="1" customWidth="1"/>
    <col min="28" max="28" width="12.140625" bestFit="1" customWidth="1"/>
    <col min="29" max="29" width="12.140625" customWidth="1"/>
    <col min="36" max="44" width="13.7109375" customWidth="1"/>
  </cols>
  <sheetData>
    <row r="3" spans="1:52" ht="25.5" x14ac:dyDescent="0.2">
      <c r="B3" t="s">
        <v>955</v>
      </c>
      <c r="C3" t="s">
        <v>719</v>
      </c>
      <c r="D3" t="s">
        <v>720</v>
      </c>
      <c r="E3" s="229" t="s">
        <v>956</v>
      </c>
      <c r="F3" s="229" t="s">
        <v>957</v>
      </c>
      <c r="G3" s="234" t="s">
        <v>958</v>
      </c>
      <c r="H3" s="277" t="s">
        <v>959</v>
      </c>
      <c r="I3" s="234" t="s">
        <v>960</v>
      </c>
      <c r="J3" s="234" t="s">
        <v>961</v>
      </c>
      <c r="K3" s="234" t="s">
        <v>962</v>
      </c>
      <c r="L3" s="234" t="s">
        <v>963</v>
      </c>
      <c r="M3" s="234" t="s">
        <v>964</v>
      </c>
      <c r="N3" s="234" t="s">
        <v>965</v>
      </c>
      <c r="O3" s="234" t="s">
        <v>966</v>
      </c>
      <c r="P3" t="s">
        <v>967</v>
      </c>
      <c r="Q3" t="s">
        <v>1026</v>
      </c>
      <c r="R3" s="234" t="s">
        <v>1027</v>
      </c>
      <c r="S3" s="234" t="s">
        <v>1028</v>
      </c>
      <c r="T3" s="234" t="s">
        <v>1029</v>
      </c>
      <c r="U3" s="234" t="s">
        <v>1030</v>
      </c>
      <c r="V3" s="233" t="s">
        <v>1031</v>
      </c>
      <c r="W3" s="233" t="s">
        <v>1032</v>
      </c>
      <c r="X3" s="86" t="s">
        <v>1033</v>
      </c>
      <c r="Y3" s="233" t="s">
        <v>1034</v>
      </c>
      <c r="Z3" s="233" t="s">
        <v>1035</v>
      </c>
      <c r="AA3" s="233" t="s">
        <v>1036</v>
      </c>
      <c r="AB3" t="s">
        <v>1037</v>
      </c>
      <c r="AC3" s="233" t="s">
        <v>1038</v>
      </c>
      <c r="AD3" t="s">
        <v>1039</v>
      </c>
      <c r="AE3" t="s">
        <v>1040</v>
      </c>
      <c r="AF3" t="s">
        <v>1041</v>
      </c>
      <c r="AG3" t="s">
        <v>1042</v>
      </c>
      <c r="AH3" t="s">
        <v>1043</v>
      </c>
      <c r="AJ3" s="246"/>
      <c r="AK3" s="246"/>
      <c r="AL3" s="246"/>
      <c r="AM3" s="246"/>
      <c r="AN3" s="246"/>
      <c r="AO3" s="246"/>
      <c r="AP3" s="246"/>
      <c r="AQ3" s="246"/>
      <c r="AR3" s="233"/>
      <c r="AT3" s="233"/>
      <c r="AU3" s="233"/>
      <c r="AV3" s="233"/>
      <c r="AW3" s="233"/>
      <c r="AX3" s="233"/>
      <c r="AY3" s="233"/>
      <c r="AZ3" s="233"/>
    </row>
    <row r="4" spans="1:52" x14ac:dyDescent="0.2">
      <c r="I4"/>
      <c r="J4"/>
      <c r="K4"/>
      <c r="L4"/>
      <c r="M4"/>
      <c r="O4"/>
    </row>
    <row r="5" spans="1:52" x14ac:dyDescent="0.2">
      <c r="R5" s="234"/>
      <c r="S5" s="234"/>
      <c r="AJ5" s="245"/>
    </row>
    <row r="6" spans="1:52" x14ac:dyDescent="0.2">
      <c r="A6">
        <v>1</v>
      </c>
      <c r="B6">
        <v>303</v>
      </c>
      <c r="C6" t="s">
        <v>1006</v>
      </c>
      <c r="D6" t="s">
        <v>1007</v>
      </c>
      <c r="E6" s="229">
        <v>2470.8268727999998</v>
      </c>
      <c r="F6" s="229">
        <v>479.95859999999999</v>
      </c>
      <c r="G6">
        <v>0</v>
      </c>
      <c r="H6" s="277">
        <v>1.9198344E-3</v>
      </c>
      <c r="I6">
        <v>1</v>
      </c>
      <c r="J6">
        <v>1</v>
      </c>
      <c r="K6">
        <v>1.1000000000000001</v>
      </c>
      <c r="L6">
        <v>0.88</v>
      </c>
      <c r="M6">
        <v>1</v>
      </c>
      <c r="N6">
        <v>1.0648</v>
      </c>
      <c r="O6">
        <v>1.1000000000000001</v>
      </c>
      <c r="P6">
        <v>1</v>
      </c>
      <c r="Q6">
        <v>0.18029999999999999</v>
      </c>
      <c r="R6">
        <v>0</v>
      </c>
      <c r="S6" s="238">
        <v>123.54134363999999</v>
      </c>
      <c r="T6" s="238">
        <v>33.597102</v>
      </c>
      <c r="U6" s="238">
        <v>0</v>
      </c>
      <c r="V6" s="238">
        <v>0</v>
      </c>
      <c r="W6" s="230">
        <v>170.91325746000001</v>
      </c>
      <c r="X6" s="230">
        <v>0</v>
      </c>
      <c r="Y6" s="230">
        <v>0</v>
      </c>
      <c r="Z6" s="229" t="s">
        <v>1008</v>
      </c>
      <c r="AA6">
        <v>1</v>
      </c>
      <c r="AB6" s="230">
        <v>0</v>
      </c>
      <c r="AC6" s="230">
        <v>234.1274047695</v>
      </c>
      <c r="AD6" s="230">
        <v>0</v>
      </c>
      <c r="AE6" s="230">
        <v>0</v>
      </c>
      <c r="AF6" s="230">
        <v>0</v>
      </c>
      <c r="AJ6" s="231"/>
      <c r="AK6" s="231"/>
      <c r="AL6" s="231"/>
      <c r="AM6" s="231"/>
      <c r="AN6" s="231"/>
      <c r="AO6" s="231"/>
      <c r="AP6" s="231"/>
      <c r="AQ6" s="231"/>
      <c r="AR6" s="231"/>
      <c r="AT6" s="239"/>
      <c r="AU6" s="239"/>
      <c r="AV6" s="239"/>
      <c r="AW6" s="239"/>
      <c r="AX6" s="239"/>
      <c r="AY6" s="239"/>
      <c r="AZ6" s="239"/>
    </row>
    <row r="7" spans="1:52" x14ac:dyDescent="0.2">
      <c r="A7">
        <f>A6+1</f>
        <v>2</v>
      </c>
      <c r="B7">
        <v>304</v>
      </c>
      <c r="C7" t="s">
        <v>1006</v>
      </c>
      <c r="D7" t="s">
        <v>1009</v>
      </c>
      <c r="E7" s="229">
        <v>2333.1223872</v>
      </c>
      <c r="F7" s="229">
        <v>837.74591999999996</v>
      </c>
      <c r="G7">
        <v>0</v>
      </c>
      <c r="H7" s="277">
        <v>2.0943647999999999E-3</v>
      </c>
      <c r="I7">
        <v>1</v>
      </c>
      <c r="J7">
        <v>1</v>
      </c>
      <c r="K7">
        <v>1.1000000000000001</v>
      </c>
      <c r="L7">
        <v>0.96</v>
      </c>
      <c r="M7">
        <v>1</v>
      </c>
      <c r="N7">
        <v>1.1616</v>
      </c>
      <c r="O7">
        <v>1.1000000000000001</v>
      </c>
      <c r="P7">
        <v>1</v>
      </c>
      <c r="Q7">
        <v>0.18029999999999999</v>
      </c>
      <c r="R7">
        <v>0</v>
      </c>
      <c r="S7" s="238">
        <v>414.68423039999999</v>
      </c>
      <c r="T7" s="238">
        <v>58.6422144</v>
      </c>
      <c r="U7" s="238">
        <v>0</v>
      </c>
      <c r="V7" s="238">
        <v>0</v>
      </c>
      <c r="W7" s="230">
        <v>159.27644304</v>
      </c>
      <c r="X7" s="230">
        <v>0</v>
      </c>
      <c r="Y7" s="230">
        <v>0</v>
      </c>
      <c r="Z7" s="229" t="s">
        <v>1008</v>
      </c>
      <c r="AA7">
        <v>2</v>
      </c>
      <c r="AB7" s="230">
        <v>0</v>
      </c>
      <c r="AC7" s="230">
        <v>249.760856268</v>
      </c>
      <c r="AD7" s="230">
        <v>0</v>
      </c>
      <c r="AE7" s="230">
        <v>0</v>
      </c>
      <c r="AF7" s="230">
        <v>0</v>
      </c>
      <c r="AJ7" s="231"/>
      <c r="AK7" s="231"/>
      <c r="AL7" s="231"/>
      <c r="AM7" s="231"/>
      <c r="AN7" s="231"/>
      <c r="AO7" s="231"/>
      <c r="AP7" s="231"/>
      <c r="AQ7" s="231"/>
      <c r="AR7" s="231"/>
      <c r="AT7" s="239"/>
      <c r="AU7" s="239"/>
      <c r="AV7" s="239"/>
      <c r="AW7" s="239"/>
      <c r="AX7" s="239"/>
      <c r="AY7" s="239"/>
      <c r="AZ7" s="239"/>
    </row>
    <row r="8" spans="1:52" x14ac:dyDescent="0.2">
      <c r="A8">
        <f t="shared" ref="A8:A12" si="0">A7+1</f>
        <v>3</v>
      </c>
      <c r="B8">
        <v>305</v>
      </c>
      <c r="C8" t="s">
        <v>1006</v>
      </c>
      <c r="D8" t="s">
        <v>1010</v>
      </c>
      <c r="E8" s="229">
        <v>1057.4447875200001</v>
      </c>
      <c r="F8" s="229">
        <v>431.96274</v>
      </c>
      <c r="G8">
        <v>0</v>
      </c>
      <c r="H8" s="277">
        <v>1.72785096E-3</v>
      </c>
      <c r="I8">
        <v>1</v>
      </c>
      <c r="J8">
        <v>0.9</v>
      </c>
      <c r="K8">
        <v>1.1000000000000001</v>
      </c>
      <c r="L8">
        <v>0.88</v>
      </c>
      <c r="M8">
        <v>1</v>
      </c>
      <c r="N8">
        <v>0.95831999999999995</v>
      </c>
      <c r="O8">
        <v>1.1000000000000001</v>
      </c>
      <c r="P8">
        <v>1</v>
      </c>
      <c r="Q8">
        <v>0.18029999999999999</v>
      </c>
      <c r="R8">
        <v>0</v>
      </c>
      <c r="S8" s="238">
        <v>130.66872885000001</v>
      </c>
      <c r="T8" s="238">
        <v>30.237391800000001</v>
      </c>
      <c r="U8" s="238">
        <v>0</v>
      </c>
      <c r="V8" s="238">
        <v>0</v>
      </c>
      <c r="W8" s="230">
        <v>66.349476863999996</v>
      </c>
      <c r="X8" s="230">
        <v>0</v>
      </c>
      <c r="Y8" s="230">
        <v>0</v>
      </c>
      <c r="Z8" s="229" t="s">
        <v>1008</v>
      </c>
      <c r="AA8">
        <v>3</v>
      </c>
      <c r="AB8" s="230">
        <v>0</v>
      </c>
      <c r="AC8" s="230">
        <v>116.6817753288</v>
      </c>
      <c r="AD8" s="230">
        <v>0</v>
      </c>
      <c r="AE8" s="230">
        <v>0</v>
      </c>
      <c r="AF8" s="230">
        <v>0</v>
      </c>
      <c r="AJ8" s="231"/>
      <c r="AK8" s="231"/>
      <c r="AL8" s="231"/>
      <c r="AM8" s="231"/>
      <c r="AN8" s="231"/>
      <c r="AO8" s="231"/>
      <c r="AP8" s="231"/>
      <c r="AQ8" s="231"/>
      <c r="AR8" s="231"/>
      <c r="AT8" s="239"/>
      <c r="AU8" s="239"/>
      <c r="AV8" s="239"/>
      <c r="AW8" s="239"/>
      <c r="AX8" s="239"/>
      <c r="AY8" s="239"/>
      <c r="AZ8" s="239"/>
    </row>
    <row r="9" spans="1:52" x14ac:dyDescent="0.2">
      <c r="A9">
        <f t="shared" si="0"/>
        <v>4</v>
      </c>
      <c r="B9">
        <v>306</v>
      </c>
      <c r="C9" t="s">
        <v>1006</v>
      </c>
      <c r="D9" t="s">
        <v>1011</v>
      </c>
      <c r="E9" s="229">
        <v>787.13210400000003</v>
      </c>
      <c r="F9" s="229">
        <v>297.57433200000003</v>
      </c>
      <c r="G9">
        <v>0</v>
      </c>
      <c r="H9" s="277">
        <v>1.9198344E-3</v>
      </c>
      <c r="I9">
        <v>1</v>
      </c>
      <c r="J9">
        <v>1</v>
      </c>
      <c r="K9">
        <v>1.1000000000000001</v>
      </c>
      <c r="L9">
        <v>0.88</v>
      </c>
      <c r="M9">
        <v>1</v>
      </c>
      <c r="N9">
        <v>1.0648</v>
      </c>
      <c r="O9">
        <v>1.1000000000000001</v>
      </c>
      <c r="P9">
        <v>1</v>
      </c>
      <c r="Q9">
        <v>0.18029999999999999</v>
      </c>
      <c r="R9">
        <v>0</v>
      </c>
      <c r="S9" s="238">
        <v>105.590892</v>
      </c>
      <c r="T9" s="238">
        <v>20.830203239999999</v>
      </c>
      <c r="U9" s="238">
        <v>0</v>
      </c>
      <c r="V9" s="238">
        <v>0</v>
      </c>
      <c r="W9" s="230">
        <v>44.636149799999899</v>
      </c>
      <c r="X9" s="230">
        <v>0</v>
      </c>
      <c r="Y9" s="230">
        <v>0</v>
      </c>
      <c r="Z9" s="229" t="s">
        <v>1008</v>
      </c>
      <c r="AA9">
        <v>4</v>
      </c>
      <c r="AB9" s="230">
        <v>0</v>
      </c>
      <c r="AC9" s="230">
        <v>84.700693934999904</v>
      </c>
      <c r="AD9" s="230">
        <v>0</v>
      </c>
      <c r="AE9" s="230">
        <v>0</v>
      </c>
      <c r="AF9" s="230">
        <v>0</v>
      </c>
      <c r="AJ9" s="231"/>
      <c r="AK9" s="231"/>
      <c r="AL9" s="231"/>
      <c r="AM9" s="231"/>
      <c r="AN9" s="231"/>
      <c r="AO9" s="231"/>
      <c r="AP9" s="231"/>
      <c r="AQ9" s="231"/>
      <c r="AR9" s="231"/>
      <c r="AT9" s="239"/>
      <c r="AU9" s="239"/>
      <c r="AV9" s="239"/>
      <c r="AW9" s="239"/>
      <c r="AX9" s="239"/>
      <c r="AY9" s="239"/>
      <c r="AZ9" s="239"/>
    </row>
    <row r="10" spans="1:52" x14ac:dyDescent="0.2">
      <c r="A10">
        <f t="shared" si="0"/>
        <v>5</v>
      </c>
      <c r="B10">
        <v>307</v>
      </c>
      <c r="C10" t="s">
        <v>1006</v>
      </c>
      <c r="D10" t="s">
        <v>1012</v>
      </c>
      <c r="E10" s="229">
        <v>936.49522032000004</v>
      </c>
      <c r="F10" s="229">
        <v>0</v>
      </c>
      <c r="G10">
        <v>0</v>
      </c>
      <c r="H10" s="277">
        <v>1.72785096E-3</v>
      </c>
      <c r="I10">
        <v>1</v>
      </c>
      <c r="J10">
        <v>0.9</v>
      </c>
      <c r="K10">
        <v>1.1000000000000001</v>
      </c>
      <c r="L10">
        <v>0.88</v>
      </c>
      <c r="M10">
        <v>1</v>
      </c>
      <c r="N10">
        <v>0.95831999999999995</v>
      </c>
      <c r="O10">
        <v>1.1000000000000001</v>
      </c>
      <c r="P10">
        <v>1</v>
      </c>
      <c r="Q10">
        <v>0.18029999999999999</v>
      </c>
      <c r="R10">
        <v>0</v>
      </c>
      <c r="S10" s="238">
        <v>46.824761015999997</v>
      </c>
      <c r="T10" s="238">
        <v>0</v>
      </c>
      <c r="U10" s="238">
        <v>0</v>
      </c>
      <c r="V10" s="238">
        <v>0</v>
      </c>
      <c r="W10" s="230">
        <v>57.278259323999997</v>
      </c>
      <c r="X10" s="230">
        <v>0</v>
      </c>
      <c r="Y10" s="230">
        <v>0</v>
      </c>
      <c r="Z10" s="229" t="s">
        <v>1008</v>
      </c>
      <c r="AA10">
        <v>5</v>
      </c>
      <c r="AB10" s="230">
        <v>0</v>
      </c>
      <c r="AC10" s="230">
        <v>74.533010973299994</v>
      </c>
      <c r="AD10" s="230">
        <v>0</v>
      </c>
      <c r="AE10" s="230">
        <v>0</v>
      </c>
      <c r="AF10" s="230">
        <v>0</v>
      </c>
      <c r="AJ10" s="231"/>
      <c r="AK10" s="231"/>
      <c r="AL10" s="231"/>
      <c r="AM10" s="231"/>
      <c r="AN10" s="231"/>
      <c r="AO10" s="231"/>
      <c r="AP10" s="231"/>
      <c r="AQ10" s="231"/>
      <c r="AR10" s="231"/>
      <c r="AT10" s="239"/>
      <c r="AU10" s="239"/>
      <c r="AV10" s="239"/>
      <c r="AW10" s="239"/>
      <c r="AX10" s="239"/>
      <c r="AY10" s="239"/>
      <c r="AZ10" s="239"/>
    </row>
    <row r="11" spans="1:52" x14ac:dyDescent="0.2">
      <c r="A11">
        <f t="shared" si="0"/>
        <v>6</v>
      </c>
      <c r="B11">
        <v>308</v>
      </c>
      <c r="C11" t="s">
        <v>1006</v>
      </c>
      <c r="D11" t="s">
        <v>1013</v>
      </c>
      <c r="E11" s="229">
        <v>1143.8373355199999</v>
      </c>
      <c r="F11" s="229">
        <v>431.96274</v>
      </c>
      <c r="G11">
        <v>0</v>
      </c>
      <c r="H11" s="277">
        <v>1.72785096E-3</v>
      </c>
      <c r="I11">
        <v>1</v>
      </c>
      <c r="J11">
        <v>0.9</v>
      </c>
      <c r="K11">
        <v>1.1000000000000001</v>
      </c>
      <c r="L11">
        <v>0.88</v>
      </c>
      <c r="M11">
        <v>1</v>
      </c>
      <c r="N11">
        <v>0.95831999999999995</v>
      </c>
      <c r="O11">
        <v>1.1000000000000001</v>
      </c>
      <c r="P11">
        <v>1</v>
      </c>
      <c r="Q11">
        <v>0.18029999999999999</v>
      </c>
      <c r="R11">
        <v>0</v>
      </c>
      <c r="S11" s="238">
        <v>57.191866775999998</v>
      </c>
      <c r="T11" s="238">
        <v>30.237391800000001</v>
      </c>
      <c r="U11" s="238">
        <v>0</v>
      </c>
      <c r="V11" s="238">
        <v>0</v>
      </c>
      <c r="W11" s="230">
        <v>72.828917963999999</v>
      </c>
      <c r="X11" s="230">
        <v>0</v>
      </c>
      <c r="Y11" s="230">
        <v>0</v>
      </c>
      <c r="Z11" s="229" t="s">
        <v>1008</v>
      </c>
      <c r="AA11">
        <v>6</v>
      </c>
      <c r="AB11" s="230">
        <v>0</v>
      </c>
      <c r="AC11" s="230">
        <v>123.64717451129999</v>
      </c>
      <c r="AD11" s="230">
        <v>0</v>
      </c>
      <c r="AE11" s="230">
        <v>0</v>
      </c>
      <c r="AF11" s="230">
        <v>0</v>
      </c>
      <c r="AJ11" s="231"/>
      <c r="AK11" s="231"/>
      <c r="AL11" s="231"/>
      <c r="AM11" s="231"/>
      <c r="AN11" s="231"/>
      <c r="AO11" s="231"/>
      <c r="AP11" s="231"/>
      <c r="AQ11" s="231"/>
      <c r="AR11" s="231"/>
      <c r="AT11" s="239"/>
      <c r="AU11" s="239"/>
      <c r="AV11" s="239"/>
      <c r="AW11" s="239"/>
      <c r="AX11" s="239"/>
      <c r="AY11" s="239"/>
      <c r="AZ11" s="239"/>
    </row>
    <row r="12" spans="1:52" x14ac:dyDescent="0.2">
      <c r="A12">
        <f t="shared" si="0"/>
        <v>7</v>
      </c>
      <c r="B12">
        <v>309</v>
      </c>
      <c r="C12" t="s">
        <v>1006</v>
      </c>
      <c r="D12" t="s">
        <v>1014</v>
      </c>
      <c r="E12" s="229">
        <v>502.99661279999998</v>
      </c>
      <c r="F12" s="229">
        <v>0</v>
      </c>
      <c r="G12">
        <v>0</v>
      </c>
      <c r="H12" s="277">
        <v>1.9198344E-3</v>
      </c>
      <c r="I12">
        <v>1</v>
      </c>
      <c r="J12">
        <v>1</v>
      </c>
      <c r="K12">
        <v>1.1000000000000001</v>
      </c>
      <c r="L12">
        <v>0.88</v>
      </c>
      <c r="M12">
        <v>1</v>
      </c>
      <c r="N12">
        <v>1.0648</v>
      </c>
      <c r="O12">
        <v>1.1000000000000001</v>
      </c>
      <c r="P12">
        <v>1</v>
      </c>
      <c r="Q12">
        <v>0.18029999999999999</v>
      </c>
      <c r="R12">
        <v>0</v>
      </c>
      <c r="S12" s="238">
        <v>25.149830640000001</v>
      </c>
      <c r="T12" s="238">
        <v>0</v>
      </c>
      <c r="U12" s="238">
        <v>0</v>
      </c>
      <c r="V12" s="238">
        <v>0</v>
      </c>
      <c r="W12" s="230">
        <v>23.325987959999999</v>
      </c>
      <c r="X12" s="230">
        <v>0</v>
      </c>
      <c r="Y12" s="230">
        <v>0</v>
      </c>
      <c r="Z12" s="229" t="s">
        <v>1008</v>
      </c>
      <c r="AA12">
        <v>7</v>
      </c>
      <c r="AB12" s="230">
        <v>0</v>
      </c>
      <c r="AC12" s="230">
        <v>39.474195056999903</v>
      </c>
      <c r="AD12" s="230">
        <v>0</v>
      </c>
      <c r="AE12" s="230">
        <v>0</v>
      </c>
      <c r="AF12" s="230">
        <v>0</v>
      </c>
      <c r="AJ12" s="231"/>
      <c r="AK12" s="231"/>
      <c r="AL12" s="231"/>
      <c r="AM12" s="231"/>
      <c r="AN12" s="231"/>
      <c r="AO12" s="231"/>
      <c r="AP12" s="231"/>
      <c r="AQ12" s="231"/>
      <c r="AR12" s="231"/>
      <c r="AT12" s="239"/>
      <c r="AU12" s="239"/>
      <c r="AV12" s="239"/>
      <c r="AW12" s="239"/>
      <c r="AX12" s="239"/>
      <c r="AY12" s="239"/>
      <c r="AZ12" s="239"/>
    </row>
    <row r="13" spans="1:52" x14ac:dyDescent="0.2">
      <c r="G13"/>
      <c r="I13"/>
      <c r="J13"/>
      <c r="K13"/>
      <c r="L13"/>
      <c r="M13"/>
      <c r="N13"/>
      <c r="O13"/>
      <c r="S13" s="238"/>
      <c r="T13" s="238"/>
      <c r="U13" s="238"/>
      <c r="V13" s="238"/>
      <c r="W13" s="232"/>
      <c r="X13" s="232"/>
      <c r="Y13" s="229"/>
      <c r="Z13" s="229"/>
      <c r="AB13" s="238"/>
      <c r="AC13" s="244"/>
      <c r="AD13" s="239"/>
      <c r="AE13" s="236"/>
      <c r="AF13" s="236"/>
      <c r="AJ13" s="231"/>
      <c r="AK13" s="231"/>
      <c r="AL13" s="231"/>
      <c r="AM13" s="231"/>
      <c r="AN13" s="231"/>
      <c r="AO13" s="231"/>
      <c r="AP13" s="231"/>
      <c r="AQ13" s="231"/>
      <c r="AR13" s="231"/>
      <c r="AT13" s="239"/>
      <c r="AU13" s="239"/>
      <c r="AV13" s="239"/>
      <c r="AW13" s="239"/>
      <c r="AX13" s="239"/>
      <c r="AY13" s="239"/>
      <c r="AZ13" s="239"/>
    </row>
    <row r="14" spans="1:52" x14ac:dyDescent="0.2">
      <c r="G14"/>
      <c r="I14"/>
      <c r="J14"/>
      <c r="K14"/>
      <c r="L14"/>
      <c r="M14"/>
      <c r="N14"/>
      <c r="O14"/>
      <c r="S14" s="238"/>
      <c r="T14" s="238"/>
      <c r="U14" s="238"/>
      <c r="V14" s="238"/>
      <c r="W14" s="232"/>
      <c r="X14" s="232"/>
      <c r="Y14" s="229"/>
      <c r="Z14" s="229"/>
      <c r="AB14" s="238"/>
      <c r="AC14" s="244"/>
      <c r="AD14" s="239"/>
      <c r="AE14" s="236"/>
      <c r="AF14" s="236"/>
      <c r="AJ14" s="231"/>
      <c r="AK14" s="231"/>
      <c r="AL14" s="231"/>
      <c r="AM14" s="231"/>
      <c r="AN14" s="231"/>
      <c r="AO14" s="231"/>
      <c r="AP14" s="231"/>
      <c r="AQ14" s="231"/>
      <c r="AR14" s="231"/>
      <c r="AT14" s="239"/>
      <c r="AU14" s="239"/>
      <c r="AV14" s="239"/>
      <c r="AW14" s="239"/>
      <c r="AX14" s="239"/>
      <c r="AY14" s="239"/>
      <c r="AZ14" s="239"/>
    </row>
    <row r="15" spans="1:52" x14ac:dyDescent="0.2">
      <c r="G15"/>
      <c r="I15"/>
      <c r="J15"/>
      <c r="K15"/>
      <c r="L15"/>
      <c r="M15"/>
      <c r="N15"/>
      <c r="O15"/>
      <c r="S15" s="238"/>
      <c r="T15" s="238"/>
      <c r="U15" s="238"/>
      <c r="V15" s="238"/>
      <c r="W15" s="232"/>
      <c r="X15" s="232"/>
      <c r="Y15" s="229"/>
      <c r="Z15" s="229"/>
      <c r="AB15" s="238"/>
      <c r="AC15" s="244"/>
      <c r="AD15" s="239"/>
      <c r="AE15" s="236"/>
      <c r="AF15" s="236"/>
      <c r="AJ15" s="231"/>
      <c r="AK15" s="231"/>
      <c r="AL15" s="231"/>
      <c r="AM15" s="231"/>
      <c r="AN15" s="231"/>
      <c r="AO15" s="231"/>
      <c r="AP15" s="231"/>
      <c r="AQ15" s="231"/>
      <c r="AR15" s="231"/>
      <c r="AT15" s="239"/>
      <c r="AU15" s="239"/>
      <c r="AV15" s="239"/>
      <c r="AW15" s="239"/>
      <c r="AX15" s="239"/>
      <c r="AY15" s="239"/>
      <c r="AZ15" s="239"/>
    </row>
    <row r="16" spans="1:52" x14ac:dyDescent="0.2">
      <c r="G16"/>
      <c r="I16"/>
      <c r="J16"/>
      <c r="K16"/>
      <c r="L16"/>
      <c r="M16"/>
      <c r="N16"/>
      <c r="O16"/>
      <c r="S16" s="238"/>
      <c r="T16" s="238"/>
      <c r="U16" s="238"/>
      <c r="V16" s="238"/>
      <c r="W16" s="232"/>
      <c r="X16" s="232"/>
      <c r="Y16" s="229"/>
      <c r="Z16" s="229"/>
      <c r="AB16" s="238"/>
      <c r="AC16" s="244"/>
      <c r="AD16" s="239"/>
      <c r="AE16" s="236"/>
      <c r="AF16" s="236"/>
      <c r="AJ16" s="231"/>
      <c r="AK16" s="231"/>
      <c r="AL16" s="231"/>
      <c r="AM16" s="231"/>
      <c r="AN16" s="231"/>
      <c r="AO16" s="231"/>
      <c r="AP16" s="231"/>
      <c r="AQ16" s="231"/>
      <c r="AR16" s="231"/>
      <c r="AT16" s="239"/>
      <c r="AU16" s="239"/>
      <c r="AV16" s="239"/>
      <c r="AW16" s="239"/>
      <c r="AX16" s="239"/>
      <c r="AY16" s="239"/>
      <c r="AZ16" s="239"/>
    </row>
    <row r="17" spans="7:52" x14ac:dyDescent="0.2">
      <c r="G17"/>
      <c r="I17"/>
      <c r="J17"/>
      <c r="K17"/>
      <c r="L17"/>
      <c r="M17"/>
      <c r="N17"/>
      <c r="O17"/>
      <c r="S17" s="238"/>
      <c r="T17" s="238"/>
      <c r="U17" s="238"/>
      <c r="V17" s="238"/>
      <c r="W17" s="232"/>
      <c r="X17" s="232"/>
      <c r="Y17" s="229"/>
      <c r="Z17" s="229"/>
      <c r="AB17" s="238"/>
      <c r="AC17" s="244"/>
      <c r="AD17" s="239"/>
      <c r="AE17" s="236"/>
      <c r="AF17" s="236"/>
      <c r="AJ17" s="231"/>
      <c r="AK17" s="231"/>
      <c r="AL17" s="231"/>
      <c r="AM17" s="231"/>
      <c r="AN17" s="231"/>
      <c r="AO17" s="231"/>
      <c r="AP17" s="231"/>
      <c r="AQ17" s="231"/>
      <c r="AR17" s="231"/>
      <c r="AT17" s="239"/>
      <c r="AU17" s="239"/>
      <c r="AV17" s="239"/>
      <c r="AW17" s="239"/>
      <c r="AX17" s="239"/>
      <c r="AY17" s="239"/>
      <c r="AZ17" s="239"/>
    </row>
    <row r="18" spans="7:52" x14ac:dyDescent="0.2">
      <c r="G18"/>
      <c r="I18"/>
      <c r="J18"/>
      <c r="K18"/>
      <c r="L18"/>
      <c r="M18"/>
      <c r="N18"/>
      <c r="O18"/>
      <c r="S18" s="238"/>
      <c r="T18" s="238"/>
      <c r="U18" s="238"/>
      <c r="V18" s="238"/>
      <c r="W18" s="232"/>
      <c r="X18" s="232"/>
      <c r="Y18" s="229"/>
      <c r="Z18" s="229"/>
      <c r="AB18" s="238"/>
      <c r="AC18" s="244"/>
      <c r="AD18" s="239"/>
      <c r="AE18" s="236"/>
      <c r="AF18" s="236"/>
      <c r="AJ18" s="231"/>
      <c r="AK18" s="231"/>
      <c r="AL18" s="231"/>
      <c r="AM18" s="231"/>
      <c r="AN18" s="231"/>
      <c r="AO18" s="231"/>
      <c r="AP18" s="231"/>
      <c r="AQ18" s="231"/>
      <c r="AR18" s="231"/>
      <c r="AT18" s="239"/>
      <c r="AU18" s="239"/>
      <c r="AV18" s="239"/>
      <c r="AW18" s="239"/>
      <c r="AX18" s="239"/>
      <c r="AY18" s="239"/>
      <c r="AZ18" s="239"/>
    </row>
    <row r="19" spans="7:52" x14ac:dyDescent="0.2">
      <c r="G19"/>
      <c r="I19"/>
      <c r="J19"/>
      <c r="K19"/>
      <c r="L19"/>
      <c r="M19"/>
      <c r="N19"/>
      <c r="O19"/>
      <c r="S19" s="238"/>
      <c r="T19" s="238"/>
      <c r="U19" s="238"/>
      <c r="V19" s="238"/>
      <c r="W19" s="232"/>
      <c r="X19" s="232"/>
      <c r="Y19" s="229"/>
      <c r="Z19" s="229"/>
      <c r="AB19" s="238"/>
      <c r="AC19" s="244"/>
      <c r="AD19" s="239"/>
      <c r="AE19" s="236"/>
      <c r="AF19" s="236"/>
      <c r="AJ19" s="231"/>
      <c r="AK19" s="231"/>
      <c r="AL19" s="231"/>
      <c r="AM19" s="231"/>
      <c r="AN19" s="231"/>
      <c r="AO19" s="231"/>
      <c r="AP19" s="231"/>
      <c r="AQ19" s="231"/>
      <c r="AR19" s="231"/>
      <c r="AT19" s="239"/>
      <c r="AU19" s="239"/>
      <c r="AV19" s="239"/>
      <c r="AW19" s="239"/>
      <c r="AX19" s="239"/>
      <c r="AY19" s="239"/>
      <c r="AZ19" s="239"/>
    </row>
    <row r="20" spans="7:52" x14ac:dyDescent="0.2">
      <c r="G20"/>
      <c r="I20"/>
      <c r="J20"/>
      <c r="K20"/>
      <c r="L20"/>
      <c r="M20"/>
      <c r="N20"/>
      <c r="O20"/>
      <c r="S20" s="238"/>
      <c r="T20" s="238"/>
      <c r="U20" s="238"/>
      <c r="V20" s="238"/>
      <c r="W20" s="232"/>
      <c r="X20" s="232"/>
      <c r="Y20" s="229"/>
      <c r="Z20" s="229"/>
      <c r="AB20" s="238"/>
      <c r="AC20" s="244"/>
      <c r="AD20" s="239"/>
      <c r="AE20" s="236"/>
      <c r="AF20" s="236"/>
      <c r="AJ20" s="231"/>
      <c r="AK20" s="231"/>
      <c r="AL20" s="231"/>
      <c r="AM20" s="231"/>
      <c r="AN20" s="231"/>
      <c r="AO20" s="231"/>
      <c r="AP20" s="231"/>
      <c r="AQ20" s="231"/>
      <c r="AR20" s="231"/>
      <c r="AT20" s="239"/>
      <c r="AU20" s="239"/>
      <c r="AV20" s="239"/>
      <c r="AW20" s="239"/>
      <c r="AX20" s="239"/>
      <c r="AY20" s="239"/>
      <c r="AZ20" s="239"/>
    </row>
    <row r="21" spans="7:52" x14ac:dyDescent="0.2">
      <c r="G21"/>
      <c r="I21"/>
      <c r="J21"/>
      <c r="K21"/>
      <c r="L21"/>
      <c r="M21"/>
      <c r="N21"/>
      <c r="O21"/>
      <c r="S21" s="238"/>
      <c r="T21" s="238"/>
      <c r="U21" s="238"/>
      <c r="V21" s="238"/>
      <c r="W21" s="232"/>
      <c r="X21" s="232"/>
      <c r="Y21" s="229"/>
      <c r="Z21" s="229"/>
      <c r="AB21" s="238"/>
      <c r="AC21" s="244"/>
      <c r="AD21" s="239"/>
      <c r="AE21" s="236"/>
      <c r="AF21" s="236"/>
      <c r="AJ21" s="231"/>
      <c r="AK21" s="231"/>
      <c r="AL21" s="231"/>
      <c r="AM21" s="231"/>
      <c r="AN21" s="231"/>
      <c r="AO21" s="231"/>
      <c r="AP21" s="231"/>
      <c r="AQ21" s="231"/>
      <c r="AR21" s="231"/>
      <c r="AT21" s="239"/>
      <c r="AU21" s="239"/>
      <c r="AV21" s="239"/>
      <c r="AW21" s="239"/>
      <c r="AX21" s="239"/>
      <c r="AY21" s="239"/>
      <c r="AZ21" s="239"/>
    </row>
    <row r="22" spans="7:52" x14ac:dyDescent="0.2">
      <c r="G22"/>
      <c r="I22"/>
      <c r="J22"/>
      <c r="K22"/>
      <c r="L22"/>
      <c r="M22"/>
      <c r="N22"/>
      <c r="O22"/>
      <c r="S22" s="238"/>
      <c r="T22" s="238"/>
      <c r="U22" s="238"/>
      <c r="V22" s="238"/>
      <c r="W22" s="232"/>
      <c r="X22" s="232"/>
      <c r="Y22" s="229"/>
      <c r="Z22" s="229"/>
      <c r="AB22" s="238"/>
      <c r="AC22" s="244"/>
      <c r="AD22" s="239"/>
      <c r="AE22" s="236"/>
      <c r="AF22" s="236"/>
      <c r="AJ22" s="231"/>
      <c r="AK22" s="231"/>
      <c r="AL22" s="231"/>
      <c r="AM22" s="231"/>
      <c r="AN22" s="231"/>
      <c r="AO22" s="231"/>
      <c r="AP22" s="231"/>
      <c r="AQ22" s="231"/>
      <c r="AR22" s="231"/>
      <c r="AT22" s="239"/>
      <c r="AU22" s="239"/>
      <c r="AV22" s="239"/>
      <c r="AW22" s="239"/>
      <c r="AX22" s="239"/>
      <c r="AY22" s="239"/>
      <c r="AZ22" s="239"/>
    </row>
    <row r="23" spans="7:52" x14ac:dyDescent="0.2">
      <c r="G23"/>
      <c r="I23"/>
      <c r="J23"/>
      <c r="K23"/>
      <c r="L23"/>
      <c r="M23"/>
      <c r="N23"/>
      <c r="O23"/>
      <c r="S23" s="238"/>
      <c r="T23" s="238"/>
      <c r="U23" s="238"/>
      <c r="V23" s="238"/>
      <c r="W23" s="232"/>
      <c r="X23" s="232"/>
      <c r="Y23" s="229"/>
      <c r="Z23" s="229"/>
      <c r="AB23" s="238"/>
      <c r="AC23" s="244"/>
      <c r="AD23" s="239"/>
      <c r="AE23" s="236"/>
      <c r="AF23" s="236"/>
      <c r="AJ23" s="231"/>
      <c r="AK23" s="231"/>
      <c r="AL23" s="231"/>
      <c r="AM23" s="231"/>
      <c r="AN23" s="231"/>
      <c r="AO23" s="231"/>
      <c r="AP23" s="231"/>
      <c r="AQ23" s="231"/>
      <c r="AR23" s="231"/>
      <c r="AT23" s="239"/>
      <c r="AU23" s="239"/>
      <c r="AV23" s="239"/>
      <c r="AW23" s="239"/>
      <c r="AX23" s="239"/>
      <c r="AY23" s="239"/>
      <c r="AZ23" s="239"/>
    </row>
    <row r="24" spans="7:52" x14ac:dyDescent="0.2">
      <c r="G24"/>
      <c r="I24"/>
      <c r="J24"/>
      <c r="K24"/>
      <c r="L24"/>
      <c r="M24"/>
      <c r="N24"/>
      <c r="O24"/>
      <c r="S24" s="238"/>
      <c r="T24" s="238"/>
      <c r="U24" s="238"/>
      <c r="V24" s="238"/>
      <c r="W24" s="232"/>
      <c r="X24" s="232"/>
      <c r="Y24" s="229"/>
      <c r="Z24" s="229"/>
      <c r="AB24" s="238"/>
      <c r="AC24" s="244"/>
      <c r="AD24" s="239"/>
      <c r="AE24" s="236"/>
      <c r="AF24" s="236"/>
      <c r="AJ24" s="231"/>
      <c r="AK24" s="231"/>
      <c r="AL24" s="231"/>
      <c r="AM24" s="231"/>
      <c r="AN24" s="231"/>
      <c r="AO24" s="231"/>
      <c r="AP24" s="231"/>
      <c r="AQ24" s="231"/>
      <c r="AR24" s="231"/>
      <c r="AT24" s="239"/>
      <c r="AU24" s="239"/>
      <c r="AV24" s="239"/>
      <c r="AW24" s="239"/>
      <c r="AX24" s="239"/>
      <c r="AY24" s="239"/>
      <c r="AZ24" s="239"/>
    </row>
    <row r="25" spans="7:52" x14ac:dyDescent="0.2">
      <c r="G25" s="230"/>
      <c r="I25" s="232"/>
      <c r="J25" s="232"/>
      <c r="K25" s="232"/>
      <c r="L25" s="232"/>
      <c r="M25" s="232"/>
      <c r="N25" s="232"/>
      <c r="O25" s="232"/>
      <c r="P25" s="232"/>
      <c r="S25" s="238"/>
      <c r="T25" s="238"/>
      <c r="U25" s="238"/>
      <c r="V25" s="238"/>
      <c r="W25" s="232"/>
      <c r="X25" s="232"/>
      <c r="Y25" s="229"/>
      <c r="Z25" s="229"/>
      <c r="AB25" s="238"/>
      <c r="AC25" s="244"/>
      <c r="AD25" s="239"/>
      <c r="AE25" s="236"/>
      <c r="AF25" s="236"/>
      <c r="AJ25" s="231"/>
      <c r="AK25" s="231"/>
      <c r="AL25" s="231"/>
      <c r="AM25" s="231"/>
      <c r="AN25" s="231"/>
      <c r="AO25" s="231"/>
      <c r="AP25" s="231"/>
      <c r="AQ25" s="231"/>
      <c r="AR25" s="231"/>
      <c r="AT25" s="239"/>
      <c r="AU25" s="239"/>
      <c r="AV25" s="239"/>
      <c r="AW25" s="239"/>
      <c r="AX25" s="239"/>
      <c r="AY25" s="239"/>
      <c r="AZ25" s="239"/>
    </row>
    <row r="26" spans="7:52" x14ac:dyDescent="0.2">
      <c r="G26" s="230"/>
      <c r="I26" s="232"/>
      <c r="J26" s="232"/>
      <c r="K26" s="232"/>
      <c r="L26" s="232"/>
      <c r="M26" s="232"/>
      <c r="N26" s="232"/>
      <c r="O26" s="232"/>
      <c r="P26" s="232"/>
      <c r="S26" s="238"/>
      <c r="T26" s="238"/>
      <c r="U26" s="238"/>
      <c r="V26" s="238"/>
      <c r="W26" s="232"/>
      <c r="X26" s="232"/>
      <c r="Y26" s="229"/>
      <c r="Z26" s="229"/>
      <c r="AB26" s="238"/>
      <c r="AC26" s="244"/>
      <c r="AD26" s="239"/>
      <c r="AE26" s="236"/>
      <c r="AF26" s="236"/>
      <c r="AJ26" s="231"/>
      <c r="AK26" s="231"/>
      <c r="AL26" s="231"/>
      <c r="AM26" s="231"/>
      <c r="AN26" s="231"/>
      <c r="AO26" s="231"/>
      <c r="AP26" s="231"/>
      <c r="AQ26" s="231"/>
      <c r="AR26" s="231"/>
      <c r="AT26" s="239"/>
      <c r="AU26" s="239"/>
      <c r="AV26" s="239"/>
      <c r="AW26" s="239"/>
      <c r="AX26" s="239"/>
      <c r="AY26" s="239"/>
      <c r="AZ26" s="239"/>
    </row>
    <row r="27" spans="7:52" x14ac:dyDescent="0.2">
      <c r="G27" s="230"/>
      <c r="I27" s="232"/>
      <c r="J27" s="232"/>
      <c r="K27" s="232"/>
      <c r="L27" s="232"/>
      <c r="M27" s="232"/>
      <c r="N27" s="232"/>
      <c r="O27" s="232"/>
      <c r="P27" s="232"/>
      <c r="S27" s="238"/>
      <c r="T27" s="238"/>
      <c r="U27" s="238"/>
      <c r="V27" s="238"/>
      <c r="W27" s="232"/>
      <c r="X27" s="232"/>
      <c r="Y27" s="229"/>
      <c r="Z27" s="229"/>
      <c r="AB27" s="238"/>
      <c r="AC27" s="244"/>
      <c r="AD27" s="239"/>
      <c r="AE27" s="236"/>
      <c r="AF27" s="236"/>
      <c r="AJ27" s="231"/>
      <c r="AK27" s="231"/>
      <c r="AL27" s="231"/>
      <c r="AM27" s="231"/>
      <c r="AN27" s="231"/>
      <c r="AO27" s="231"/>
      <c r="AP27" s="231"/>
      <c r="AQ27" s="231"/>
      <c r="AR27" s="231"/>
      <c r="AT27" s="239"/>
      <c r="AU27" s="239"/>
      <c r="AV27" s="239"/>
      <c r="AW27" s="239"/>
      <c r="AX27" s="239"/>
      <c r="AY27" s="239"/>
      <c r="AZ27" s="239"/>
    </row>
    <row r="28" spans="7:52" x14ac:dyDescent="0.2">
      <c r="G28" s="230"/>
      <c r="I28" s="232"/>
      <c r="J28" s="232"/>
      <c r="K28" s="232"/>
      <c r="L28" s="232"/>
      <c r="M28" s="232"/>
      <c r="N28" s="232"/>
      <c r="O28" s="232"/>
      <c r="P28" s="232"/>
      <c r="S28" s="238"/>
      <c r="T28" s="238"/>
      <c r="U28" s="238"/>
      <c r="V28" s="238"/>
      <c r="W28" s="232"/>
      <c r="X28" s="232"/>
      <c r="Y28" s="229"/>
      <c r="Z28" s="229"/>
      <c r="AB28" s="238"/>
      <c r="AC28" s="244"/>
      <c r="AD28" s="239"/>
      <c r="AE28" s="236"/>
      <c r="AF28" s="236"/>
      <c r="AJ28" s="231"/>
      <c r="AK28" s="231"/>
      <c r="AL28" s="231"/>
      <c r="AM28" s="231"/>
      <c r="AN28" s="231"/>
      <c r="AO28" s="231"/>
      <c r="AP28" s="231"/>
      <c r="AQ28" s="231"/>
      <c r="AR28" s="231"/>
      <c r="AT28" s="239"/>
      <c r="AU28" s="239"/>
      <c r="AV28" s="239"/>
      <c r="AW28" s="239"/>
      <c r="AX28" s="239"/>
      <c r="AY28" s="239"/>
      <c r="AZ28" s="239"/>
    </row>
    <row r="29" spans="7:52" x14ac:dyDescent="0.2">
      <c r="G29" s="230"/>
      <c r="I29" s="232"/>
      <c r="J29" s="232"/>
      <c r="K29" s="232"/>
      <c r="L29" s="232"/>
      <c r="M29" s="232"/>
      <c r="N29" s="232"/>
      <c r="O29" s="232"/>
      <c r="P29" s="232"/>
      <c r="S29" s="238"/>
      <c r="T29" s="238"/>
      <c r="U29" s="238"/>
      <c r="V29" s="238"/>
      <c r="W29" s="232"/>
      <c r="X29" s="232"/>
      <c r="Y29" s="229"/>
      <c r="Z29" s="229"/>
      <c r="AB29" s="238"/>
      <c r="AC29" s="244"/>
      <c r="AD29" s="239"/>
      <c r="AE29" s="236"/>
      <c r="AF29" s="236"/>
      <c r="AJ29" s="231"/>
      <c r="AK29" s="231"/>
      <c r="AL29" s="231"/>
      <c r="AM29" s="231"/>
      <c r="AN29" s="231"/>
      <c r="AO29" s="231"/>
      <c r="AP29" s="231"/>
      <c r="AQ29" s="231"/>
      <c r="AR29" s="231"/>
      <c r="AT29" s="239"/>
      <c r="AU29" s="239"/>
      <c r="AV29" s="239"/>
      <c r="AW29" s="239"/>
      <c r="AX29" s="239"/>
      <c r="AY29" s="239"/>
      <c r="AZ29" s="239"/>
    </row>
    <row r="30" spans="7:52" x14ac:dyDescent="0.2">
      <c r="G30" s="230"/>
      <c r="I30" s="232"/>
      <c r="J30" s="232"/>
      <c r="K30" s="232"/>
      <c r="L30" s="232"/>
      <c r="M30" s="232"/>
      <c r="N30" s="232"/>
      <c r="O30" s="232"/>
      <c r="P30" s="232"/>
      <c r="S30" s="238"/>
      <c r="T30" s="238"/>
      <c r="U30" s="238"/>
      <c r="V30" s="238"/>
      <c r="W30" s="232"/>
      <c r="X30" s="232"/>
      <c r="Y30" s="229"/>
      <c r="Z30" s="229"/>
      <c r="AB30" s="238"/>
      <c r="AC30" s="244"/>
      <c r="AD30" s="239"/>
      <c r="AE30" s="236"/>
      <c r="AF30" s="236"/>
      <c r="AJ30" s="231"/>
      <c r="AK30" s="231"/>
      <c r="AL30" s="231"/>
      <c r="AM30" s="231"/>
      <c r="AN30" s="231"/>
      <c r="AO30" s="231"/>
      <c r="AP30" s="231"/>
      <c r="AQ30" s="231"/>
      <c r="AR30" s="231"/>
      <c r="AT30" s="239"/>
      <c r="AU30" s="239"/>
      <c r="AV30" s="239"/>
      <c r="AW30" s="239"/>
      <c r="AX30" s="239"/>
      <c r="AY30" s="239"/>
      <c r="AZ30" s="239"/>
    </row>
    <row r="31" spans="7:52" x14ac:dyDescent="0.2">
      <c r="G31" s="230"/>
      <c r="I31" s="232"/>
      <c r="J31" s="232"/>
      <c r="K31" s="232"/>
      <c r="L31" s="232"/>
      <c r="M31" s="232"/>
      <c r="N31" s="232"/>
      <c r="O31" s="232"/>
      <c r="P31" s="232"/>
      <c r="S31" s="238"/>
      <c r="T31" s="238"/>
      <c r="U31" s="238"/>
      <c r="V31" s="238"/>
      <c r="W31" s="232"/>
      <c r="X31" s="232"/>
      <c r="Y31" s="229"/>
      <c r="Z31" s="229"/>
      <c r="AB31" s="238"/>
      <c r="AC31" s="244"/>
      <c r="AD31" s="239"/>
      <c r="AE31" s="236"/>
      <c r="AF31" s="236"/>
      <c r="AJ31" s="231"/>
      <c r="AK31" s="231"/>
      <c r="AL31" s="231"/>
      <c r="AM31" s="231"/>
      <c r="AN31" s="231"/>
      <c r="AO31" s="231"/>
      <c r="AP31" s="231"/>
      <c r="AQ31" s="231"/>
      <c r="AR31" s="231"/>
      <c r="AT31" s="239"/>
      <c r="AU31" s="239"/>
      <c r="AV31" s="239"/>
      <c r="AW31" s="239"/>
      <c r="AX31" s="239"/>
      <c r="AY31" s="239"/>
      <c r="AZ31" s="239"/>
    </row>
    <row r="32" spans="7:52" x14ac:dyDescent="0.2">
      <c r="G32" s="230"/>
      <c r="I32" s="232"/>
      <c r="J32" s="232"/>
      <c r="K32" s="232"/>
      <c r="L32" s="232"/>
      <c r="M32" s="232"/>
      <c r="N32" s="232"/>
      <c r="O32" s="232"/>
      <c r="P32" s="232"/>
      <c r="S32" s="238"/>
      <c r="T32" s="238"/>
      <c r="U32" s="238"/>
      <c r="V32" s="238"/>
      <c r="W32" s="232"/>
      <c r="X32" s="232"/>
      <c r="Y32" s="229"/>
      <c r="Z32" s="229"/>
      <c r="AB32" s="238"/>
      <c r="AC32" s="244"/>
      <c r="AD32" s="239"/>
      <c r="AE32" s="236"/>
      <c r="AF32" s="236"/>
      <c r="AJ32" s="231"/>
      <c r="AK32" s="231"/>
      <c r="AL32" s="231"/>
      <c r="AM32" s="231"/>
      <c r="AN32" s="231"/>
      <c r="AO32" s="231"/>
      <c r="AP32" s="231"/>
      <c r="AQ32" s="231"/>
      <c r="AR32" s="231"/>
      <c r="AT32" s="239"/>
      <c r="AU32" s="239"/>
      <c r="AV32" s="239"/>
      <c r="AW32" s="239"/>
      <c r="AX32" s="239"/>
      <c r="AY32" s="239"/>
      <c r="AZ32" s="239"/>
    </row>
    <row r="33" spans="7:52" x14ac:dyDescent="0.2">
      <c r="G33" s="230"/>
      <c r="I33" s="232"/>
      <c r="J33" s="232"/>
      <c r="K33" s="232"/>
      <c r="L33" s="232"/>
      <c r="M33" s="232"/>
      <c r="N33" s="232"/>
      <c r="O33" s="232"/>
      <c r="P33" s="232"/>
      <c r="S33" s="238"/>
      <c r="T33" s="238"/>
      <c r="U33" s="238"/>
      <c r="V33" s="238"/>
      <c r="W33" s="232"/>
      <c r="X33" s="232"/>
      <c r="Y33" s="229"/>
      <c r="Z33" s="229"/>
      <c r="AB33" s="238"/>
      <c r="AC33" s="244"/>
      <c r="AD33" s="239"/>
      <c r="AE33" s="236"/>
      <c r="AF33" s="236"/>
      <c r="AJ33" s="231"/>
      <c r="AK33" s="231"/>
      <c r="AL33" s="231"/>
      <c r="AM33" s="231"/>
      <c r="AN33" s="231"/>
      <c r="AO33" s="231"/>
      <c r="AP33" s="231"/>
      <c r="AQ33" s="231"/>
      <c r="AR33" s="231"/>
      <c r="AT33" s="239"/>
      <c r="AU33" s="239"/>
      <c r="AV33" s="239"/>
      <c r="AW33" s="239"/>
      <c r="AX33" s="239"/>
      <c r="AY33" s="239"/>
      <c r="AZ33" s="239"/>
    </row>
    <row r="34" spans="7:52" x14ac:dyDescent="0.2">
      <c r="G34" s="230"/>
      <c r="I34" s="232"/>
      <c r="J34" s="232"/>
      <c r="K34" s="232"/>
      <c r="L34" s="232"/>
      <c r="M34" s="232"/>
      <c r="N34" s="232"/>
      <c r="O34" s="232"/>
      <c r="P34" s="232"/>
      <c r="S34" s="238"/>
      <c r="T34" s="238"/>
      <c r="U34" s="238"/>
      <c r="V34" s="238"/>
      <c r="W34" s="232"/>
      <c r="X34" s="232"/>
      <c r="Y34" s="229"/>
      <c r="Z34" s="229"/>
      <c r="AB34" s="238"/>
      <c r="AC34" s="244"/>
      <c r="AD34" s="239"/>
      <c r="AE34" s="236"/>
      <c r="AF34" s="236"/>
      <c r="AJ34" s="231"/>
      <c r="AK34" s="231"/>
      <c r="AL34" s="231"/>
      <c r="AM34" s="231"/>
      <c r="AN34" s="231"/>
      <c r="AO34" s="231"/>
      <c r="AP34" s="231"/>
      <c r="AQ34" s="231"/>
      <c r="AR34" s="231"/>
      <c r="AT34" s="239"/>
      <c r="AU34" s="239"/>
      <c r="AV34" s="239"/>
      <c r="AW34" s="239"/>
      <c r="AX34" s="239"/>
      <c r="AY34" s="239"/>
      <c r="AZ34" s="239"/>
    </row>
    <row r="35" spans="7:52" x14ac:dyDescent="0.2">
      <c r="G35" s="230"/>
      <c r="I35" s="232"/>
      <c r="J35" s="232"/>
      <c r="K35" s="232"/>
      <c r="L35" s="232"/>
      <c r="M35" s="232"/>
      <c r="N35" s="232"/>
      <c r="O35" s="232"/>
      <c r="P35" s="232"/>
      <c r="S35" s="238"/>
      <c r="T35" s="238"/>
      <c r="U35" s="238"/>
      <c r="V35" s="238"/>
      <c r="W35" s="232"/>
      <c r="X35" s="232"/>
      <c r="Y35" s="229"/>
      <c r="Z35" s="229"/>
      <c r="AB35" s="238"/>
      <c r="AC35" s="244"/>
      <c r="AD35" s="239"/>
      <c r="AE35" s="236"/>
      <c r="AF35" s="236"/>
      <c r="AJ35" s="231"/>
      <c r="AK35" s="231"/>
      <c r="AL35" s="231"/>
      <c r="AM35" s="231"/>
      <c r="AN35" s="231"/>
      <c r="AO35" s="231"/>
      <c r="AP35" s="231"/>
      <c r="AQ35" s="231"/>
      <c r="AR35" s="231"/>
      <c r="AT35" s="239"/>
      <c r="AU35" s="239"/>
      <c r="AV35" s="239"/>
      <c r="AW35" s="239"/>
      <c r="AX35" s="239"/>
      <c r="AY35" s="239"/>
      <c r="AZ35" s="239"/>
    </row>
    <row r="36" spans="7:52" x14ac:dyDescent="0.2">
      <c r="G36" s="230"/>
      <c r="I36" s="232"/>
      <c r="J36" s="232"/>
      <c r="K36" s="232"/>
      <c r="L36" s="232"/>
      <c r="M36" s="232"/>
      <c r="N36" s="232"/>
      <c r="O36" s="232"/>
      <c r="P36" s="232"/>
      <c r="S36" s="238"/>
      <c r="T36" s="238"/>
      <c r="U36" s="238"/>
      <c r="V36" s="238"/>
      <c r="W36" s="232"/>
      <c r="X36" s="232"/>
      <c r="Y36" s="229"/>
      <c r="Z36" s="229"/>
      <c r="AB36" s="238"/>
      <c r="AC36" s="244"/>
      <c r="AD36" s="239"/>
      <c r="AE36" s="236"/>
      <c r="AF36" s="236"/>
      <c r="AJ36" s="231"/>
      <c r="AK36" s="231"/>
      <c r="AL36" s="231"/>
      <c r="AM36" s="231"/>
      <c r="AN36" s="231"/>
      <c r="AO36" s="231"/>
      <c r="AP36" s="231"/>
      <c r="AQ36" s="231"/>
      <c r="AR36" s="231"/>
      <c r="AT36" s="239"/>
      <c r="AU36" s="239"/>
      <c r="AV36" s="239"/>
      <c r="AW36" s="239"/>
      <c r="AX36" s="239"/>
      <c r="AY36" s="239"/>
      <c r="AZ36" s="239"/>
    </row>
    <row r="37" spans="7:52" x14ac:dyDescent="0.2">
      <c r="G37" s="230"/>
      <c r="I37" s="232"/>
      <c r="J37" s="232"/>
      <c r="K37" s="232"/>
      <c r="L37" s="232"/>
      <c r="M37" s="232"/>
      <c r="N37" s="232"/>
      <c r="O37" s="232"/>
      <c r="P37" s="232"/>
      <c r="S37" s="238"/>
      <c r="T37" s="238"/>
      <c r="U37" s="238"/>
      <c r="V37" s="238"/>
      <c r="W37" s="232"/>
      <c r="X37" s="232"/>
      <c r="Y37" s="229"/>
      <c r="Z37" s="229"/>
      <c r="AB37" s="238"/>
      <c r="AC37" s="244"/>
      <c r="AD37" s="239"/>
      <c r="AE37" s="236"/>
      <c r="AF37" s="236"/>
      <c r="AJ37" s="231"/>
      <c r="AK37" s="231"/>
      <c r="AL37" s="231"/>
      <c r="AM37" s="231"/>
      <c r="AN37" s="231"/>
      <c r="AO37" s="231"/>
      <c r="AP37" s="231"/>
      <c r="AQ37" s="231"/>
      <c r="AR37" s="231"/>
      <c r="AT37" s="239"/>
      <c r="AU37" s="239"/>
      <c r="AV37" s="239"/>
      <c r="AW37" s="239"/>
      <c r="AX37" s="239"/>
      <c r="AY37" s="239"/>
      <c r="AZ37" s="239"/>
    </row>
    <row r="38" spans="7:52" x14ac:dyDescent="0.2">
      <c r="G38" s="230"/>
      <c r="I38" s="232"/>
      <c r="J38" s="232"/>
      <c r="K38" s="232"/>
      <c r="L38" s="232"/>
      <c r="M38" s="232"/>
      <c r="N38" s="232"/>
      <c r="O38" s="232"/>
      <c r="P38" s="232"/>
      <c r="S38" s="238"/>
      <c r="T38" s="238"/>
      <c r="U38" s="238"/>
      <c r="V38" s="238"/>
      <c r="W38" s="232"/>
      <c r="X38" s="232"/>
      <c r="Y38" s="229"/>
      <c r="Z38" s="229"/>
      <c r="AB38" s="238"/>
      <c r="AC38" s="244"/>
      <c r="AD38" s="239"/>
      <c r="AE38" s="236"/>
      <c r="AF38" s="236"/>
      <c r="AJ38" s="231"/>
      <c r="AK38" s="231"/>
      <c r="AL38" s="231"/>
      <c r="AM38" s="231"/>
      <c r="AN38" s="231"/>
      <c r="AO38" s="231"/>
      <c r="AP38" s="231"/>
      <c r="AQ38" s="231"/>
      <c r="AR38" s="231"/>
      <c r="AT38" s="239"/>
      <c r="AU38" s="239"/>
      <c r="AV38" s="239"/>
      <c r="AW38" s="239"/>
      <c r="AX38" s="239"/>
      <c r="AY38" s="239"/>
      <c r="AZ38" s="239"/>
    </row>
    <row r="39" spans="7:52" x14ac:dyDescent="0.2">
      <c r="G39" s="230"/>
      <c r="I39" s="232"/>
      <c r="J39" s="232"/>
      <c r="K39" s="232"/>
      <c r="L39" s="232"/>
      <c r="M39" s="232"/>
      <c r="N39" s="232"/>
      <c r="O39" s="232"/>
      <c r="P39" s="232"/>
      <c r="S39" s="238"/>
      <c r="T39" s="238"/>
      <c r="U39" s="238"/>
      <c r="V39" s="238"/>
      <c r="W39" s="232"/>
      <c r="X39" s="232"/>
      <c r="Y39" s="229"/>
      <c r="Z39" s="229"/>
      <c r="AB39" s="238"/>
      <c r="AC39" s="244"/>
      <c r="AD39" s="239"/>
      <c r="AE39" s="236"/>
      <c r="AF39" s="236"/>
      <c r="AJ39" s="231"/>
      <c r="AK39" s="231"/>
      <c r="AL39" s="231"/>
      <c r="AM39" s="231"/>
      <c r="AN39" s="231"/>
      <c r="AO39" s="231"/>
      <c r="AP39" s="231"/>
      <c r="AQ39" s="231"/>
      <c r="AR39" s="231"/>
      <c r="AT39" s="239"/>
      <c r="AU39" s="239"/>
      <c r="AV39" s="239"/>
      <c r="AW39" s="239"/>
      <c r="AX39" s="239"/>
      <c r="AY39" s="239"/>
      <c r="AZ39" s="239"/>
    </row>
    <row r="40" spans="7:52" x14ac:dyDescent="0.2">
      <c r="G40" s="230"/>
      <c r="I40" s="232"/>
      <c r="J40" s="232"/>
      <c r="K40" s="232"/>
      <c r="L40" s="232"/>
      <c r="M40" s="232"/>
      <c r="N40" s="232"/>
      <c r="O40" s="232"/>
      <c r="P40" s="232"/>
      <c r="S40" s="238"/>
      <c r="T40" s="238"/>
      <c r="U40" s="238"/>
      <c r="V40" s="238"/>
      <c r="W40" s="232"/>
      <c r="X40" s="232"/>
      <c r="Y40" s="229"/>
      <c r="Z40" s="229"/>
      <c r="AB40" s="238"/>
      <c r="AC40" s="244"/>
      <c r="AD40" s="239"/>
      <c r="AE40" s="236"/>
      <c r="AF40" s="236"/>
      <c r="AJ40" s="231"/>
      <c r="AK40" s="231"/>
      <c r="AL40" s="231"/>
      <c r="AM40" s="231"/>
      <c r="AN40" s="231"/>
      <c r="AO40" s="231"/>
      <c r="AP40" s="231"/>
      <c r="AQ40" s="231"/>
      <c r="AR40" s="231"/>
      <c r="AT40" s="239"/>
      <c r="AU40" s="239"/>
      <c r="AV40" s="239"/>
      <c r="AW40" s="239"/>
      <c r="AX40" s="239"/>
      <c r="AY40" s="239"/>
      <c r="AZ40" s="239"/>
    </row>
    <row r="41" spans="7:52" x14ac:dyDescent="0.2">
      <c r="G41" s="230"/>
      <c r="I41" s="232"/>
      <c r="J41" s="232"/>
      <c r="K41" s="232"/>
      <c r="L41" s="232"/>
      <c r="M41" s="232"/>
      <c r="N41" s="232"/>
      <c r="O41" s="232"/>
      <c r="P41" s="232"/>
      <c r="S41" s="238"/>
      <c r="T41" s="238"/>
      <c r="U41" s="238"/>
      <c r="V41" s="238"/>
      <c r="W41" s="232"/>
      <c r="X41" s="232"/>
      <c r="Y41" s="229"/>
      <c r="Z41" s="229"/>
      <c r="AB41" s="238"/>
      <c r="AC41" s="244"/>
      <c r="AD41" s="239"/>
      <c r="AE41" s="236"/>
      <c r="AF41" s="236"/>
      <c r="AJ41" s="231"/>
      <c r="AK41" s="231"/>
      <c r="AL41" s="231"/>
      <c r="AM41" s="231"/>
      <c r="AN41" s="231"/>
      <c r="AO41" s="231"/>
      <c r="AP41" s="231"/>
      <c r="AQ41" s="231"/>
      <c r="AR41" s="231"/>
      <c r="AT41" s="239"/>
      <c r="AU41" s="239"/>
      <c r="AV41" s="239"/>
      <c r="AW41" s="239"/>
      <c r="AX41" s="239"/>
      <c r="AY41" s="239"/>
      <c r="AZ41" s="239"/>
    </row>
    <row r="42" spans="7:52" x14ac:dyDescent="0.2">
      <c r="G42" s="230"/>
      <c r="I42" s="232"/>
      <c r="J42" s="232"/>
      <c r="K42" s="232"/>
      <c r="L42" s="232"/>
      <c r="M42" s="232"/>
      <c r="N42" s="232"/>
      <c r="O42" s="232"/>
      <c r="P42" s="232"/>
      <c r="S42" s="238"/>
      <c r="T42" s="238"/>
      <c r="U42" s="238"/>
      <c r="V42" s="238"/>
      <c r="W42" s="232"/>
      <c r="X42" s="232"/>
      <c r="Y42" s="229"/>
      <c r="Z42" s="229"/>
      <c r="AB42" s="238"/>
      <c r="AC42" s="244"/>
      <c r="AD42" s="239"/>
      <c r="AE42" s="236"/>
      <c r="AF42" s="236"/>
      <c r="AJ42" s="231"/>
      <c r="AK42" s="231"/>
      <c r="AL42" s="231"/>
      <c r="AM42" s="231"/>
      <c r="AN42" s="231"/>
      <c r="AO42" s="231"/>
      <c r="AP42" s="231"/>
      <c r="AQ42" s="231"/>
      <c r="AR42" s="231"/>
      <c r="AT42" s="239"/>
      <c r="AU42" s="239"/>
      <c r="AV42" s="239"/>
      <c r="AW42" s="239"/>
      <c r="AX42" s="239"/>
      <c r="AY42" s="239"/>
      <c r="AZ42" s="239"/>
    </row>
    <row r="43" spans="7:52" x14ac:dyDescent="0.2">
      <c r="G43" s="230"/>
      <c r="I43" s="232"/>
      <c r="J43" s="232"/>
      <c r="K43" s="232"/>
      <c r="L43" s="232"/>
      <c r="M43" s="232"/>
      <c r="N43" s="232"/>
      <c r="O43" s="232"/>
      <c r="P43" s="232"/>
      <c r="S43" s="238"/>
      <c r="T43" s="238"/>
      <c r="U43" s="238"/>
      <c r="V43" s="238"/>
      <c r="W43" s="232"/>
      <c r="X43" s="232"/>
      <c r="Y43" s="229"/>
      <c r="Z43" s="229"/>
      <c r="AB43" s="238"/>
      <c r="AC43" s="244"/>
      <c r="AD43" s="239"/>
      <c r="AE43" s="236"/>
      <c r="AF43" s="236"/>
      <c r="AJ43" s="231"/>
      <c r="AK43" s="231"/>
      <c r="AL43" s="231"/>
      <c r="AM43" s="231"/>
      <c r="AN43" s="231"/>
      <c r="AO43" s="231"/>
      <c r="AP43" s="231"/>
      <c r="AQ43" s="231"/>
      <c r="AR43" s="231"/>
      <c r="AT43" s="239"/>
      <c r="AU43" s="239"/>
      <c r="AV43" s="239"/>
      <c r="AW43" s="239"/>
      <c r="AX43" s="239"/>
      <c r="AY43" s="239"/>
      <c r="AZ43" s="239"/>
    </row>
    <row r="44" spans="7:52" x14ac:dyDescent="0.2">
      <c r="G44" s="230"/>
      <c r="I44" s="232"/>
      <c r="J44" s="232"/>
      <c r="K44" s="232"/>
      <c r="L44" s="232"/>
      <c r="M44" s="232"/>
      <c r="N44" s="232"/>
      <c r="O44" s="232"/>
      <c r="P44" s="232"/>
      <c r="S44" s="238"/>
      <c r="T44" s="238"/>
      <c r="U44" s="238"/>
      <c r="V44" s="238"/>
      <c r="W44" s="232"/>
      <c r="X44" s="232"/>
      <c r="Y44" s="229"/>
      <c r="Z44" s="229"/>
      <c r="AB44" s="238"/>
      <c r="AC44" s="244"/>
      <c r="AD44" s="239"/>
      <c r="AE44" s="236"/>
      <c r="AF44" s="236"/>
      <c r="AJ44" s="231"/>
      <c r="AK44" s="231"/>
      <c r="AL44" s="231"/>
      <c r="AM44" s="231"/>
      <c r="AN44" s="231"/>
      <c r="AO44" s="231"/>
      <c r="AP44" s="231"/>
      <c r="AQ44" s="231"/>
      <c r="AR44" s="231"/>
      <c r="AT44" s="239"/>
      <c r="AU44" s="239"/>
      <c r="AV44" s="239"/>
      <c r="AW44" s="239"/>
      <c r="AX44" s="239"/>
      <c r="AY44" s="239"/>
      <c r="AZ44" s="239"/>
    </row>
    <row r="45" spans="7:52" x14ac:dyDescent="0.2">
      <c r="G45" s="230"/>
      <c r="I45" s="232"/>
      <c r="J45" s="232"/>
      <c r="K45" s="232"/>
      <c r="L45" s="232"/>
      <c r="M45" s="232"/>
      <c r="N45" s="232"/>
      <c r="O45" s="232"/>
      <c r="P45" s="232"/>
      <c r="S45" s="238"/>
      <c r="T45" s="238"/>
      <c r="U45" s="238"/>
      <c r="V45" s="238"/>
      <c r="W45" s="232"/>
      <c r="X45" s="232"/>
      <c r="Y45" s="229"/>
      <c r="Z45" s="229"/>
      <c r="AB45" s="238"/>
      <c r="AC45" s="244"/>
      <c r="AD45" s="239"/>
      <c r="AE45" s="236"/>
      <c r="AF45" s="236"/>
      <c r="AJ45" s="231"/>
      <c r="AK45" s="231"/>
      <c r="AL45" s="231"/>
      <c r="AM45" s="231"/>
      <c r="AN45" s="231"/>
      <c r="AO45" s="231"/>
      <c r="AP45" s="231"/>
      <c r="AQ45" s="231"/>
      <c r="AR45" s="231"/>
      <c r="AT45" s="239"/>
      <c r="AU45" s="239"/>
      <c r="AV45" s="239"/>
      <c r="AW45" s="239"/>
      <c r="AX45" s="239"/>
      <c r="AY45" s="239"/>
      <c r="AZ45" s="239"/>
    </row>
    <row r="46" spans="7:52" x14ac:dyDescent="0.2">
      <c r="G46" s="230"/>
      <c r="I46" s="232"/>
      <c r="J46" s="232"/>
      <c r="K46" s="232"/>
      <c r="L46" s="232"/>
      <c r="M46" s="232"/>
      <c r="N46" s="232"/>
      <c r="O46" s="232"/>
      <c r="P46" s="232"/>
      <c r="S46" s="238"/>
      <c r="T46" s="238"/>
      <c r="U46" s="238"/>
      <c r="V46" s="238"/>
      <c r="W46" s="232"/>
      <c r="X46" s="232"/>
      <c r="Y46" s="229"/>
      <c r="Z46" s="229"/>
      <c r="AB46" s="238"/>
      <c r="AC46" s="244"/>
      <c r="AD46" s="239"/>
      <c r="AE46" s="236"/>
      <c r="AF46" s="236"/>
      <c r="AJ46" s="231"/>
      <c r="AK46" s="231"/>
      <c r="AL46" s="231"/>
      <c r="AM46" s="231"/>
      <c r="AN46" s="231"/>
      <c r="AO46" s="231"/>
      <c r="AP46" s="231"/>
      <c r="AQ46" s="231"/>
      <c r="AR46" s="231"/>
      <c r="AT46" s="239"/>
      <c r="AU46" s="239"/>
      <c r="AV46" s="239"/>
      <c r="AW46" s="239"/>
      <c r="AX46" s="239"/>
      <c r="AY46" s="239"/>
      <c r="AZ46" s="239"/>
    </row>
    <row r="47" spans="7:52" x14ac:dyDescent="0.2">
      <c r="G47" s="230"/>
      <c r="I47" s="232"/>
      <c r="J47" s="232"/>
      <c r="K47" s="232"/>
      <c r="L47" s="232"/>
      <c r="M47" s="232"/>
      <c r="N47" s="232"/>
      <c r="O47" s="232"/>
      <c r="P47" s="232"/>
      <c r="S47" s="238"/>
      <c r="T47" s="238"/>
      <c r="U47" s="238"/>
      <c r="V47" s="238"/>
      <c r="W47" s="232"/>
      <c r="X47" s="232"/>
      <c r="Y47" s="229"/>
      <c r="Z47" s="229"/>
      <c r="AB47" s="238"/>
      <c r="AC47" s="244"/>
      <c r="AD47" s="239"/>
      <c r="AE47" s="236"/>
      <c r="AF47" s="236"/>
      <c r="AJ47" s="231"/>
      <c r="AK47" s="231"/>
      <c r="AL47" s="231"/>
      <c r="AM47" s="231"/>
      <c r="AN47" s="231"/>
      <c r="AO47" s="231"/>
      <c r="AP47" s="231"/>
      <c r="AQ47" s="231"/>
      <c r="AR47" s="231"/>
      <c r="AT47" s="239"/>
      <c r="AU47" s="239"/>
      <c r="AV47" s="239"/>
      <c r="AW47" s="239"/>
      <c r="AX47" s="239"/>
      <c r="AY47" s="239"/>
      <c r="AZ47" s="239"/>
    </row>
    <row r="48" spans="7:52" x14ac:dyDescent="0.2">
      <c r="G48" s="230"/>
      <c r="I48" s="232"/>
      <c r="J48" s="232"/>
      <c r="K48" s="232"/>
      <c r="L48" s="232"/>
      <c r="M48" s="232"/>
      <c r="N48" s="232"/>
      <c r="O48" s="232"/>
      <c r="P48" s="232"/>
      <c r="S48" s="238"/>
      <c r="T48" s="238"/>
      <c r="U48" s="238"/>
      <c r="V48" s="238"/>
      <c r="W48" s="232"/>
      <c r="X48" s="232"/>
      <c r="Y48" s="229"/>
      <c r="Z48" s="229"/>
      <c r="AB48" s="238"/>
      <c r="AC48" s="244"/>
      <c r="AD48" s="239"/>
      <c r="AE48" s="236"/>
      <c r="AF48" s="236"/>
      <c r="AJ48" s="231"/>
      <c r="AK48" s="231"/>
      <c r="AL48" s="231"/>
      <c r="AM48" s="231"/>
      <c r="AN48" s="231"/>
      <c r="AO48" s="231"/>
      <c r="AP48" s="231"/>
      <c r="AQ48" s="231"/>
      <c r="AR48" s="231"/>
      <c r="AT48" s="239"/>
      <c r="AU48" s="239"/>
      <c r="AV48" s="239"/>
      <c r="AW48" s="239"/>
      <c r="AX48" s="239"/>
      <c r="AY48" s="239"/>
      <c r="AZ48" s="239"/>
    </row>
    <row r="49" spans="7:52" x14ac:dyDescent="0.2">
      <c r="G49" s="230"/>
      <c r="I49" s="232"/>
      <c r="J49" s="232"/>
      <c r="K49" s="232"/>
      <c r="L49" s="232"/>
      <c r="M49" s="232"/>
      <c r="N49" s="232"/>
      <c r="O49" s="232"/>
      <c r="P49" s="232"/>
      <c r="S49" s="238"/>
      <c r="T49" s="238"/>
      <c r="U49" s="238"/>
      <c r="V49" s="238"/>
      <c r="W49" s="232"/>
      <c r="X49" s="232"/>
      <c r="Y49" s="229"/>
      <c r="Z49" s="229"/>
      <c r="AB49" s="238"/>
      <c r="AC49" s="244"/>
      <c r="AD49" s="239"/>
      <c r="AE49" s="236"/>
      <c r="AF49" s="236"/>
      <c r="AJ49" s="231"/>
      <c r="AK49" s="231"/>
      <c r="AL49" s="231"/>
      <c r="AM49" s="231"/>
      <c r="AN49" s="231"/>
      <c r="AO49" s="231"/>
      <c r="AP49" s="231"/>
      <c r="AQ49" s="231"/>
      <c r="AR49" s="231"/>
      <c r="AT49" s="239"/>
      <c r="AU49" s="239"/>
      <c r="AV49" s="239"/>
      <c r="AW49" s="239"/>
      <c r="AX49" s="239"/>
      <c r="AY49" s="239"/>
      <c r="AZ49" s="239"/>
    </row>
    <row r="50" spans="7:52" x14ac:dyDescent="0.2">
      <c r="G50" s="230"/>
      <c r="I50" s="232"/>
      <c r="J50" s="232"/>
      <c r="K50" s="232"/>
      <c r="L50" s="232"/>
      <c r="M50" s="232"/>
      <c r="N50" s="232"/>
      <c r="O50" s="232"/>
      <c r="P50" s="232"/>
      <c r="S50" s="238"/>
      <c r="T50" s="238"/>
      <c r="U50" s="238"/>
      <c r="V50" s="238"/>
      <c r="W50" s="232"/>
      <c r="X50" s="232"/>
      <c r="Y50" s="229"/>
      <c r="Z50" s="229"/>
      <c r="AB50" s="238"/>
      <c r="AC50" s="244"/>
      <c r="AD50" s="239"/>
      <c r="AE50" s="236"/>
      <c r="AF50" s="236"/>
      <c r="AJ50" s="231"/>
      <c r="AK50" s="231"/>
      <c r="AL50" s="231"/>
      <c r="AM50" s="231"/>
      <c r="AN50" s="231"/>
      <c r="AO50" s="231"/>
      <c r="AP50" s="231"/>
      <c r="AQ50" s="231"/>
      <c r="AR50" s="231"/>
      <c r="AT50" s="239"/>
      <c r="AU50" s="239"/>
      <c r="AV50" s="239"/>
      <c r="AW50" s="239"/>
      <c r="AX50" s="239"/>
      <c r="AY50" s="239"/>
      <c r="AZ50" s="239"/>
    </row>
    <row r="51" spans="7:52" x14ac:dyDescent="0.2">
      <c r="AB51" s="238"/>
      <c r="AC51" s="244"/>
      <c r="AD51" s="239"/>
      <c r="AE51" s="236"/>
      <c r="AF51" s="236"/>
    </row>
    <row r="52" spans="7:52" x14ac:dyDescent="0.2">
      <c r="AB52" s="238"/>
      <c r="AC52" s="244"/>
      <c r="AD52" s="239"/>
      <c r="AE52" s="236"/>
      <c r="AF52" s="236"/>
    </row>
    <row r="53" spans="7:52" x14ac:dyDescent="0.2">
      <c r="AB53" s="238"/>
      <c r="AC53" s="244"/>
      <c r="AD53" s="239"/>
      <c r="AE53" s="236"/>
      <c r="AF53" s="236"/>
    </row>
    <row r="54" spans="7:52" x14ac:dyDescent="0.2">
      <c r="AB54" s="238"/>
      <c r="AC54" s="244"/>
      <c r="AD54" s="239"/>
      <c r="AE54" s="236"/>
      <c r="AF54" s="236"/>
    </row>
    <row r="55" spans="7:52" x14ac:dyDescent="0.2">
      <c r="AB55" s="238"/>
      <c r="AC55" s="244"/>
      <c r="AD55" s="239"/>
      <c r="AE55" s="236"/>
      <c r="AF55" s="236"/>
    </row>
    <row r="56" spans="7:52" x14ac:dyDescent="0.2">
      <c r="AB56" s="238"/>
      <c r="AC56" s="244"/>
      <c r="AD56" s="239"/>
      <c r="AE56" s="236"/>
      <c r="AF56" s="236"/>
    </row>
    <row r="57" spans="7:52" x14ac:dyDescent="0.2">
      <c r="AB57" s="238"/>
      <c r="AC57" s="244"/>
      <c r="AD57" s="239"/>
      <c r="AE57" s="236"/>
      <c r="AF57" s="236"/>
    </row>
    <row r="58" spans="7:52" x14ac:dyDescent="0.2">
      <c r="AB58" s="238"/>
      <c r="AC58" s="244"/>
      <c r="AD58" s="239"/>
      <c r="AE58" s="236"/>
      <c r="AF58" s="236"/>
    </row>
    <row r="59" spans="7:52" x14ac:dyDescent="0.2">
      <c r="AB59" s="238"/>
      <c r="AC59" s="244"/>
      <c r="AD59" s="239"/>
      <c r="AE59" s="236"/>
      <c r="AF59" s="236"/>
    </row>
    <row r="60" spans="7:52" x14ac:dyDescent="0.2">
      <c r="AB60" s="238"/>
      <c r="AC60" s="244"/>
      <c r="AD60" s="239"/>
      <c r="AE60" s="236"/>
      <c r="AF60" s="236"/>
    </row>
    <row r="61" spans="7:52" x14ac:dyDescent="0.2">
      <c r="AB61" s="238"/>
      <c r="AC61" s="244"/>
      <c r="AD61" s="239"/>
      <c r="AE61" s="236"/>
      <c r="AF61" s="236"/>
    </row>
    <row r="62" spans="7:52" x14ac:dyDescent="0.2">
      <c r="AB62" s="238"/>
      <c r="AC62" s="244"/>
      <c r="AD62" s="239"/>
      <c r="AE62" s="236"/>
      <c r="AF62" s="236"/>
    </row>
    <row r="63" spans="7:52" x14ac:dyDescent="0.2">
      <c r="AB63" s="238"/>
      <c r="AC63" s="244"/>
      <c r="AD63" s="239"/>
      <c r="AE63" s="236"/>
      <c r="AF63" s="236"/>
    </row>
    <row r="64" spans="7:52" x14ac:dyDescent="0.2">
      <c r="AB64" s="238"/>
      <c r="AC64" s="244"/>
      <c r="AD64" s="239"/>
      <c r="AE64" s="236"/>
      <c r="AF64" s="236"/>
    </row>
    <row r="65" spans="28:32" x14ac:dyDescent="0.2">
      <c r="AB65" s="238"/>
      <c r="AC65" s="244"/>
      <c r="AD65" s="239"/>
      <c r="AE65" s="236"/>
      <c r="AF65" s="236"/>
    </row>
    <row r="66" spans="28:32" x14ac:dyDescent="0.2">
      <c r="AB66" s="238"/>
      <c r="AC66" s="244"/>
      <c r="AD66" s="239"/>
      <c r="AE66" s="236"/>
      <c r="AF66" s="236"/>
    </row>
    <row r="67" spans="28:32" x14ac:dyDescent="0.2">
      <c r="AB67" s="238"/>
      <c r="AC67" s="244"/>
      <c r="AD67" s="239"/>
      <c r="AE67" s="236"/>
      <c r="AF67" s="236"/>
    </row>
    <row r="68" spans="28:32" x14ac:dyDescent="0.2">
      <c r="AB68" s="238"/>
      <c r="AC68" s="244"/>
      <c r="AD68" s="239"/>
      <c r="AE68" s="236"/>
      <c r="AF68" s="236"/>
    </row>
    <row r="69" spans="28:32" x14ac:dyDescent="0.2">
      <c r="AB69" s="238"/>
      <c r="AC69" s="244"/>
      <c r="AD69" s="239"/>
      <c r="AE69" s="236"/>
      <c r="AF69" s="236"/>
    </row>
    <row r="70" spans="28:32" x14ac:dyDescent="0.2">
      <c r="AB70" s="238"/>
      <c r="AC70" s="244"/>
      <c r="AD70" s="239"/>
      <c r="AE70" s="236"/>
      <c r="AF70" s="236"/>
    </row>
    <row r="71" spans="28:32" x14ac:dyDescent="0.2">
      <c r="AB71" s="238"/>
      <c r="AC71" s="244"/>
      <c r="AD71" s="239"/>
      <c r="AE71" s="236"/>
      <c r="AF71" s="236"/>
    </row>
    <row r="72" spans="28:32" x14ac:dyDescent="0.2">
      <c r="AB72" s="238"/>
      <c r="AC72" s="244"/>
      <c r="AD72" s="239"/>
      <c r="AE72" s="236"/>
      <c r="AF72" s="236"/>
    </row>
    <row r="73" spans="28:32" x14ac:dyDescent="0.2">
      <c r="AB73" s="238"/>
      <c r="AC73" s="244"/>
      <c r="AD73" s="239"/>
      <c r="AE73" s="236"/>
      <c r="AF73" s="236"/>
    </row>
    <row r="74" spans="28:32" x14ac:dyDescent="0.2">
      <c r="AB74" s="238"/>
      <c r="AC74" s="244"/>
      <c r="AD74" s="239"/>
      <c r="AE74" s="236"/>
      <c r="AF74" s="236"/>
    </row>
    <row r="75" spans="28:32" x14ac:dyDescent="0.2">
      <c r="AB75" s="238"/>
      <c r="AC75" s="244"/>
      <c r="AD75" s="239"/>
      <c r="AE75" s="236"/>
      <c r="AF75" s="236"/>
    </row>
    <row r="76" spans="28:32" x14ac:dyDescent="0.2">
      <c r="AB76" s="238"/>
      <c r="AC76" s="244"/>
      <c r="AD76" s="239"/>
      <c r="AE76" s="236"/>
      <c r="AF76" s="236"/>
    </row>
    <row r="77" spans="28:32" x14ac:dyDescent="0.2">
      <c r="AB77" s="238"/>
      <c r="AC77" s="244"/>
      <c r="AD77" s="239"/>
      <c r="AE77" s="236"/>
      <c r="AF77" s="236"/>
    </row>
    <row r="78" spans="28:32" x14ac:dyDescent="0.2">
      <c r="AB78" s="238"/>
      <c r="AC78" s="244"/>
      <c r="AD78" s="239"/>
      <c r="AE78" s="236"/>
      <c r="AF78" s="236"/>
    </row>
    <row r="79" spans="28:32" x14ac:dyDescent="0.2">
      <c r="AB79" s="238"/>
      <c r="AC79" s="244"/>
      <c r="AD79" s="239"/>
      <c r="AE79" s="236"/>
      <c r="AF79" s="236"/>
    </row>
    <row r="80" spans="28:32" x14ac:dyDescent="0.2">
      <c r="AB80" s="238"/>
      <c r="AC80" s="244"/>
      <c r="AD80" s="239"/>
      <c r="AE80" s="236"/>
      <c r="AF80" s="236"/>
    </row>
    <row r="81" spans="28:32" x14ac:dyDescent="0.2">
      <c r="AB81" s="238"/>
      <c r="AC81" s="244"/>
      <c r="AD81" s="239"/>
      <c r="AE81" s="236"/>
      <c r="AF81" s="236"/>
    </row>
    <row r="82" spans="28:32" x14ac:dyDescent="0.2">
      <c r="AB82" s="238"/>
      <c r="AC82" s="244"/>
      <c r="AD82" s="239"/>
      <c r="AE82" s="236"/>
      <c r="AF82" s="236"/>
    </row>
    <row r="83" spans="28:32" x14ac:dyDescent="0.2">
      <c r="AB83" s="238"/>
      <c r="AC83" s="244"/>
      <c r="AD83" s="239"/>
      <c r="AE83" s="236"/>
      <c r="AF83" s="236"/>
    </row>
    <row r="84" spans="28:32" x14ac:dyDescent="0.2">
      <c r="AB84" s="238"/>
      <c r="AC84" s="244"/>
      <c r="AD84" s="239"/>
      <c r="AE84" s="236"/>
      <c r="AF84" s="236"/>
    </row>
    <row r="85" spans="28:32" x14ac:dyDescent="0.2">
      <c r="AB85" s="238"/>
      <c r="AC85" s="244"/>
      <c r="AD85" s="239"/>
      <c r="AE85" s="236"/>
      <c r="AF85" s="236"/>
    </row>
    <row r="86" spans="28:32" x14ac:dyDescent="0.2">
      <c r="AB86" s="238"/>
      <c r="AC86" s="244"/>
      <c r="AD86" s="239"/>
      <c r="AE86" s="236"/>
      <c r="AF86" s="236"/>
    </row>
    <row r="87" spans="28:32" x14ac:dyDescent="0.2">
      <c r="AB87" s="238"/>
      <c r="AC87" s="244"/>
      <c r="AD87" s="239"/>
      <c r="AE87" s="236"/>
      <c r="AF87" s="236"/>
    </row>
    <row r="88" spans="28:32" x14ac:dyDescent="0.2">
      <c r="AB88" s="238"/>
      <c r="AC88" s="244"/>
      <c r="AD88" s="239"/>
      <c r="AE88" s="236"/>
      <c r="AF88" s="236"/>
    </row>
    <row r="89" spans="28:32" x14ac:dyDescent="0.2">
      <c r="AB89" s="238"/>
      <c r="AC89" s="244"/>
      <c r="AD89" s="239"/>
      <c r="AE89" s="236"/>
      <c r="AF89" s="236"/>
    </row>
    <row r="90" spans="28:32" x14ac:dyDescent="0.2">
      <c r="AB90" s="238"/>
      <c r="AC90" s="244"/>
      <c r="AD90" s="239"/>
      <c r="AE90" s="236"/>
      <c r="AF90" s="236"/>
    </row>
    <row r="91" spans="28:32" x14ac:dyDescent="0.2">
      <c r="AB91" s="238"/>
      <c r="AC91" s="244"/>
      <c r="AD91" s="239"/>
      <c r="AE91" s="236"/>
      <c r="AF91" s="236"/>
    </row>
    <row r="92" spans="28:32" x14ac:dyDescent="0.2">
      <c r="AB92" s="238"/>
      <c r="AC92" s="244"/>
      <c r="AD92" s="239"/>
      <c r="AE92" s="236"/>
      <c r="AF92" s="236"/>
    </row>
    <row r="93" spans="28:32" x14ac:dyDescent="0.2">
      <c r="AB93" s="238"/>
      <c r="AC93" s="244"/>
      <c r="AD93" s="239"/>
      <c r="AE93" s="236"/>
      <c r="AF93" s="236"/>
    </row>
    <row r="94" spans="28:32" x14ac:dyDescent="0.2">
      <c r="AB94" s="238"/>
      <c r="AC94" s="244"/>
      <c r="AD94" s="239"/>
      <c r="AE94" s="236"/>
      <c r="AF94" s="236"/>
    </row>
    <row r="95" spans="28:32" x14ac:dyDescent="0.2">
      <c r="AB95" s="238"/>
      <c r="AC95" s="244"/>
      <c r="AD95" s="239"/>
      <c r="AE95" s="236"/>
      <c r="AF95" s="236"/>
    </row>
    <row r="96" spans="28:32" x14ac:dyDescent="0.2">
      <c r="AB96" s="238"/>
      <c r="AC96" s="244"/>
      <c r="AD96" s="239"/>
      <c r="AE96" s="236"/>
      <c r="AF96" s="236"/>
    </row>
    <row r="97" spans="28:32" x14ac:dyDescent="0.2">
      <c r="AB97" s="238"/>
      <c r="AC97" s="244"/>
      <c r="AD97" s="239"/>
      <c r="AE97" s="236"/>
      <c r="AF97" s="236"/>
    </row>
    <row r="98" spans="28:32" x14ac:dyDescent="0.2">
      <c r="AB98" s="238"/>
      <c r="AC98" s="244"/>
      <c r="AD98" s="239"/>
      <c r="AE98" s="236"/>
      <c r="AF98" s="236"/>
    </row>
    <row r="99" spans="28:32" x14ac:dyDescent="0.2">
      <c r="AB99" s="238"/>
      <c r="AC99" s="244"/>
      <c r="AD99" s="239"/>
      <c r="AE99" s="236"/>
      <c r="AF99" s="236"/>
    </row>
    <row r="100" spans="28:32" x14ac:dyDescent="0.2">
      <c r="AB100" s="238"/>
      <c r="AC100" s="244"/>
      <c r="AD100" s="239"/>
      <c r="AE100" s="236"/>
      <c r="AF100" s="236"/>
    </row>
    <row r="101" spans="28:32" x14ac:dyDescent="0.2">
      <c r="AB101" s="238"/>
      <c r="AC101" s="244"/>
      <c r="AD101" s="239"/>
      <c r="AE101" s="236"/>
      <c r="AF101" s="236"/>
    </row>
    <row r="102" spans="28:32" x14ac:dyDescent="0.2">
      <c r="AB102" s="238"/>
      <c r="AC102" s="244"/>
      <c r="AD102" s="239"/>
      <c r="AE102" s="236"/>
      <c r="AF102" s="236"/>
    </row>
    <row r="103" spans="28:32" x14ac:dyDescent="0.2">
      <c r="AB103" s="238"/>
      <c r="AC103" s="244"/>
      <c r="AD103" s="239"/>
      <c r="AE103" s="236"/>
      <c r="AF103" s="236"/>
    </row>
    <row r="104" spans="28:32" x14ac:dyDescent="0.2">
      <c r="AB104" s="238"/>
      <c r="AC104" s="244"/>
      <c r="AD104" s="239"/>
      <c r="AE104" s="236"/>
      <c r="AF104" s="236"/>
    </row>
    <row r="105" spans="28:32" x14ac:dyDescent="0.2">
      <c r="AB105" s="238"/>
      <c r="AC105" s="244"/>
      <c r="AD105" s="239"/>
      <c r="AE105" s="236"/>
      <c r="AF105" s="236"/>
    </row>
    <row r="106" spans="28:32" x14ac:dyDescent="0.2">
      <c r="AB106" s="238"/>
      <c r="AC106" s="244"/>
      <c r="AD106" s="239"/>
      <c r="AE106" s="236"/>
      <c r="AF106" s="236"/>
    </row>
    <row r="107" spans="28:32" x14ac:dyDescent="0.2">
      <c r="AB107" s="238"/>
      <c r="AC107" s="244"/>
      <c r="AD107" s="239"/>
      <c r="AE107" s="236"/>
      <c r="AF107" s="236"/>
    </row>
    <row r="108" spans="28:32" x14ac:dyDescent="0.2">
      <c r="AB108" s="238"/>
      <c r="AC108" s="244"/>
      <c r="AD108" s="239"/>
      <c r="AE108" s="236"/>
      <c r="AF108" s="236"/>
    </row>
    <row r="109" spans="28:32" x14ac:dyDescent="0.2">
      <c r="AB109" s="238"/>
      <c r="AC109" s="244"/>
      <c r="AD109" s="239"/>
      <c r="AE109" s="236"/>
      <c r="AF109" s="236"/>
    </row>
    <row r="110" spans="28:32" x14ac:dyDescent="0.2">
      <c r="AB110" s="238"/>
      <c r="AC110" s="244"/>
      <c r="AD110" s="239"/>
      <c r="AE110" s="236"/>
      <c r="AF110" s="236"/>
    </row>
    <row r="111" spans="28:32" x14ac:dyDescent="0.2">
      <c r="AB111" s="238"/>
      <c r="AC111" s="244"/>
      <c r="AD111" s="239"/>
      <c r="AE111" s="236"/>
      <c r="AF111" s="236"/>
    </row>
    <row r="112" spans="28:32" x14ac:dyDescent="0.2">
      <c r="AB112" s="238"/>
      <c r="AC112" s="244"/>
      <c r="AD112" s="239"/>
      <c r="AE112" s="236"/>
      <c r="AF112" s="236"/>
    </row>
    <row r="113" spans="28:32" x14ac:dyDescent="0.2">
      <c r="AB113" s="238"/>
      <c r="AC113" s="244"/>
      <c r="AD113" s="239"/>
      <c r="AE113" s="236"/>
      <c r="AF113" s="236"/>
    </row>
    <row r="114" spans="28:32" x14ac:dyDescent="0.2">
      <c r="AB114" s="238"/>
      <c r="AC114" s="244"/>
      <c r="AD114" s="239"/>
      <c r="AE114" s="236"/>
      <c r="AF114" s="236"/>
    </row>
    <row r="115" spans="28:32" x14ac:dyDescent="0.2">
      <c r="AB115" s="238"/>
      <c r="AC115" s="244"/>
      <c r="AD115" s="239"/>
      <c r="AE115" s="236"/>
      <c r="AF115" s="236"/>
    </row>
    <row r="116" spans="28:32" x14ac:dyDescent="0.2">
      <c r="AB116" s="238"/>
      <c r="AC116" s="244"/>
      <c r="AD116" s="239"/>
      <c r="AE116" s="236"/>
      <c r="AF116" s="236"/>
    </row>
    <row r="117" spans="28:32" x14ac:dyDescent="0.2">
      <c r="AB117" s="238"/>
      <c r="AC117" s="244"/>
      <c r="AD117" s="239"/>
      <c r="AE117" s="236"/>
      <c r="AF117" s="236"/>
    </row>
    <row r="118" spans="28:32" x14ac:dyDescent="0.2">
      <c r="AB118" s="238"/>
      <c r="AC118" s="244"/>
      <c r="AD118" s="239"/>
      <c r="AE118" s="236"/>
      <c r="AF118" s="236"/>
    </row>
    <row r="119" spans="28:32" x14ac:dyDescent="0.2">
      <c r="AB119" s="238"/>
      <c r="AC119" s="244"/>
      <c r="AD119" s="239"/>
      <c r="AE119" s="236"/>
      <c r="AF119" s="236"/>
    </row>
    <row r="120" spans="28:32" x14ac:dyDescent="0.2">
      <c r="AB120" s="238"/>
      <c r="AC120" s="244"/>
      <c r="AD120" s="239"/>
      <c r="AE120" s="236"/>
      <c r="AF120" s="236"/>
    </row>
    <row r="121" spans="28:32" x14ac:dyDescent="0.2">
      <c r="AB121" s="238"/>
      <c r="AC121" s="244"/>
      <c r="AD121" s="239"/>
      <c r="AE121" s="236"/>
      <c r="AF121" s="236"/>
    </row>
    <row r="122" spans="28:32" x14ac:dyDescent="0.2">
      <c r="AB122" s="238"/>
      <c r="AC122" s="244"/>
      <c r="AD122" s="239"/>
      <c r="AE122" s="236"/>
      <c r="AF122" s="236"/>
    </row>
    <row r="123" spans="28:32" x14ac:dyDescent="0.2">
      <c r="AB123" s="238"/>
      <c r="AC123" s="244"/>
      <c r="AD123" s="239"/>
      <c r="AE123" s="236"/>
      <c r="AF123" s="236"/>
    </row>
    <row r="124" spans="28:32" x14ac:dyDescent="0.2">
      <c r="AB124" s="238"/>
      <c r="AC124" s="244"/>
      <c r="AD124" s="239"/>
      <c r="AE124" s="236"/>
      <c r="AF124" s="236"/>
    </row>
    <row r="125" spans="28:32" x14ac:dyDescent="0.2">
      <c r="AB125" s="238"/>
      <c r="AC125" s="244"/>
      <c r="AD125" s="239"/>
      <c r="AE125" s="236"/>
      <c r="AF125" s="236"/>
    </row>
    <row r="126" spans="28:32" x14ac:dyDescent="0.2">
      <c r="AB126" s="238"/>
      <c r="AC126" s="244"/>
      <c r="AD126" s="239"/>
      <c r="AE126" s="236"/>
      <c r="AF126" s="236"/>
    </row>
    <row r="127" spans="28:32" x14ac:dyDescent="0.2">
      <c r="AB127" s="238"/>
      <c r="AC127" s="244"/>
      <c r="AD127" s="239"/>
      <c r="AE127" s="236"/>
      <c r="AF127" s="236"/>
    </row>
    <row r="128" spans="28:32" x14ac:dyDescent="0.2">
      <c r="AB128" s="238"/>
      <c r="AC128" s="244"/>
      <c r="AD128" s="239"/>
      <c r="AE128" s="236"/>
      <c r="AF128" s="236"/>
    </row>
    <row r="129" spans="28:32" x14ac:dyDescent="0.2">
      <c r="AB129" s="238"/>
      <c r="AC129" s="244"/>
      <c r="AD129" s="239"/>
      <c r="AE129" s="236"/>
      <c r="AF129" s="236"/>
    </row>
    <row r="130" spans="28:32" x14ac:dyDescent="0.2">
      <c r="AB130" s="238"/>
      <c r="AC130" s="244"/>
      <c r="AD130" s="239"/>
      <c r="AE130" s="236"/>
      <c r="AF130" s="236"/>
    </row>
    <row r="131" spans="28:32" x14ac:dyDescent="0.2">
      <c r="AB131" s="238"/>
      <c r="AC131" s="244"/>
      <c r="AD131" s="239"/>
      <c r="AE131" s="236"/>
      <c r="AF131" s="236"/>
    </row>
    <row r="132" spans="28:32" x14ac:dyDescent="0.2">
      <c r="AB132" s="238"/>
      <c r="AC132" s="244"/>
      <c r="AD132" s="239"/>
      <c r="AE132" s="236"/>
      <c r="AF132" s="236"/>
    </row>
    <row r="133" spans="28:32" x14ac:dyDescent="0.2">
      <c r="AB133" s="238"/>
      <c r="AC133" s="244"/>
      <c r="AD133" s="239"/>
      <c r="AE133" s="236"/>
      <c r="AF133" s="236"/>
    </row>
    <row r="134" spans="28:32" x14ac:dyDescent="0.2">
      <c r="AB134" s="238"/>
      <c r="AC134" s="244"/>
      <c r="AD134" s="239"/>
      <c r="AE134" s="236"/>
      <c r="AF134" s="236"/>
    </row>
    <row r="135" spans="28:32" x14ac:dyDescent="0.2">
      <c r="AB135" s="238"/>
      <c r="AC135" s="244"/>
      <c r="AD135" s="239"/>
      <c r="AE135" s="236"/>
      <c r="AF135" s="236"/>
    </row>
    <row r="136" spans="28:32" x14ac:dyDescent="0.2">
      <c r="AB136" s="238"/>
      <c r="AC136" s="244"/>
      <c r="AD136" s="239"/>
      <c r="AE136" s="236"/>
      <c r="AF136" s="236"/>
    </row>
    <row r="137" spans="28:32" x14ac:dyDescent="0.2">
      <c r="AB137" s="238"/>
      <c r="AC137" s="244"/>
      <c r="AD137" s="239"/>
      <c r="AE137" s="236"/>
      <c r="AF137" s="236"/>
    </row>
    <row r="138" spans="28:32" x14ac:dyDescent="0.2">
      <c r="AB138" s="238"/>
      <c r="AC138" s="244"/>
      <c r="AD138" s="239"/>
      <c r="AE138" s="236"/>
      <c r="AF138" s="236"/>
    </row>
    <row r="139" spans="28:32" x14ac:dyDescent="0.2">
      <c r="AB139" s="238"/>
      <c r="AC139" s="244"/>
      <c r="AD139" s="239"/>
      <c r="AE139" s="236"/>
      <c r="AF139" s="236"/>
    </row>
    <row r="140" spans="28:32" x14ac:dyDescent="0.2">
      <c r="AB140" s="238"/>
      <c r="AC140" s="244"/>
      <c r="AD140" s="239"/>
      <c r="AE140" s="236"/>
      <c r="AF140" s="236"/>
    </row>
    <row r="141" spans="28:32" x14ac:dyDescent="0.2">
      <c r="AB141" s="238"/>
      <c r="AC141" s="244"/>
      <c r="AD141" s="239"/>
      <c r="AE141" s="236"/>
      <c r="AF141" s="236"/>
    </row>
    <row r="142" spans="28:32" x14ac:dyDescent="0.2">
      <c r="AB142" s="238"/>
      <c r="AC142" s="244"/>
      <c r="AD142" s="239"/>
      <c r="AE142" s="236"/>
      <c r="AF142" s="236"/>
    </row>
    <row r="143" spans="28:32" x14ac:dyDescent="0.2">
      <c r="AB143" s="238"/>
      <c r="AC143" s="244"/>
      <c r="AD143" s="239"/>
      <c r="AE143" s="236"/>
      <c r="AF143" s="236"/>
    </row>
    <row r="144" spans="28:32" x14ac:dyDescent="0.2">
      <c r="AB144" s="238"/>
      <c r="AC144" s="244"/>
      <c r="AD144" s="239"/>
      <c r="AE144" s="236"/>
      <c r="AF144" s="236"/>
    </row>
    <row r="145" spans="28:32" x14ac:dyDescent="0.2">
      <c r="AB145" s="238"/>
      <c r="AC145" s="244"/>
      <c r="AD145" s="239"/>
      <c r="AE145" s="236"/>
      <c r="AF145" s="236"/>
    </row>
    <row r="146" spans="28:32" x14ac:dyDescent="0.2">
      <c r="AB146" s="238"/>
      <c r="AC146" s="244"/>
      <c r="AD146" s="239"/>
      <c r="AE146" s="236"/>
      <c r="AF146" s="236"/>
    </row>
    <row r="147" spans="28:32" x14ac:dyDescent="0.2">
      <c r="AB147" s="238"/>
      <c r="AC147" s="244"/>
      <c r="AD147" s="239"/>
      <c r="AE147" s="236"/>
      <c r="AF147" s="2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0000"/>
  </sheetPr>
  <dimension ref="A3:AQ36"/>
  <sheetViews>
    <sheetView workbookViewId="0">
      <selection activeCell="A6" sqref="A6:A36"/>
    </sheetView>
  </sheetViews>
  <sheetFormatPr defaultRowHeight="12.75" x14ac:dyDescent="0.2"/>
  <cols>
    <col min="1" max="1" width="18.5703125" bestFit="1" customWidth="1"/>
    <col min="2" max="2" width="6.85546875" bestFit="1" customWidth="1"/>
    <col min="3" max="3" width="30.42578125" bestFit="1" customWidth="1"/>
    <col min="4" max="4" width="23" bestFit="1" customWidth="1"/>
    <col min="5" max="5" width="15.5703125" bestFit="1" customWidth="1"/>
    <col min="6" max="6" width="16.140625" bestFit="1" customWidth="1"/>
    <col min="7" max="7" width="10.5703125" bestFit="1" customWidth="1"/>
    <col min="8" max="8" width="8.85546875" bestFit="1" customWidth="1"/>
    <col min="9" max="9" width="18.5703125" bestFit="1" customWidth="1"/>
    <col min="10" max="10" width="29.7109375" bestFit="1" customWidth="1"/>
    <col min="11" max="11" width="20.28515625" bestFit="1" customWidth="1"/>
    <col min="12" max="12" width="24.5703125" bestFit="1" customWidth="1"/>
    <col min="13" max="13" width="23.42578125" bestFit="1" customWidth="1"/>
    <col min="14" max="14" width="19.140625" bestFit="1" customWidth="1"/>
    <col min="15" max="15" width="20.7109375" bestFit="1" customWidth="1"/>
    <col min="16" max="16" width="19.85546875" bestFit="1" customWidth="1"/>
    <col min="23" max="23" width="10.5703125" bestFit="1" customWidth="1"/>
    <col min="24" max="24" width="9" bestFit="1" customWidth="1"/>
  </cols>
  <sheetData>
    <row r="3" spans="1:43" s="233" customFormat="1" ht="51" x14ac:dyDescent="0.2">
      <c r="B3" s="233" t="s">
        <v>955</v>
      </c>
      <c r="C3" s="233" t="s">
        <v>719</v>
      </c>
      <c r="D3" s="233" t="s">
        <v>720</v>
      </c>
      <c r="E3" s="278" t="s">
        <v>956</v>
      </c>
      <c r="F3" s="278" t="s">
        <v>957</v>
      </c>
      <c r="G3" s="279" t="s">
        <v>958</v>
      </c>
      <c r="H3" s="280" t="s">
        <v>959</v>
      </c>
      <c r="I3" s="279" t="s">
        <v>960</v>
      </c>
      <c r="J3" s="279" t="s">
        <v>961</v>
      </c>
      <c r="K3" s="279" t="s">
        <v>962</v>
      </c>
      <c r="L3" s="279" t="s">
        <v>963</v>
      </c>
      <c r="M3" s="279" t="s">
        <v>964</v>
      </c>
      <c r="N3" s="279" t="s">
        <v>965</v>
      </c>
      <c r="O3" s="279" t="s">
        <v>966</v>
      </c>
      <c r="P3" s="233" t="s">
        <v>967</v>
      </c>
      <c r="Q3" s="233" t="s">
        <v>1026</v>
      </c>
      <c r="R3" s="279" t="s">
        <v>1027</v>
      </c>
      <c r="S3" s="279" t="s">
        <v>1028</v>
      </c>
      <c r="T3" s="279" t="s">
        <v>1029</v>
      </c>
      <c r="U3" s="279" t="s">
        <v>1030</v>
      </c>
      <c r="V3" s="233" t="s">
        <v>1031</v>
      </c>
      <c r="W3" s="233" t="s">
        <v>1032</v>
      </c>
      <c r="X3" s="246" t="s">
        <v>1033</v>
      </c>
      <c r="Y3" s="233" t="s">
        <v>1034</v>
      </c>
      <c r="Z3" s="233" t="s">
        <v>1035</v>
      </c>
      <c r="AA3" s="233" t="s">
        <v>1036</v>
      </c>
      <c r="AB3" s="233" t="s">
        <v>1037</v>
      </c>
      <c r="AC3" s="233" t="s">
        <v>1038</v>
      </c>
      <c r="AD3" s="233" t="s">
        <v>1039</v>
      </c>
      <c r="AE3" s="233" t="s">
        <v>1040</v>
      </c>
      <c r="AF3" s="233" t="s">
        <v>1041</v>
      </c>
      <c r="AG3" s="233" t="s">
        <v>1042</v>
      </c>
      <c r="AH3" s="233" t="s">
        <v>1043</v>
      </c>
      <c r="AJ3" s="246"/>
      <c r="AK3" s="246"/>
      <c r="AL3" s="246"/>
      <c r="AM3" s="246"/>
      <c r="AN3" s="246"/>
      <c r="AO3" s="246"/>
      <c r="AP3" s="246"/>
      <c r="AQ3" s="246"/>
    </row>
    <row r="4" spans="1:43" x14ac:dyDescent="0.2">
      <c r="B4" t="s">
        <v>941</v>
      </c>
      <c r="C4" t="s">
        <v>1019</v>
      </c>
      <c r="D4" t="s">
        <v>1020</v>
      </c>
      <c r="E4" t="s">
        <v>938</v>
      </c>
      <c r="F4" t="s">
        <v>939</v>
      </c>
      <c r="H4" t="s">
        <v>971</v>
      </c>
      <c r="I4" t="s">
        <v>976</v>
      </c>
      <c r="J4" t="s">
        <v>975</v>
      </c>
      <c r="K4" t="s">
        <v>974</v>
      </c>
      <c r="L4" t="s">
        <v>973</v>
      </c>
      <c r="M4" t="s">
        <v>978</v>
      </c>
      <c r="N4" t="s">
        <v>970</v>
      </c>
      <c r="O4" t="s">
        <v>972</v>
      </c>
      <c r="P4" t="s">
        <v>977</v>
      </c>
      <c r="Q4" t="s">
        <v>1044</v>
      </c>
      <c r="R4" t="s">
        <v>1045</v>
      </c>
      <c r="S4" s="281" t="s">
        <v>1046</v>
      </c>
      <c r="T4" t="s">
        <v>1047</v>
      </c>
      <c r="U4" t="s">
        <v>1048</v>
      </c>
      <c r="V4" t="s">
        <v>1049</v>
      </c>
      <c r="W4" t="s">
        <v>1050</v>
      </c>
      <c r="X4" t="s">
        <v>1049</v>
      </c>
      <c r="AA4" t="s">
        <v>1051</v>
      </c>
      <c r="AB4" t="s">
        <v>1052</v>
      </c>
      <c r="AC4" t="s">
        <v>1053</v>
      </c>
      <c r="AD4" t="s">
        <v>1048</v>
      </c>
      <c r="AF4" t="s">
        <v>1054</v>
      </c>
    </row>
    <row r="5" spans="1:43" x14ac:dyDescent="0.2">
      <c r="B5" s="234"/>
    </row>
    <row r="6" spans="1:43" x14ac:dyDescent="0.2">
      <c r="A6" t="str">
        <f ca="1">B6&amp;"  - "&amp;D6&amp;" - "&amp;SUM(CleaningSheet!E14:F14,CleaningSheet!J14)</f>
        <v>1  - 17474 Old Jefferson Hwy - 665000</v>
      </c>
      <c r="B6">
        <v>1</v>
      </c>
      <c r="C6" s="238" t="str">
        <f t="shared" ref="C6:R21" ca="1" si="0">IFERROR(INDIRECT("'"&amp;$B$4&amp;$B6&amp;"'!"&amp;C$4),"")</f>
        <v>Main Office</v>
      </c>
      <c r="D6" s="238" t="str">
        <f t="shared" ca="1" si="0"/>
        <v>17474 Old Jefferson Hwy</v>
      </c>
      <c r="E6" s="229">
        <f t="shared" ca="1" si="0"/>
        <v>848.18325900000013</v>
      </c>
      <c r="F6" s="229">
        <f t="shared" ca="1" si="0"/>
        <v>763.36493310000014</v>
      </c>
      <c r="G6" s="238" t="str">
        <f t="shared" ca="1" si="0"/>
        <v/>
      </c>
      <c r="H6" s="238">
        <f t="shared" ca="1" si="0"/>
        <v>0.25240000000000001</v>
      </c>
      <c r="I6" s="238">
        <f t="shared" ca="1" si="0"/>
        <v>1</v>
      </c>
      <c r="J6" s="238">
        <f t="shared" ca="1" si="0"/>
        <v>1</v>
      </c>
      <c r="K6" s="238">
        <f t="shared" ca="1" si="0"/>
        <v>1.1000000000000001</v>
      </c>
      <c r="L6" s="238">
        <f t="shared" ca="1" si="0"/>
        <v>0.69</v>
      </c>
      <c r="M6" s="238">
        <f t="shared" ca="1" si="0"/>
        <v>1</v>
      </c>
      <c r="N6" s="238">
        <f t="shared" ca="1" si="0"/>
        <v>0.96013500000000007</v>
      </c>
      <c r="O6" s="238">
        <f t="shared" ca="1" si="0"/>
        <v>1.1000000000000001</v>
      </c>
      <c r="P6" s="238">
        <f t="shared" ca="1" si="0"/>
        <v>1.1499999999999999</v>
      </c>
      <c r="Q6" s="230">
        <f t="shared" ca="1" si="0"/>
        <v>0.24233807400000004</v>
      </c>
      <c r="R6" s="230">
        <f t="shared" ca="1" si="0"/>
        <v>0</v>
      </c>
      <c r="S6" s="230">
        <f t="shared" ref="Q6:AF12" ca="1" si="1">IFERROR(INDIRECT("'"&amp;$B$4&amp;$B6&amp;"'!"&amp;S$4),"")</f>
        <v>0</v>
      </c>
      <c r="T6" s="230">
        <f t="shared" ca="1" si="1"/>
        <v>-11.026382367000002</v>
      </c>
      <c r="U6" s="230">
        <f t="shared" ca="1" si="1"/>
        <v>0</v>
      </c>
      <c r="V6" s="230">
        <f t="shared" ca="1" si="1"/>
        <v>0</v>
      </c>
      <c r="W6" s="230">
        <f t="shared" ca="1" si="1"/>
        <v>0</v>
      </c>
      <c r="X6" s="230">
        <f t="shared" ca="1" si="1"/>
        <v>0</v>
      </c>
      <c r="Y6" s="230" t="str">
        <f t="shared" ca="1" si="1"/>
        <v/>
      </c>
      <c r="Z6" s="230" t="str">
        <f t="shared" ca="1" si="1"/>
        <v/>
      </c>
      <c r="AA6" s="230">
        <f t="shared" ca="1" si="1"/>
        <v>1</v>
      </c>
      <c r="AB6" s="230">
        <f t="shared" ca="1" si="1"/>
        <v>99.75</v>
      </c>
      <c r="AC6" s="230">
        <f t="shared" ca="1" si="1"/>
        <v>0</v>
      </c>
      <c r="AD6" s="230">
        <f t="shared" ca="1" si="1"/>
        <v>0</v>
      </c>
      <c r="AE6" s="230" t="str">
        <f t="shared" ca="1" si="1"/>
        <v/>
      </c>
      <c r="AF6" s="230">
        <f t="shared" ca="1" si="1"/>
        <v>0</v>
      </c>
    </row>
    <row r="7" spans="1:43" x14ac:dyDescent="0.2">
      <c r="A7" t="str">
        <f ca="1">B7&amp;"  - "&amp;D7&amp;" - "&amp;SUM(CleaningSheet!E15:F15,CleaningSheet!J15)</f>
        <v>2  - 17474 Old Jefferson Hwy - 643553</v>
      </c>
      <c r="B7">
        <f>B6+1</f>
        <v>2</v>
      </c>
      <c r="C7" s="238" t="str">
        <f t="shared" ca="1" si="0"/>
        <v>Structural Shop</v>
      </c>
      <c r="D7" s="238" t="str">
        <f t="shared" ca="1" si="0"/>
        <v>17474 Old Jefferson Hwy</v>
      </c>
      <c r="E7" s="229">
        <f t="shared" ca="1" si="0"/>
        <v>1211.906533833765</v>
      </c>
      <c r="F7" s="229">
        <f t="shared" ca="1" si="0"/>
        <v>124.60632030000001</v>
      </c>
      <c r="G7" s="238" t="str">
        <f t="shared" ca="1" si="0"/>
        <v/>
      </c>
      <c r="H7" s="238">
        <f t="shared" ca="1" si="0"/>
        <v>0.21629999999999999</v>
      </c>
      <c r="I7" s="238">
        <f t="shared" ca="1" si="0"/>
        <v>1</v>
      </c>
      <c r="J7" s="238">
        <f t="shared" ca="1" si="0"/>
        <v>1</v>
      </c>
      <c r="K7" s="238">
        <f t="shared" ca="1" si="0"/>
        <v>1.1000000000000001</v>
      </c>
      <c r="L7" s="238">
        <f t="shared" ca="1" si="0"/>
        <v>0.69</v>
      </c>
      <c r="M7" s="238">
        <f t="shared" ca="1" si="0"/>
        <v>1</v>
      </c>
      <c r="N7" s="238">
        <f t="shared" ca="1" si="0"/>
        <v>0.96013500000000007</v>
      </c>
      <c r="O7" s="238">
        <f t="shared" ca="1" si="0"/>
        <v>1.1000000000000001</v>
      </c>
      <c r="P7" s="238">
        <f t="shared" ca="1" si="0"/>
        <v>1.1499999999999999</v>
      </c>
      <c r="Q7" s="230">
        <f t="shared" ca="1" si="1"/>
        <v>0.20767720050000002</v>
      </c>
      <c r="R7" s="230">
        <f t="shared" ca="1" si="1"/>
        <v>0</v>
      </c>
      <c r="S7" s="230">
        <f t="shared" ca="1" si="1"/>
        <v>0</v>
      </c>
      <c r="T7" s="230">
        <f t="shared" ca="1" si="1"/>
        <v>-8.7224424210000002</v>
      </c>
      <c r="U7" s="230">
        <f t="shared" ca="1" si="1"/>
        <v>0</v>
      </c>
      <c r="V7" s="230">
        <f t="shared" ca="1" si="1"/>
        <v>0</v>
      </c>
      <c r="W7" s="230">
        <f t="shared" ca="1" si="1"/>
        <v>0</v>
      </c>
      <c r="X7" s="230">
        <f t="shared" ca="1" si="1"/>
        <v>0</v>
      </c>
      <c r="Y7" s="230" t="str">
        <f t="shared" ca="1" si="1"/>
        <v/>
      </c>
      <c r="Z7" s="230" t="str">
        <f t="shared" ca="1" si="1"/>
        <v/>
      </c>
      <c r="AA7" s="230">
        <f t="shared" ca="1" si="1"/>
        <v>1</v>
      </c>
      <c r="AB7" s="230">
        <f t="shared" ca="1" si="1"/>
        <v>96.53295</v>
      </c>
      <c r="AC7" s="230">
        <f t="shared" ca="1" si="1"/>
        <v>0</v>
      </c>
      <c r="AD7" s="230">
        <f t="shared" ca="1" si="1"/>
        <v>0</v>
      </c>
      <c r="AE7" s="230" t="str">
        <f t="shared" ca="1" si="1"/>
        <v/>
      </c>
      <c r="AF7" s="230">
        <f t="shared" ca="1" si="1"/>
        <v>0</v>
      </c>
    </row>
    <row r="8" spans="1:43" x14ac:dyDescent="0.2">
      <c r="A8" t="str">
        <f ca="1">B8&amp;"  - "&amp;D8&amp;" - "&amp;SUM(CleaningSheet!E16:F16,CleaningSheet!J16)</f>
        <v>3  - 17474 Old Jefferson Hwy - 202370</v>
      </c>
      <c r="B8">
        <f t="shared" ref="B8:B24" si="2">B7+1</f>
        <v>3</v>
      </c>
      <c r="C8" s="238" t="str">
        <f t="shared" ca="1" si="0"/>
        <v>Mechaninc Shop</v>
      </c>
      <c r="D8" s="238" t="str">
        <f t="shared" ca="1" si="0"/>
        <v>17474 Old Jefferson Hwy</v>
      </c>
      <c r="E8" s="229">
        <f t="shared" ca="1" si="0"/>
        <v>399.50863060185003</v>
      </c>
      <c r="F8" s="229">
        <f t="shared" ca="1" si="0"/>
        <v>20.767720050000001</v>
      </c>
      <c r="G8" s="238" t="str">
        <f t="shared" ca="1" si="0"/>
        <v/>
      </c>
      <c r="H8" s="238">
        <f t="shared" ca="1" si="0"/>
        <v>0.21629999999999999</v>
      </c>
      <c r="I8" s="238">
        <f t="shared" ca="1" si="0"/>
        <v>1</v>
      </c>
      <c r="J8" s="238">
        <f t="shared" ca="1" si="0"/>
        <v>1</v>
      </c>
      <c r="K8" s="238">
        <f t="shared" ca="1" si="0"/>
        <v>1.1000000000000001</v>
      </c>
      <c r="L8" s="238">
        <f t="shared" ca="1" si="0"/>
        <v>0.69</v>
      </c>
      <c r="M8" s="238">
        <f t="shared" ca="1" si="0"/>
        <v>1</v>
      </c>
      <c r="N8" s="238">
        <f t="shared" ca="1" si="0"/>
        <v>0.96013500000000007</v>
      </c>
      <c r="O8" s="238">
        <f t="shared" ca="1" si="0"/>
        <v>1.1000000000000001</v>
      </c>
      <c r="P8" s="238">
        <f t="shared" ca="1" si="0"/>
        <v>1.1499999999999999</v>
      </c>
      <c r="Q8" s="230">
        <f t="shared" ca="1" si="1"/>
        <v>0.20767720050000002</v>
      </c>
      <c r="R8" s="230">
        <f t="shared" ca="1" si="1"/>
        <v>0</v>
      </c>
      <c r="S8" s="230">
        <f t="shared" ca="1" si="1"/>
        <v>0</v>
      </c>
      <c r="T8" s="230">
        <f t="shared" ca="1" si="1"/>
        <v>-1.4537404035000003</v>
      </c>
      <c r="U8" s="230">
        <f t="shared" ca="1" si="1"/>
        <v>0</v>
      </c>
      <c r="V8" s="230">
        <f t="shared" ca="1" si="1"/>
        <v>0</v>
      </c>
      <c r="W8" s="230">
        <f t="shared" ca="1" si="1"/>
        <v>0</v>
      </c>
      <c r="X8" s="230">
        <f t="shared" ca="1" si="1"/>
        <v>0</v>
      </c>
      <c r="Y8" s="230" t="str">
        <f t="shared" ca="1" si="1"/>
        <v/>
      </c>
      <c r="Z8" s="230" t="str">
        <f t="shared" ca="1" si="1"/>
        <v/>
      </c>
      <c r="AA8" s="230">
        <f t="shared" ca="1" si="1"/>
        <v>1</v>
      </c>
      <c r="AB8" s="230">
        <f t="shared" ca="1" si="1"/>
        <v>30.355499999999996</v>
      </c>
      <c r="AC8" s="230">
        <f t="shared" ca="1" si="1"/>
        <v>0</v>
      </c>
      <c r="AD8" s="230">
        <f t="shared" ca="1" si="1"/>
        <v>0</v>
      </c>
      <c r="AE8" s="230" t="str">
        <f t="shared" ca="1" si="1"/>
        <v/>
      </c>
      <c r="AF8" s="230">
        <f t="shared" ca="1" si="1"/>
        <v>0</v>
      </c>
    </row>
    <row r="9" spans="1:43" x14ac:dyDescent="0.2">
      <c r="A9" t="str">
        <f ca="1">B9&amp;"  - "&amp;D9&amp;" - "&amp;SUM(CleaningSheet!E17:F17,CleaningSheet!J17)</f>
        <v>4  - 17474 Old Jefferson Hwy - 900000</v>
      </c>
      <c r="B9">
        <f t="shared" si="2"/>
        <v>4</v>
      </c>
      <c r="C9" s="238" t="str">
        <f t="shared" ca="1" si="0"/>
        <v>Pipe Shop</v>
      </c>
      <c r="D9" s="238" t="str">
        <f t="shared" ca="1" si="0"/>
        <v>17474 Old Jefferson Hwy</v>
      </c>
      <c r="E9" s="229">
        <f t="shared" ca="1" si="0"/>
        <v>1661.4176040000002</v>
      </c>
      <c r="F9" s="229">
        <f t="shared" ca="1" si="0"/>
        <v>207.67720050000003</v>
      </c>
      <c r="G9" s="238" t="str">
        <f t="shared" ca="1" si="0"/>
        <v/>
      </c>
      <c r="H9" s="238">
        <f t="shared" ca="1" si="0"/>
        <v>0.21629999999999999</v>
      </c>
      <c r="I9" s="238">
        <f t="shared" ca="1" si="0"/>
        <v>1</v>
      </c>
      <c r="J9" s="238">
        <f t="shared" ca="1" si="0"/>
        <v>1</v>
      </c>
      <c r="K9" s="238">
        <f t="shared" ca="1" si="0"/>
        <v>1.1000000000000001</v>
      </c>
      <c r="L9" s="238">
        <f t="shared" ca="1" si="0"/>
        <v>0.69</v>
      </c>
      <c r="M9" s="238">
        <f t="shared" ca="1" si="0"/>
        <v>1</v>
      </c>
      <c r="N9" s="238">
        <f t="shared" ca="1" si="0"/>
        <v>0.96013500000000007</v>
      </c>
      <c r="O9" s="238">
        <f t="shared" ca="1" si="0"/>
        <v>1.1000000000000001</v>
      </c>
      <c r="P9" s="238">
        <f t="shared" ca="1" si="0"/>
        <v>1.1499999999999999</v>
      </c>
      <c r="Q9" s="230">
        <f t="shared" ca="1" si="1"/>
        <v>0.20767720050000002</v>
      </c>
      <c r="R9" s="230">
        <f t="shared" ca="1" si="1"/>
        <v>0</v>
      </c>
      <c r="S9" s="230">
        <f t="shared" ca="1" si="1"/>
        <v>0</v>
      </c>
      <c r="T9" s="230">
        <f t="shared" ca="1" si="1"/>
        <v>-14.537404035000005</v>
      </c>
      <c r="U9" s="230">
        <f t="shared" ca="1" si="1"/>
        <v>0</v>
      </c>
      <c r="V9" s="230">
        <f t="shared" ca="1" si="1"/>
        <v>0</v>
      </c>
      <c r="W9" s="230">
        <f t="shared" ca="1" si="1"/>
        <v>0</v>
      </c>
      <c r="X9" s="230">
        <f t="shared" ca="1" si="1"/>
        <v>0</v>
      </c>
      <c r="Y9" s="230" t="str">
        <f t="shared" ca="1" si="1"/>
        <v/>
      </c>
      <c r="Z9" s="230" t="str">
        <f t="shared" ca="1" si="1"/>
        <v/>
      </c>
      <c r="AA9" s="230">
        <f t="shared" ca="1" si="1"/>
        <v>1</v>
      </c>
      <c r="AB9" s="230">
        <f t="shared" ca="1" si="1"/>
        <v>135</v>
      </c>
      <c r="AC9" s="230">
        <f t="shared" ca="1" si="1"/>
        <v>0</v>
      </c>
      <c r="AD9" s="230">
        <f t="shared" ca="1" si="1"/>
        <v>0</v>
      </c>
      <c r="AE9" s="230" t="str">
        <f t="shared" ca="1" si="1"/>
        <v/>
      </c>
      <c r="AF9" s="230">
        <f t="shared" ca="1" si="1"/>
        <v>0</v>
      </c>
    </row>
    <row r="10" spans="1:43" x14ac:dyDescent="0.2">
      <c r="A10" t="str">
        <f ca="1">B10&amp;"  - "&amp;D10&amp;" - "&amp;SUM(CleaningSheet!E18:F18,CleaningSheet!J18)</f>
        <v>5  - 17474 Old Jefferson Hwy - 68040</v>
      </c>
      <c r="B10">
        <f t="shared" si="2"/>
        <v>5</v>
      </c>
      <c r="C10" s="238" t="str">
        <f t="shared" ca="1" si="0"/>
        <v>Small Tool Shop</v>
      </c>
      <c r="D10" s="238" t="str">
        <f t="shared" ca="1" si="0"/>
        <v>17474 Old Jefferson Hwy</v>
      </c>
      <c r="E10" s="229">
        <f t="shared" ca="1" si="0"/>
        <v>141.30356722020002</v>
      </c>
      <c r="F10" s="229">
        <f t="shared" ca="1" si="0"/>
        <v>0</v>
      </c>
      <c r="G10" s="238" t="str">
        <f t="shared" ca="1" si="0"/>
        <v/>
      </c>
      <c r="H10" s="238">
        <f t="shared" ca="1" si="0"/>
        <v>0.21629999999999999</v>
      </c>
      <c r="I10" s="238">
        <f t="shared" ca="1" si="0"/>
        <v>1</v>
      </c>
      <c r="J10" s="238">
        <f t="shared" ca="1" si="0"/>
        <v>1</v>
      </c>
      <c r="K10" s="238">
        <f t="shared" ca="1" si="0"/>
        <v>1.1000000000000001</v>
      </c>
      <c r="L10" s="238">
        <f t="shared" ca="1" si="0"/>
        <v>0.69</v>
      </c>
      <c r="M10" s="238">
        <f t="shared" ca="1" si="0"/>
        <v>1</v>
      </c>
      <c r="N10" s="238">
        <f t="shared" ca="1" si="0"/>
        <v>0.96013500000000007</v>
      </c>
      <c r="O10" s="238">
        <f t="shared" ca="1" si="0"/>
        <v>1.1000000000000001</v>
      </c>
      <c r="P10" s="238">
        <f t="shared" ca="1" si="0"/>
        <v>1.1499999999999999</v>
      </c>
      <c r="Q10" s="230">
        <f t="shared" ca="1" si="1"/>
        <v>0.20767720050000002</v>
      </c>
      <c r="R10" s="230">
        <f t="shared" ca="1" si="1"/>
        <v>0</v>
      </c>
      <c r="S10" s="230">
        <f t="shared" ca="1" si="1"/>
        <v>0</v>
      </c>
      <c r="T10" s="230">
        <f t="shared" ca="1" si="1"/>
        <v>0</v>
      </c>
      <c r="U10" s="230">
        <f t="shared" ca="1" si="1"/>
        <v>0</v>
      </c>
      <c r="V10" s="230">
        <f t="shared" ca="1" si="1"/>
        <v>0</v>
      </c>
      <c r="W10" s="230">
        <f t="shared" ca="1" si="1"/>
        <v>0</v>
      </c>
      <c r="X10" s="230">
        <f t="shared" ca="1" si="1"/>
        <v>0</v>
      </c>
      <c r="Y10" s="230" t="str">
        <f t="shared" ca="1" si="1"/>
        <v/>
      </c>
      <c r="Z10" s="230" t="str">
        <f t="shared" ca="1" si="1"/>
        <v/>
      </c>
      <c r="AA10" s="230">
        <f t="shared" ca="1" si="1"/>
        <v>1</v>
      </c>
      <c r="AB10" s="230">
        <f t="shared" ca="1" si="1"/>
        <v>10.206</v>
      </c>
      <c r="AC10" s="230">
        <f t="shared" ca="1" si="1"/>
        <v>0</v>
      </c>
      <c r="AD10" s="230">
        <f t="shared" ca="1" si="1"/>
        <v>0</v>
      </c>
      <c r="AE10" s="230" t="str">
        <f t="shared" ca="1" si="1"/>
        <v/>
      </c>
      <c r="AF10" s="230">
        <f t="shared" ca="1" si="1"/>
        <v>0</v>
      </c>
    </row>
    <row r="11" spans="1:43" x14ac:dyDescent="0.2">
      <c r="A11" t="str">
        <f ca="1">B11&amp;"  - "&amp;D11&amp;" - "&amp;SUM(CleaningSheet!E19:F19,CleaningSheet!J19)</f>
        <v>6  - 17474 Old Jefferson Hwy - 4700000</v>
      </c>
      <c r="B11">
        <f t="shared" si="2"/>
        <v>6</v>
      </c>
      <c r="C11" s="238" t="str">
        <f t="shared" ca="1" si="0"/>
        <v>Vessel Shop</v>
      </c>
      <c r="D11" s="238" t="str">
        <f t="shared" ca="1" si="0"/>
        <v>17474 Old Jefferson Hwy</v>
      </c>
      <c r="E11" s="229">
        <f t="shared" ca="1" si="0"/>
        <v>10106.136232499999</v>
      </c>
      <c r="F11" s="229">
        <f t="shared" ca="1" si="0"/>
        <v>567.76046250000002</v>
      </c>
      <c r="G11" s="238" t="str">
        <f t="shared" ca="1" si="0"/>
        <v/>
      </c>
      <c r="H11" s="238">
        <f t="shared" ca="1" si="0"/>
        <v>0.21629999999999999</v>
      </c>
      <c r="I11" s="238">
        <f t="shared" ca="1" si="0"/>
        <v>1</v>
      </c>
      <c r="J11" s="238">
        <f t="shared" ca="1" si="0"/>
        <v>1</v>
      </c>
      <c r="K11" s="238">
        <f t="shared" ca="1" si="0"/>
        <v>1</v>
      </c>
      <c r="L11" s="238">
        <f t="shared" ca="1" si="0"/>
        <v>0.83</v>
      </c>
      <c r="M11" s="238">
        <f t="shared" ca="1" si="0"/>
        <v>1</v>
      </c>
      <c r="N11" s="238">
        <f t="shared" ca="1" si="0"/>
        <v>1.0499499999999999</v>
      </c>
      <c r="O11" s="238">
        <f t="shared" ca="1" si="0"/>
        <v>1.1000000000000001</v>
      </c>
      <c r="P11" s="238">
        <f t="shared" ca="1" si="0"/>
        <v>1.1499999999999999</v>
      </c>
      <c r="Q11" s="230">
        <f t="shared" ca="1" si="1"/>
        <v>0.22710418499999999</v>
      </c>
      <c r="R11" s="230">
        <f t="shared" ca="1" si="1"/>
        <v>0</v>
      </c>
      <c r="S11" s="230">
        <f t="shared" ca="1" si="1"/>
        <v>0</v>
      </c>
      <c r="T11" s="230">
        <f t="shared" ca="1" si="1"/>
        <v>-39.743232374999998</v>
      </c>
      <c r="U11" s="230">
        <f t="shared" ca="1" si="1"/>
        <v>0</v>
      </c>
      <c r="V11" s="230">
        <f t="shared" ca="1" si="1"/>
        <v>0</v>
      </c>
      <c r="W11" s="230">
        <f t="shared" ca="1" si="1"/>
        <v>0</v>
      </c>
      <c r="X11" s="230">
        <f t="shared" ca="1" si="1"/>
        <v>0</v>
      </c>
      <c r="Y11" s="230" t="str">
        <f t="shared" ca="1" si="1"/>
        <v/>
      </c>
      <c r="Z11" s="230" t="str">
        <f t="shared" ca="1" si="1"/>
        <v/>
      </c>
      <c r="AA11" s="230">
        <f t="shared" ca="1" si="1"/>
        <v>1</v>
      </c>
      <c r="AB11" s="230">
        <f t="shared" ca="1" si="1"/>
        <v>705</v>
      </c>
      <c r="AC11" s="230">
        <f t="shared" ca="1" si="1"/>
        <v>0</v>
      </c>
      <c r="AD11" s="230">
        <f t="shared" ca="1" si="1"/>
        <v>0</v>
      </c>
      <c r="AE11" s="230" t="str">
        <f t="shared" ca="1" si="1"/>
        <v/>
      </c>
      <c r="AF11" s="230">
        <f t="shared" ca="1" si="1"/>
        <v>0</v>
      </c>
    </row>
    <row r="12" spans="1:43" x14ac:dyDescent="0.2">
      <c r="A12" t="str">
        <f ca="1">B12&amp;"  - "&amp;D12&amp;" - "&amp;SUM(CleaningSheet!E20:F20,CleaningSheet!J20)</f>
        <v>7  - 17474 Old Jefferson Hwy - 67500</v>
      </c>
      <c r="B12">
        <f t="shared" si="2"/>
        <v>7</v>
      </c>
      <c r="C12" s="238" t="str">
        <f t="shared" ca="1" si="0"/>
        <v>Human Resources</v>
      </c>
      <c r="D12" s="238" t="str">
        <f t="shared" ca="1" si="0"/>
        <v>17474 Old Jefferson Hwy</v>
      </c>
      <c r="E12" s="229">
        <f t="shared" ca="1" si="0"/>
        <v>78.496797060000006</v>
      </c>
      <c r="F12" s="229">
        <f t="shared" ca="1" si="0"/>
        <v>9.8120996325000007</v>
      </c>
      <c r="G12" s="238" t="str">
        <f t="shared" ca="1" si="0"/>
        <v/>
      </c>
      <c r="H12" s="238">
        <f t="shared" ca="1" si="0"/>
        <v>0.15140000000000001</v>
      </c>
      <c r="I12" s="238">
        <f t="shared" ca="1" si="0"/>
        <v>1</v>
      </c>
      <c r="J12" s="238">
        <f t="shared" ca="1" si="0"/>
        <v>0.9</v>
      </c>
      <c r="K12" s="238">
        <f t="shared" ca="1" si="0"/>
        <v>1.1000000000000001</v>
      </c>
      <c r="L12" s="238">
        <f t="shared" ca="1" si="0"/>
        <v>0.69</v>
      </c>
      <c r="M12" s="238">
        <f t="shared" ca="1" si="0"/>
        <v>1</v>
      </c>
      <c r="N12" s="238">
        <f t="shared" ca="1" si="0"/>
        <v>0.8641215000000001</v>
      </c>
      <c r="O12" s="238">
        <f t="shared" ca="1" si="0"/>
        <v>1.1000000000000001</v>
      </c>
      <c r="P12" s="238">
        <f t="shared" ca="1" si="0"/>
        <v>1.1499999999999999</v>
      </c>
      <c r="Q12" s="230">
        <f t="shared" ca="1" si="1"/>
        <v>0.13082799510000001</v>
      </c>
      <c r="R12" s="230">
        <f t="shared" ca="1" si="1"/>
        <v>0</v>
      </c>
      <c r="S12" s="230">
        <f t="shared" ca="1" si="1"/>
        <v>0</v>
      </c>
      <c r="T12" s="230">
        <f t="shared" ca="1" si="1"/>
        <v>-0.68684697427500008</v>
      </c>
      <c r="U12" s="230">
        <f t="shared" ca="1" si="1"/>
        <v>0</v>
      </c>
      <c r="V12" s="230">
        <f t="shared" ca="1" si="1"/>
        <v>0</v>
      </c>
      <c r="W12" s="230">
        <f t="shared" ca="1" si="1"/>
        <v>0</v>
      </c>
      <c r="X12" s="230">
        <f t="shared" ca="1" si="1"/>
        <v>0</v>
      </c>
      <c r="Y12" s="230" t="str">
        <f t="shared" ca="1" si="1"/>
        <v/>
      </c>
      <c r="Z12" s="230" t="str">
        <f t="shared" ca="1" si="1"/>
        <v/>
      </c>
      <c r="AA12" s="230">
        <f t="shared" ca="1" si="1"/>
        <v>1</v>
      </c>
      <c r="AB12" s="230">
        <f t="shared" ca="1" si="1"/>
        <v>10.125</v>
      </c>
      <c r="AC12" s="230">
        <f t="shared" ca="1" si="1"/>
        <v>0</v>
      </c>
      <c r="AD12" s="230">
        <f t="shared" ca="1" si="1"/>
        <v>0</v>
      </c>
      <c r="AE12" s="230" t="str">
        <f t="shared" ca="1" si="1"/>
        <v/>
      </c>
      <c r="AF12" s="230">
        <f t="shared" ca="1" si="1"/>
        <v>0</v>
      </c>
    </row>
    <row r="13" spans="1:43" x14ac:dyDescent="0.2">
      <c r="A13" t="str">
        <f ca="1">B13&amp;"  - "&amp;D13&amp;" - "&amp;SUM(CleaningSheet!E21:F21,CleaningSheet!J21)</f>
        <v>8  - 17474 Old Jefferson Hwy - 180000</v>
      </c>
      <c r="B13">
        <f t="shared" si="2"/>
        <v>8</v>
      </c>
      <c r="C13" s="238" t="str">
        <f t="shared" ca="1" si="0"/>
        <v>Estimating Office</v>
      </c>
      <c r="D13" s="238" t="str">
        <f t="shared" ca="1" si="0"/>
        <v>17474 Old Jefferson Hwy</v>
      </c>
      <c r="E13" s="229">
        <f t="shared" ca="1" si="0"/>
        <v>231.85628020500008</v>
      </c>
      <c r="F13" s="229">
        <f t="shared" ca="1" si="0"/>
        <v>55.965309015000017</v>
      </c>
      <c r="G13" s="238" t="str">
        <f t="shared" ca="1" si="0"/>
        <v/>
      </c>
      <c r="H13" s="238">
        <f t="shared" ca="1" si="0"/>
        <v>0.15140000000000001</v>
      </c>
      <c r="I13" s="238">
        <f t="shared" ca="1" si="0"/>
        <v>1</v>
      </c>
      <c r="J13" s="238">
        <f t="shared" ca="1" si="0"/>
        <v>1.1000000000000001</v>
      </c>
      <c r="K13" s="238">
        <f t="shared" ca="1" si="0"/>
        <v>1.1000000000000001</v>
      </c>
      <c r="L13" s="238">
        <f t="shared" ca="1" si="0"/>
        <v>0.69</v>
      </c>
      <c r="M13" s="238">
        <f t="shared" ca="1" si="0"/>
        <v>1</v>
      </c>
      <c r="N13" s="238">
        <f t="shared" ca="1" si="0"/>
        <v>1.0561485000000002</v>
      </c>
      <c r="O13" s="238">
        <f t="shared" ca="1" si="0"/>
        <v>1.1000000000000001</v>
      </c>
      <c r="P13" s="238">
        <f t="shared" ca="1" si="0"/>
        <v>1.1499999999999999</v>
      </c>
    </row>
    <row r="14" spans="1:43" x14ac:dyDescent="0.2">
      <c r="A14" t="str">
        <f ca="1">B14&amp;"  - "&amp;D14&amp;" - "&amp;SUM(CleaningSheet!E22:F22,CleaningSheet!J22)</f>
        <v>9  - 2450 Florida Ave - 465000</v>
      </c>
      <c r="B14">
        <f t="shared" si="2"/>
        <v>9</v>
      </c>
      <c r="C14" s="238" t="str">
        <f t="shared" ca="1" si="0"/>
        <v>HR Building</v>
      </c>
      <c r="D14" s="238" t="str">
        <f t="shared" ca="1" si="0"/>
        <v>2450 Florida Ave</v>
      </c>
      <c r="E14" s="229">
        <f t="shared" ca="1" si="0"/>
        <v>581.45775600000013</v>
      </c>
      <c r="F14" s="229">
        <f t="shared" ca="1" si="0"/>
        <v>94.486885350000009</v>
      </c>
      <c r="G14" s="238" t="str">
        <f t="shared" ca="1" si="0"/>
        <v/>
      </c>
      <c r="H14" s="238">
        <f t="shared" ca="1" si="0"/>
        <v>0.15140000000000001</v>
      </c>
      <c r="I14" s="238">
        <f t="shared" ca="1" si="0"/>
        <v>1</v>
      </c>
      <c r="J14" s="238">
        <f t="shared" ca="1" si="0"/>
        <v>1</v>
      </c>
      <c r="K14" s="238">
        <f t="shared" ca="1" si="0"/>
        <v>1.1000000000000001</v>
      </c>
      <c r="L14" s="238">
        <f t="shared" ca="1" si="0"/>
        <v>0.69</v>
      </c>
      <c r="M14" s="238">
        <f t="shared" ca="1" si="0"/>
        <v>1</v>
      </c>
      <c r="N14" s="238">
        <f t="shared" ca="1" si="0"/>
        <v>0.96013500000000007</v>
      </c>
      <c r="O14" s="238">
        <f t="shared" ca="1" si="0"/>
        <v>1.1000000000000001</v>
      </c>
      <c r="P14" s="238">
        <f t="shared" ca="1" si="0"/>
        <v>1.1499999999999999</v>
      </c>
    </row>
    <row r="15" spans="1:43" x14ac:dyDescent="0.2">
      <c r="A15" t="str">
        <f ca="1">B15&amp;"  - "&amp;D15&amp;" - "&amp;SUM(CleaningSheet!E23:F23,CleaningSheet!J23)</f>
        <v>10  - 2450 Florida Ave - 415000</v>
      </c>
      <c r="B15">
        <f t="shared" si="2"/>
        <v>10</v>
      </c>
      <c r="C15" s="238" t="str">
        <f t="shared" ca="1" si="0"/>
        <v>Paint Building</v>
      </c>
      <c r="D15" s="238" t="str">
        <f t="shared" ca="1" si="0"/>
        <v>2450 Florida Ave</v>
      </c>
      <c r="E15" s="229">
        <f t="shared" ca="1" si="0"/>
        <v>1039.4613537000002</v>
      </c>
      <c r="F15" s="229">
        <f t="shared" ca="1" si="0"/>
        <v>193.04282283000003</v>
      </c>
      <c r="G15" s="238" t="str">
        <f t="shared" ca="1" si="0"/>
        <v/>
      </c>
      <c r="H15" s="238">
        <f t="shared" ca="1" si="0"/>
        <v>0.28120000000000001</v>
      </c>
      <c r="I15" s="238">
        <f t="shared" ca="1" si="0"/>
        <v>1</v>
      </c>
      <c r="J15" s="238">
        <f t="shared" ca="1" si="0"/>
        <v>1.1000000000000001</v>
      </c>
      <c r="K15" s="238">
        <f t="shared" ca="1" si="0"/>
        <v>1.1000000000000001</v>
      </c>
      <c r="L15" s="238">
        <f t="shared" ca="1" si="0"/>
        <v>0.69</v>
      </c>
      <c r="M15" s="238">
        <f t="shared" ca="1" si="0"/>
        <v>1</v>
      </c>
      <c r="N15" s="238">
        <f t="shared" ca="1" si="0"/>
        <v>1.0561485000000002</v>
      </c>
      <c r="O15" s="238">
        <f t="shared" ca="1" si="0"/>
        <v>1.1000000000000001</v>
      </c>
      <c r="P15" s="238">
        <f t="shared" ca="1" si="0"/>
        <v>1.1499999999999999</v>
      </c>
    </row>
    <row r="16" spans="1:43" x14ac:dyDescent="0.2">
      <c r="A16" t="str">
        <f ca="1">B16&amp;"  - "&amp;D16&amp;" - "&amp;SUM(CleaningSheet!E24:F24,CleaningSheet!J24)</f>
        <v>11  - 157 Holubar Ave - 128000</v>
      </c>
      <c r="B16">
        <f t="shared" si="2"/>
        <v>11</v>
      </c>
      <c r="C16" s="238" t="str">
        <f t="shared" ref="C16:P31" ca="1" si="3">IFERROR(INDIRECT("'"&amp;$B$4&amp;$B16&amp;"'!"&amp;C$4),"")</f>
        <v>Out Building</v>
      </c>
      <c r="D16" s="238" t="str">
        <f t="shared" ca="1" si="0"/>
        <v>157 Holubar Ave</v>
      </c>
      <c r="E16" s="229">
        <f t="shared" ca="1" si="3"/>
        <v>438.68184096000005</v>
      </c>
      <c r="F16" s="229">
        <f t="shared" ca="1" si="3"/>
        <v>0</v>
      </c>
      <c r="G16" s="238" t="str">
        <f t="shared" ca="1" si="3"/>
        <v/>
      </c>
      <c r="H16" s="238">
        <f t="shared" ca="1" si="3"/>
        <v>0.32450000000000001</v>
      </c>
      <c r="I16" s="238">
        <f t="shared" ca="1" si="3"/>
        <v>1</v>
      </c>
      <c r="J16" s="238">
        <f t="shared" ca="1" si="3"/>
        <v>1.1000000000000001</v>
      </c>
      <c r="K16" s="238">
        <f t="shared" ca="1" si="3"/>
        <v>1.1000000000000001</v>
      </c>
      <c r="L16" s="238">
        <f t="shared" ca="1" si="3"/>
        <v>0.69</v>
      </c>
      <c r="M16" s="238">
        <f t="shared" ca="1" si="3"/>
        <v>1</v>
      </c>
      <c r="N16" s="238">
        <f t="shared" ca="1" si="3"/>
        <v>1.0561485000000002</v>
      </c>
      <c r="O16" s="238">
        <f t="shared" ca="1" si="3"/>
        <v>1.1000000000000001</v>
      </c>
      <c r="P16" s="238">
        <f t="shared" ca="1" si="3"/>
        <v>1.1499999999999999</v>
      </c>
    </row>
    <row r="17" spans="1:17" x14ac:dyDescent="0.2">
      <c r="A17" t="str">
        <f ca="1">B17&amp;"  - "&amp;D17&amp;" - "&amp;SUM(CleaningSheet!E25:F25,CleaningSheet!J25)</f>
        <v>12  -  - 0</v>
      </c>
      <c r="B17">
        <f t="shared" si="2"/>
        <v>12</v>
      </c>
      <c r="C17" s="238" t="str">
        <f t="shared" ca="1" si="3"/>
        <v/>
      </c>
      <c r="D17" s="238" t="str">
        <f t="shared" ca="1" si="0"/>
        <v/>
      </c>
      <c r="E17" s="229" t="str">
        <f t="shared" ca="1" si="3"/>
        <v/>
      </c>
      <c r="F17" s="229" t="str">
        <f t="shared" ca="1" si="3"/>
        <v/>
      </c>
      <c r="G17" s="238" t="str">
        <f t="shared" ca="1" si="3"/>
        <v/>
      </c>
      <c r="H17" s="238" t="str">
        <f t="shared" ca="1" si="3"/>
        <v/>
      </c>
      <c r="I17" s="238" t="str">
        <f t="shared" ca="1" si="3"/>
        <v/>
      </c>
      <c r="J17" s="238" t="str">
        <f t="shared" ca="1" si="3"/>
        <v/>
      </c>
      <c r="K17" s="238" t="str">
        <f t="shared" ca="1" si="3"/>
        <v/>
      </c>
      <c r="L17" s="238" t="str">
        <f t="shared" ca="1" si="3"/>
        <v/>
      </c>
      <c r="M17" s="238" t="str">
        <f t="shared" ca="1" si="3"/>
        <v/>
      </c>
      <c r="N17" s="238" t="str">
        <f t="shared" ca="1" si="3"/>
        <v/>
      </c>
      <c r="O17" s="238" t="str">
        <f t="shared" ca="1" si="3"/>
        <v/>
      </c>
      <c r="P17" s="238" t="str">
        <f t="shared" ca="1" si="3"/>
        <v/>
      </c>
    </row>
    <row r="18" spans="1:17" x14ac:dyDescent="0.2">
      <c r="A18" t="str">
        <f ca="1">B18&amp;"  - "&amp;D18&amp;" - "&amp;SUM(CleaningSheet!E26:F26,CleaningSheet!J26)</f>
        <v>13  -  - 0</v>
      </c>
      <c r="B18">
        <f t="shared" si="2"/>
        <v>13</v>
      </c>
      <c r="C18" s="238" t="str">
        <f t="shared" ca="1" si="3"/>
        <v/>
      </c>
      <c r="D18" s="238" t="str">
        <f t="shared" ca="1" si="0"/>
        <v/>
      </c>
      <c r="E18" s="229" t="str">
        <f t="shared" ca="1" si="3"/>
        <v/>
      </c>
      <c r="F18" s="229" t="str">
        <f t="shared" ca="1" si="3"/>
        <v/>
      </c>
      <c r="G18" s="238" t="str">
        <f t="shared" ca="1" si="3"/>
        <v/>
      </c>
      <c r="H18" s="238" t="str">
        <f t="shared" ca="1" si="3"/>
        <v/>
      </c>
      <c r="I18" s="238" t="str">
        <f t="shared" ca="1" si="3"/>
        <v/>
      </c>
      <c r="J18" s="238" t="str">
        <f t="shared" ca="1" si="3"/>
        <v/>
      </c>
      <c r="K18" s="238" t="str">
        <f t="shared" ca="1" si="3"/>
        <v/>
      </c>
      <c r="L18" s="238" t="str">
        <f t="shared" ca="1" si="3"/>
        <v/>
      </c>
      <c r="M18" s="238" t="str">
        <f t="shared" ca="1" si="3"/>
        <v/>
      </c>
      <c r="N18" s="238" t="str">
        <f t="shared" ca="1" si="3"/>
        <v/>
      </c>
      <c r="O18" s="238" t="str">
        <f t="shared" ca="1" si="3"/>
        <v/>
      </c>
      <c r="P18" s="238" t="str">
        <f t="shared" ca="1" si="3"/>
        <v/>
      </c>
    </row>
    <row r="19" spans="1:17" x14ac:dyDescent="0.2">
      <c r="A19" t="str">
        <f ca="1">B19&amp;"  - "&amp;D19&amp;" - "&amp;SUM(CleaningSheet!E27:F27,CleaningSheet!J27)</f>
        <v>14  -  - 0</v>
      </c>
      <c r="B19">
        <f t="shared" si="2"/>
        <v>14</v>
      </c>
      <c r="C19" s="238" t="str">
        <f t="shared" ca="1" si="3"/>
        <v/>
      </c>
      <c r="D19" s="238" t="str">
        <f t="shared" ca="1" si="0"/>
        <v/>
      </c>
      <c r="E19" s="229" t="str">
        <f t="shared" ca="1" si="3"/>
        <v/>
      </c>
      <c r="F19" s="229" t="str">
        <f t="shared" ca="1" si="3"/>
        <v/>
      </c>
      <c r="G19" s="238" t="str">
        <f t="shared" ca="1" si="3"/>
        <v/>
      </c>
      <c r="H19" s="238" t="str">
        <f t="shared" ca="1" si="3"/>
        <v/>
      </c>
      <c r="I19" s="238" t="str">
        <f t="shared" ca="1" si="3"/>
        <v/>
      </c>
      <c r="J19" s="238" t="str">
        <f t="shared" ca="1" si="3"/>
        <v/>
      </c>
      <c r="K19" s="238" t="str">
        <f t="shared" ca="1" si="3"/>
        <v/>
      </c>
      <c r="L19" s="238" t="str">
        <f t="shared" ca="1" si="3"/>
        <v/>
      </c>
      <c r="M19" s="238" t="str">
        <f t="shared" ca="1" si="3"/>
        <v/>
      </c>
      <c r="N19" s="238" t="str">
        <f t="shared" ca="1" si="3"/>
        <v/>
      </c>
      <c r="O19" s="238" t="str">
        <f t="shared" ca="1" si="3"/>
        <v/>
      </c>
      <c r="P19" s="238" t="str">
        <f t="shared" ca="1" si="3"/>
        <v/>
      </c>
      <c r="Q19" s="233"/>
    </row>
    <row r="20" spans="1:17" x14ac:dyDescent="0.2">
      <c r="A20" t="str">
        <f ca="1">B20&amp;"  - "&amp;D20&amp;" - "&amp;SUM(CleaningSheet!E28:F28,CleaningSheet!J28)</f>
        <v>15  -  - 0</v>
      </c>
      <c r="B20">
        <f t="shared" si="2"/>
        <v>15</v>
      </c>
      <c r="C20" s="238" t="str">
        <f t="shared" ca="1" si="3"/>
        <v/>
      </c>
      <c r="D20" s="238" t="str">
        <f t="shared" ca="1" si="0"/>
        <v/>
      </c>
      <c r="E20" s="229" t="str">
        <f t="shared" ca="1" si="3"/>
        <v/>
      </c>
      <c r="F20" s="229" t="str">
        <f t="shared" ca="1" si="3"/>
        <v/>
      </c>
      <c r="G20" s="238" t="str">
        <f t="shared" ca="1" si="3"/>
        <v/>
      </c>
      <c r="H20" s="238" t="str">
        <f t="shared" ca="1" si="3"/>
        <v/>
      </c>
      <c r="I20" s="238" t="str">
        <f t="shared" ca="1" si="3"/>
        <v/>
      </c>
      <c r="J20" s="238" t="str">
        <f t="shared" ca="1" si="3"/>
        <v/>
      </c>
      <c r="K20" s="238" t="str">
        <f t="shared" ca="1" si="3"/>
        <v/>
      </c>
      <c r="L20" s="238" t="str">
        <f t="shared" ca="1" si="3"/>
        <v/>
      </c>
      <c r="M20" s="238" t="str">
        <f t="shared" ca="1" si="3"/>
        <v/>
      </c>
      <c r="N20" s="238" t="str">
        <f t="shared" ca="1" si="3"/>
        <v/>
      </c>
      <c r="O20" s="238" t="str">
        <f t="shared" ca="1" si="3"/>
        <v/>
      </c>
      <c r="P20" s="238" t="str">
        <f t="shared" ca="1" si="3"/>
        <v/>
      </c>
    </row>
    <row r="21" spans="1:17" x14ac:dyDescent="0.2">
      <c r="A21" t="str">
        <f ca="1">B21&amp;"  - "&amp;D21&amp;" - "&amp;SUM(CleaningSheet!E29:F29,CleaningSheet!J29)</f>
        <v>16  -  - 0</v>
      </c>
      <c r="B21">
        <f t="shared" si="2"/>
        <v>16</v>
      </c>
      <c r="C21" s="238" t="str">
        <f t="shared" ca="1" si="3"/>
        <v/>
      </c>
      <c r="D21" s="238" t="str">
        <f t="shared" ca="1" si="0"/>
        <v/>
      </c>
      <c r="E21" s="229" t="str">
        <f t="shared" ca="1" si="3"/>
        <v/>
      </c>
      <c r="F21" s="229" t="str">
        <f t="shared" ca="1" si="3"/>
        <v/>
      </c>
      <c r="G21" s="238" t="str">
        <f t="shared" ca="1" si="3"/>
        <v/>
      </c>
      <c r="H21" s="238" t="str">
        <f t="shared" ca="1" si="3"/>
        <v/>
      </c>
      <c r="I21" s="238" t="str">
        <f t="shared" ca="1" si="3"/>
        <v/>
      </c>
      <c r="J21" s="238" t="str">
        <f t="shared" ca="1" si="3"/>
        <v/>
      </c>
      <c r="K21" s="238" t="str">
        <f t="shared" ca="1" si="3"/>
        <v/>
      </c>
      <c r="L21" s="238" t="str">
        <f t="shared" ca="1" si="3"/>
        <v/>
      </c>
      <c r="M21" s="238" t="str">
        <f t="shared" ca="1" si="3"/>
        <v/>
      </c>
      <c r="N21" s="238" t="str">
        <f t="shared" ca="1" si="3"/>
        <v/>
      </c>
      <c r="O21" s="238" t="str">
        <f t="shared" ca="1" si="3"/>
        <v/>
      </c>
      <c r="P21" s="238" t="str">
        <f t="shared" ca="1" si="3"/>
        <v/>
      </c>
    </row>
    <row r="22" spans="1:17" x14ac:dyDescent="0.2">
      <c r="A22" t="str">
        <f ca="1">B22&amp;"  - "&amp;D22&amp;" - "&amp;SUM(CleaningSheet!E30:F30,CleaningSheet!J30)</f>
        <v>17  -  - 0</v>
      </c>
      <c r="B22">
        <f t="shared" si="2"/>
        <v>17</v>
      </c>
      <c r="C22" s="238" t="str">
        <f t="shared" ca="1" si="3"/>
        <v/>
      </c>
      <c r="D22" s="238" t="str">
        <f t="shared" ca="1" si="3"/>
        <v/>
      </c>
      <c r="E22" s="229" t="str">
        <f t="shared" ca="1" si="3"/>
        <v/>
      </c>
      <c r="F22" s="229" t="str">
        <f t="shared" ca="1" si="3"/>
        <v/>
      </c>
      <c r="G22" s="238" t="str">
        <f t="shared" ca="1" si="3"/>
        <v/>
      </c>
      <c r="H22" s="238" t="str">
        <f t="shared" ca="1" si="3"/>
        <v/>
      </c>
      <c r="I22" s="238" t="str">
        <f t="shared" ca="1" si="3"/>
        <v/>
      </c>
      <c r="J22" s="238" t="str">
        <f t="shared" ca="1" si="3"/>
        <v/>
      </c>
      <c r="K22" s="238" t="str">
        <f t="shared" ca="1" si="3"/>
        <v/>
      </c>
      <c r="L22" s="238" t="str">
        <f t="shared" ca="1" si="3"/>
        <v/>
      </c>
      <c r="M22" s="238" t="str">
        <f t="shared" ca="1" si="3"/>
        <v/>
      </c>
      <c r="N22" s="238" t="str">
        <f t="shared" ca="1" si="3"/>
        <v/>
      </c>
      <c r="O22" s="238" t="str">
        <f t="shared" ca="1" si="3"/>
        <v/>
      </c>
      <c r="P22" s="238" t="str">
        <f t="shared" ca="1" si="3"/>
        <v/>
      </c>
    </row>
    <row r="23" spans="1:17" x14ac:dyDescent="0.2">
      <c r="A23" t="str">
        <f ca="1">B23&amp;"  - "&amp;D23&amp;" - "&amp;SUM(CleaningSheet!E31:F31,CleaningSheet!J31)</f>
        <v>18  -  - 0</v>
      </c>
      <c r="B23">
        <f t="shared" si="2"/>
        <v>18</v>
      </c>
      <c r="C23" s="238" t="str">
        <f t="shared" ca="1" si="3"/>
        <v/>
      </c>
      <c r="D23" s="238" t="str">
        <f t="shared" ca="1" si="3"/>
        <v/>
      </c>
      <c r="E23" s="229" t="str">
        <f t="shared" ca="1" si="3"/>
        <v/>
      </c>
      <c r="F23" s="229" t="str">
        <f t="shared" ca="1" si="3"/>
        <v/>
      </c>
      <c r="G23" s="238" t="str">
        <f t="shared" ca="1" si="3"/>
        <v/>
      </c>
      <c r="H23" s="238" t="str">
        <f t="shared" ca="1" si="3"/>
        <v/>
      </c>
      <c r="I23" s="238" t="str">
        <f t="shared" ca="1" si="3"/>
        <v/>
      </c>
      <c r="J23" s="238" t="str">
        <f t="shared" ca="1" si="3"/>
        <v/>
      </c>
      <c r="K23" s="238" t="str">
        <f t="shared" ca="1" si="3"/>
        <v/>
      </c>
      <c r="L23" s="238" t="str">
        <f t="shared" ca="1" si="3"/>
        <v/>
      </c>
      <c r="M23" s="238" t="str">
        <f t="shared" ca="1" si="3"/>
        <v/>
      </c>
      <c r="N23" s="238" t="str">
        <f t="shared" ca="1" si="3"/>
        <v/>
      </c>
      <c r="O23" s="238" t="str">
        <f t="shared" ca="1" si="3"/>
        <v/>
      </c>
      <c r="P23" s="238" t="str">
        <f t="shared" ca="1" si="3"/>
        <v/>
      </c>
    </row>
    <row r="24" spans="1:17" x14ac:dyDescent="0.2">
      <c r="A24" t="str">
        <f ca="1">B24&amp;"  - "&amp;D24&amp;" - "&amp;SUM(CleaningSheet!E32:F32,CleaningSheet!J32)</f>
        <v>19  -  - 0</v>
      </c>
      <c r="B24">
        <f t="shared" si="2"/>
        <v>19</v>
      </c>
      <c r="C24" s="238" t="str">
        <f t="shared" ca="1" si="3"/>
        <v/>
      </c>
      <c r="D24" s="238" t="str">
        <f t="shared" ca="1" si="3"/>
        <v/>
      </c>
      <c r="E24" s="229" t="str">
        <f t="shared" ca="1" si="3"/>
        <v/>
      </c>
      <c r="F24" s="229" t="str">
        <f t="shared" ca="1" si="3"/>
        <v/>
      </c>
      <c r="G24" s="238" t="str">
        <f t="shared" ca="1" si="3"/>
        <v/>
      </c>
      <c r="H24" s="238" t="str">
        <f t="shared" ca="1" si="3"/>
        <v/>
      </c>
      <c r="I24" s="238" t="str">
        <f t="shared" ca="1" si="3"/>
        <v/>
      </c>
      <c r="J24" s="238" t="str">
        <f t="shared" ca="1" si="3"/>
        <v/>
      </c>
      <c r="K24" s="238" t="str">
        <f t="shared" ca="1" si="3"/>
        <v/>
      </c>
      <c r="L24" s="238" t="str">
        <f t="shared" ca="1" si="3"/>
        <v/>
      </c>
      <c r="M24" s="238" t="str">
        <f t="shared" ca="1" si="3"/>
        <v/>
      </c>
      <c r="N24" s="238" t="str">
        <f t="shared" ca="1" si="3"/>
        <v/>
      </c>
      <c r="O24" s="238" t="str">
        <f t="shared" ca="1" si="3"/>
        <v/>
      </c>
      <c r="P24" s="238" t="str">
        <f t="shared" ca="1" si="3"/>
        <v/>
      </c>
    </row>
    <row r="25" spans="1:17" x14ac:dyDescent="0.2">
      <c r="A25" t="str">
        <f ca="1">B25&amp;"  - "&amp;D25&amp;" - "&amp;SUM(CleaningSheet!E33:F33,CleaningSheet!J33)</f>
        <v xml:space="preserve">  -  - 0</v>
      </c>
      <c r="D25" s="238" t="str">
        <f t="shared" ca="1" si="3"/>
        <v/>
      </c>
      <c r="E25" s="238" t="str">
        <f t="shared" ref="E25:P36" ca="1" si="4">IFERROR(INDIRECT("'"&amp;$B$4&amp;$A25&amp;"'!"&amp;E$4),"")</f>
        <v/>
      </c>
      <c r="F25" s="238" t="str">
        <f t="shared" ca="1" si="4"/>
        <v/>
      </c>
      <c r="G25" s="238" t="str">
        <f t="shared" ca="1" si="4"/>
        <v/>
      </c>
      <c r="H25" s="238" t="str">
        <f t="shared" ca="1" si="4"/>
        <v/>
      </c>
      <c r="I25" s="238" t="str">
        <f t="shared" ca="1" si="4"/>
        <v/>
      </c>
      <c r="J25" s="238" t="str">
        <f t="shared" ca="1" si="4"/>
        <v/>
      </c>
      <c r="K25" s="238" t="str">
        <f t="shared" ca="1" si="4"/>
        <v/>
      </c>
      <c r="L25" s="238" t="str">
        <f t="shared" ca="1" si="4"/>
        <v/>
      </c>
      <c r="M25" s="238" t="str">
        <f t="shared" ca="1" si="4"/>
        <v/>
      </c>
      <c r="N25" s="238" t="str">
        <f t="shared" ca="1" si="4"/>
        <v/>
      </c>
      <c r="O25" s="238" t="str">
        <f t="shared" ca="1" si="4"/>
        <v/>
      </c>
      <c r="P25" s="238" t="str">
        <f t="shared" ca="1" si="4"/>
        <v/>
      </c>
    </row>
    <row r="26" spans="1:17" x14ac:dyDescent="0.2">
      <c r="A26" t="str">
        <f ca="1">B26&amp;"  - "&amp;D26&amp;" - "&amp;SUM(CleaningSheet!E34:F34,CleaningSheet!J34)</f>
        <v xml:space="preserve">  -  - 0</v>
      </c>
      <c r="D26" s="238" t="str">
        <f t="shared" ca="1" si="3"/>
        <v/>
      </c>
      <c r="E26" s="238" t="str">
        <f t="shared" ca="1" si="4"/>
        <v/>
      </c>
      <c r="F26" s="238" t="str">
        <f t="shared" ca="1" si="4"/>
        <v/>
      </c>
      <c r="G26" s="238" t="str">
        <f t="shared" ca="1" si="4"/>
        <v/>
      </c>
      <c r="H26" s="238" t="str">
        <f t="shared" ca="1" si="4"/>
        <v/>
      </c>
      <c r="I26" s="238" t="str">
        <f t="shared" ca="1" si="4"/>
        <v/>
      </c>
      <c r="J26" s="238" t="str">
        <f t="shared" ca="1" si="4"/>
        <v/>
      </c>
      <c r="K26" s="238" t="str">
        <f t="shared" ca="1" si="4"/>
        <v/>
      </c>
      <c r="L26" s="238" t="str">
        <f t="shared" ca="1" si="4"/>
        <v/>
      </c>
      <c r="M26" s="238" t="str">
        <f t="shared" ca="1" si="4"/>
        <v/>
      </c>
      <c r="N26" s="238" t="str">
        <f t="shared" ca="1" si="4"/>
        <v/>
      </c>
      <c r="O26" s="238" t="str">
        <f t="shared" ca="1" si="4"/>
        <v/>
      </c>
      <c r="P26" s="238" t="str">
        <f t="shared" ca="1" si="4"/>
        <v/>
      </c>
    </row>
    <row r="27" spans="1:17" x14ac:dyDescent="0.2">
      <c r="A27" t="str">
        <f ca="1">B27&amp;"  - "&amp;D27&amp;" - "&amp;SUM(CleaningSheet!E35:F35,CleaningSheet!J35)</f>
        <v xml:space="preserve">  -  - 0</v>
      </c>
      <c r="D27" s="238" t="str">
        <f t="shared" ca="1" si="3"/>
        <v/>
      </c>
      <c r="E27" s="238" t="str">
        <f t="shared" ca="1" si="4"/>
        <v/>
      </c>
      <c r="F27" s="238" t="str">
        <f t="shared" ca="1" si="4"/>
        <v/>
      </c>
      <c r="G27" s="238" t="str">
        <f t="shared" ca="1" si="4"/>
        <v/>
      </c>
      <c r="H27" s="238" t="str">
        <f t="shared" ca="1" si="4"/>
        <v/>
      </c>
      <c r="I27" s="238" t="str">
        <f t="shared" ca="1" si="4"/>
        <v/>
      </c>
      <c r="J27" s="238" t="str">
        <f t="shared" ca="1" si="4"/>
        <v/>
      </c>
      <c r="K27" s="238" t="str">
        <f t="shared" ca="1" si="4"/>
        <v/>
      </c>
      <c r="L27" s="238" t="str">
        <f t="shared" ca="1" si="4"/>
        <v/>
      </c>
      <c r="M27" s="238" t="str">
        <f t="shared" ca="1" si="4"/>
        <v/>
      </c>
      <c r="N27" s="238" t="str">
        <f t="shared" ca="1" si="4"/>
        <v/>
      </c>
      <c r="O27" s="238" t="str">
        <f t="shared" ca="1" si="4"/>
        <v/>
      </c>
      <c r="P27" s="238" t="str">
        <f t="shared" ca="1" si="4"/>
        <v/>
      </c>
    </row>
    <row r="28" spans="1:17" x14ac:dyDescent="0.2">
      <c r="A28" t="str">
        <f ca="1">B28&amp;"  - "&amp;D28&amp;" - "&amp;SUM(CleaningSheet!E36:F36,CleaningSheet!J36)</f>
        <v xml:space="preserve">  -  - 0</v>
      </c>
      <c r="D28" s="238" t="str">
        <f t="shared" ca="1" si="3"/>
        <v/>
      </c>
      <c r="E28" s="238" t="str">
        <f t="shared" ca="1" si="4"/>
        <v/>
      </c>
      <c r="F28" s="238" t="str">
        <f t="shared" ca="1" si="4"/>
        <v/>
      </c>
      <c r="G28" s="238" t="str">
        <f t="shared" ca="1" si="4"/>
        <v/>
      </c>
      <c r="H28" s="238" t="str">
        <f t="shared" ca="1" si="4"/>
        <v/>
      </c>
      <c r="I28" s="238" t="str">
        <f t="shared" ca="1" si="4"/>
        <v/>
      </c>
      <c r="J28" s="238" t="str">
        <f t="shared" ca="1" si="4"/>
        <v/>
      </c>
      <c r="K28" s="238" t="str">
        <f t="shared" ca="1" si="4"/>
        <v/>
      </c>
      <c r="L28" s="238" t="str">
        <f t="shared" ca="1" si="4"/>
        <v/>
      </c>
      <c r="M28" s="238" t="str">
        <f t="shared" ca="1" si="4"/>
        <v/>
      </c>
      <c r="N28" s="238" t="str">
        <f t="shared" ca="1" si="4"/>
        <v/>
      </c>
      <c r="O28" s="238" t="str">
        <f t="shared" ca="1" si="4"/>
        <v/>
      </c>
      <c r="P28" s="238" t="str">
        <f t="shared" ca="1" si="4"/>
        <v/>
      </c>
    </row>
    <row r="29" spans="1:17" x14ac:dyDescent="0.2">
      <c r="A29" t="str">
        <f ca="1">B29&amp;"  - "&amp;D29&amp;" - "&amp;SUM(CleaningSheet!E37:F37,CleaningSheet!J37)</f>
        <v xml:space="preserve">  -  - 0</v>
      </c>
      <c r="D29" s="238" t="str">
        <f t="shared" ca="1" si="3"/>
        <v/>
      </c>
      <c r="E29" s="238" t="str">
        <f t="shared" ca="1" si="4"/>
        <v/>
      </c>
      <c r="F29" s="238" t="str">
        <f t="shared" ca="1" si="4"/>
        <v/>
      </c>
      <c r="G29" s="238" t="str">
        <f t="shared" ca="1" si="4"/>
        <v/>
      </c>
      <c r="H29" s="238" t="str">
        <f t="shared" ca="1" si="4"/>
        <v/>
      </c>
      <c r="I29" s="238" t="str">
        <f t="shared" ca="1" si="4"/>
        <v/>
      </c>
      <c r="J29" s="238" t="str">
        <f t="shared" ca="1" si="4"/>
        <v/>
      </c>
      <c r="K29" s="238" t="str">
        <f t="shared" ca="1" si="4"/>
        <v/>
      </c>
      <c r="L29" s="238" t="str">
        <f t="shared" ca="1" si="4"/>
        <v/>
      </c>
      <c r="M29" s="238" t="str">
        <f t="shared" ca="1" si="4"/>
        <v/>
      </c>
      <c r="N29" s="238" t="str">
        <f t="shared" ca="1" si="4"/>
        <v/>
      </c>
      <c r="O29" s="238" t="str">
        <f t="shared" ca="1" si="4"/>
        <v/>
      </c>
      <c r="P29" s="238" t="str">
        <f t="shared" ca="1" si="4"/>
        <v/>
      </c>
    </row>
    <row r="30" spans="1:17" x14ac:dyDescent="0.2">
      <c r="A30" t="str">
        <f ca="1">B30&amp;"  - "&amp;D30&amp;" - "&amp;SUM(CleaningSheet!E38:F38,CleaningSheet!J38)</f>
        <v xml:space="preserve">  -  - 0</v>
      </c>
      <c r="D30" s="238" t="str">
        <f t="shared" ca="1" si="3"/>
        <v/>
      </c>
      <c r="E30" s="238" t="str">
        <f t="shared" ca="1" si="4"/>
        <v/>
      </c>
      <c r="F30" s="238" t="str">
        <f t="shared" ca="1" si="4"/>
        <v/>
      </c>
      <c r="G30" s="238" t="str">
        <f t="shared" ca="1" si="4"/>
        <v/>
      </c>
      <c r="H30" s="238" t="str">
        <f t="shared" ca="1" si="4"/>
        <v/>
      </c>
      <c r="I30" s="238" t="str">
        <f t="shared" ca="1" si="4"/>
        <v/>
      </c>
      <c r="J30" s="238" t="str">
        <f t="shared" ca="1" si="4"/>
        <v/>
      </c>
      <c r="K30" s="238" t="str">
        <f t="shared" ca="1" si="4"/>
        <v/>
      </c>
      <c r="L30" s="238" t="str">
        <f t="shared" ca="1" si="4"/>
        <v/>
      </c>
      <c r="M30" s="238" t="str">
        <f t="shared" ca="1" si="4"/>
        <v/>
      </c>
      <c r="N30" s="238" t="str">
        <f t="shared" ca="1" si="4"/>
        <v/>
      </c>
      <c r="O30" s="238" t="str">
        <f t="shared" ca="1" si="4"/>
        <v/>
      </c>
      <c r="P30" s="238" t="str">
        <f t="shared" ca="1" si="4"/>
        <v/>
      </c>
    </row>
    <row r="31" spans="1:17" x14ac:dyDescent="0.2">
      <c r="A31" t="str">
        <f ca="1">B31&amp;"  - "&amp;D31&amp;" - "&amp;SUM(CleaningSheet!E39:F39,CleaningSheet!J39)</f>
        <v xml:space="preserve">  -  - 0</v>
      </c>
      <c r="D31" s="238" t="str">
        <f t="shared" ca="1" si="3"/>
        <v/>
      </c>
      <c r="E31" s="238" t="str">
        <f t="shared" ca="1" si="4"/>
        <v/>
      </c>
      <c r="F31" s="238" t="str">
        <f t="shared" ca="1" si="4"/>
        <v/>
      </c>
      <c r="G31" s="238" t="str">
        <f t="shared" ca="1" si="4"/>
        <v/>
      </c>
      <c r="H31" s="238" t="str">
        <f t="shared" ca="1" si="4"/>
        <v/>
      </c>
      <c r="I31" s="238" t="str">
        <f t="shared" ca="1" si="4"/>
        <v/>
      </c>
      <c r="J31" s="238" t="str">
        <f t="shared" ca="1" si="4"/>
        <v/>
      </c>
      <c r="K31" s="238" t="str">
        <f t="shared" ca="1" si="4"/>
        <v/>
      </c>
      <c r="L31" s="238" t="str">
        <f t="shared" ca="1" si="4"/>
        <v/>
      </c>
      <c r="M31" s="238" t="str">
        <f t="shared" ca="1" si="4"/>
        <v/>
      </c>
      <c r="N31" s="238" t="str">
        <f t="shared" ca="1" si="4"/>
        <v/>
      </c>
      <c r="O31" s="238" t="str">
        <f t="shared" ca="1" si="4"/>
        <v/>
      </c>
      <c r="P31" s="238" t="str">
        <f t="shared" ca="1" si="4"/>
        <v/>
      </c>
    </row>
    <row r="32" spans="1:17" x14ac:dyDescent="0.2">
      <c r="A32" t="str">
        <f ca="1">B32&amp;"  - "&amp;D32&amp;" - "&amp;SUM(CleaningSheet!E40:F40,CleaningSheet!J40)</f>
        <v xml:space="preserve">  -  - 0</v>
      </c>
      <c r="D32" s="238" t="str">
        <f t="shared" ref="D32:D36" ca="1" si="5">IFERROR(INDIRECT("'"&amp;$B$4&amp;$B32&amp;"'!"&amp;D$4),"")</f>
        <v/>
      </c>
      <c r="E32" s="238" t="str">
        <f t="shared" ca="1" si="4"/>
        <v/>
      </c>
      <c r="F32" s="238" t="str">
        <f t="shared" ca="1" si="4"/>
        <v/>
      </c>
      <c r="G32" s="238" t="str">
        <f t="shared" ca="1" si="4"/>
        <v/>
      </c>
      <c r="H32" s="238" t="str">
        <f t="shared" ca="1" si="4"/>
        <v/>
      </c>
      <c r="I32" s="238" t="str">
        <f t="shared" ca="1" si="4"/>
        <v/>
      </c>
      <c r="J32" s="238" t="str">
        <f t="shared" ca="1" si="4"/>
        <v/>
      </c>
      <c r="K32" s="238" t="str">
        <f t="shared" ca="1" si="4"/>
        <v/>
      </c>
      <c r="L32" s="238" t="str">
        <f t="shared" ca="1" si="4"/>
        <v/>
      </c>
      <c r="M32" s="238" t="str">
        <f t="shared" ca="1" si="4"/>
        <v/>
      </c>
      <c r="N32" s="238" t="str">
        <f t="shared" ca="1" si="4"/>
        <v/>
      </c>
      <c r="O32" s="238" t="str">
        <f t="shared" ca="1" si="4"/>
        <v/>
      </c>
      <c r="P32" s="238" t="str">
        <f t="shared" ca="1" si="4"/>
        <v/>
      </c>
    </row>
    <row r="33" spans="1:16" x14ac:dyDescent="0.2">
      <c r="A33" t="str">
        <f ca="1">B33&amp;"  - "&amp;D33&amp;" - "&amp;SUM(CleaningSheet!E41:F41,CleaningSheet!J41)</f>
        <v xml:space="preserve">  -  - 0</v>
      </c>
      <c r="D33" s="238" t="str">
        <f t="shared" ca="1" si="5"/>
        <v/>
      </c>
      <c r="E33" s="238" t="str">
        <f t="shared" ca="1" si="4"/>
        <v/>
      </c>
      <c r="F33" s="238" t="str">
        <f t="shared" ca="1" si="4"/>
        <v/>
      </c>
      <c r="G33" s="238" t="str">
        <f t="shared" ca="1" si="4"/>
        <v/>
      </c>
      <c r="H33" s="238" t="str">
        <f t="shared" ca="1" si="4"/>
        <v/>
      </c>
      <c r="I33" s="238" t="str">
        <f t="shared" ca="1" si="4"/>
        <v/>
      </c>
      <c r="J33" s="238" t="str">
        <f t="shared" ca="1" si="4"/>
        <v/>
      </c>
      <c r="K33" s="238" t="str">
        <f t="shared" ca="1" si="4"/>
        <v/>
      </c>
      <c r="L33" s="238" t="str">
        <f t="shared" ca="1" si="4"/>
        <v/>
      </c>
      <c r="M33" s="238" t="str">
        <f t="shared" ca="1" si="4"/>
        <v/>
      </c>
      <c r="N33" s="238" t="str">
        <f t="shared" ca="1" si="4"/>
        <v/>
      </c>
      <c r="O33" s="238" t="str">
        <f t="shared" ca="1" si="4"/>
        <v/>
      </c>
      <c r="P33" s="238" t="str">
        <f t="shared" ca="1" si="4"/>
        <v/>
      </c>
    </row>
    <row r="34" spans="1:16" x14ac:dyDescent="0.2">
      <c r="A34" t="str">
        <f ca="1">B34&amp;"  - "&amp;D34&amp;" - "&amp;SUM(CleaningSheet!E42:F42,CleaningSheet!J42)</f>
        <v xml:space="preserve">  -  - 0</v>
      </c>
      <c r="D34" s="238" t="str">
        <f t="shared" ca="1" si="5"/>
        <v/>
      </c>
      <c r="E34" s="238" t="str">
        <f t="shared" ca="1" si="4"/>
        <v/>
      </c>
      <c r="F34" s="238" t="str">
        <f t="shared" ca="1" si="4"/>
        <v/>
      </c>
      <c r="G34" s="238" t="str">
        <f t="shared" ca="1" si="4"/>
        <v/>
      </c>
      <c r="H34" s="238" t="str">
        <f t="shared" ca="1" si="4"/>
        <v/>
      </c>
      <c r="I34" s="238" t="str">
        <f t="shared" ca="1" si="4"/>
        <v/>
      </c>
      <c r="J34" s="238" t="str">
        <f t="shared" ca="1" si="4"/>
        <v/>
      </c>
      <c r="K34" s="238" t="str">
        <f t="shared" ca="1" si="4"/>
        <v/>
      </c>
      <c r="L34" s="238" t="str">
        <f t="shared" ca="1" si="4"/>
        <v/>
      </c>
      <c r="M34" s="238" t="str">
        <f t="shared" ca="1" si="4"/>
        <v/>
      </c>
      <c r="N34" s="238" t="str">
        <f t="shared" ca="1" si="4"/>
        <v/>
      </c>
      <c r="O34" s="238" t="str">
        <f t="shared" ca="1" si="4"/>
        <v/>
      </c>
      <c r="P34" s="238" t="str">
        <f t="shared" ca="1" si="4"/>
        <v/>
      </c>
    </row>
    <row r="35" spans="1:16" x14ac:dyDescent="0.2">
      <c r="A35" t="str">
        <f ca="1">B35&amp;"  - "&amp;D35&amp;" - "&amp;SUM(CleaningSheet!E43:F43,CleaningSheet!J43)</f>
        <v xml:space="preserve">  -  - 0</v>
      </c>
      <c r="D35" s="238" t="str">
        <f t="shared" ca="1" si="5"/>
        <v/>
      </c>
      <c r="E35" s="238" t="str">
        <f t="shared" ca="1" si="4"/>
        <v/>
      </c>
      <c r="F35" s="238" t="str">
        <f t="shared" ca="1" si="4"/>
        <v/>
      </c>
      <c r="G35" s="238" t="str">
        <f t="shared" ca="1" si="4"/>
        <v/>
      </c>
      <c r="H35" s="238" t="str">
        <f t="shared" ca="1" si="4"/>
        <v/>
      </c>
      <c r="I35" s="238" t="str">
        <f t="shared" ca="1" si="4"/>
        <v/>
      </c>
      <c r="J35" s="238" t="str">
        <f t="shared" ca="1" si="4"/>
        <v/>
      </c>
      <c r="K35" s="238" t="str">
        <f t="shared" ca="1" si="4"/>
        <v/>
      </c>
      <c r="L35" s="238" t="str">
        <f t="shared" ca="1" si="4"/>
        <v/>
      </c>
      <c r="M35" s="238" t="str">
        <f t="shared" ca="1" si="4"/>
        <v/>
      </c>
      <c r="N35" s="238" t="str">
        <f t="shared" ca="1" si="4"/>
        <v/>
      </c>
      <c r="O35" s="238" t="str">
        <f t="shared" ca="1" si="4"/>
        <v/>
      </c>
      <c r="P35" s="238" t="str">
        <f t="shared" ca="1" si="4"/>
        <v/>
      </c>
    </row>
    <row r="36" spans="1:16" x14ac:dyDescent="0.2">
      <c r="A36" t="str">
        <f ca="1">B36&amp;"  - "&amp;D36&amp;" - "&amp;SUM(CleaningSheet!E44:F44,CleaningSheet!J44)</f>
        <v xml:space="preserve">  -  - 0</v>
      </c>
      <c r="D36" s="238" t="str">
        <f t="shared" ca="1" si="5"/>
        <v/>
      </c>
      <c r="E36" s="238" t="str">
        <f t="shared" ca="1" si="4"/>
        <v/>
      </c>
      <c r="F36" s="238" t="str">
        <f t="shared" ca="1" si="4"/>
        <v/>
      </c>
      <c r="G36" s="238" t="str">
        <f t="shared" ca="1" si="4"/>
        <v/>
      </c>
      <c r="H36" s="238" t="str">
        <f t="shared" ca="1" si="4"/>
        <v/>
      </c>
      <c r="I36" s="238" t="str">
        <f t="shared" ca="1" si="4"/>
        <v/>
      </c>
      <c r="J36" s="238" t="str">
        <f t="shared" ca="1" si="4"/>
        <v/>
      </c>
      <c r="K36" s="238" t="str">
        <f t="shared" ca="1" si="4"/>
        <v/>
      </c>
      <c r="L36" s="238" t="str">
        <f t="shared" ca="1" si="4"/>
        <v/>
      </c>
      <c r="M36" s="238" t="str">
        <f t="shared" ca="1" si="4"/>
        <v/>
      </c>
      <c r="N36" s="238" t="str">
        <f t="shared" ca="1" si="4"/>
        <v/>
      </c>
      <c r="O36" s="238" t="str">
        <f t="shared" ca="1" si="4"/>
        <v/>
      </c>
      <c r="P36" s="238" t="str">
        <f t="shared" ca="1" si="4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FF0000"/>
  </sheetPr>
  <dimension ref="A3:AQ27"/>
  <sheetViews>
    <sheetView workbookViewId="0">
      <selection activeCell="U7" sqref="U7"/>
    </sheetView>
  </sheetViews>
  <sheetFormatPr defaultRowHeight="12.75" x14ac:dyDescent="0.2"/>
  <cols>
    <col min="3" max="3" width="22.28515625" bestFit="1" customWidth="1"/>
    <col min="4" max="4" width="23" bestFit="1" customWidth="1"/>
    <col min="5" max="5" width="15.5703125" bestFit="1" customWidth="1"/>
    <col min="6" max="6" width="16.140625" bestFit="1" customWidth="1"/>
    <col min="7" max="7" width="10.5703125" bestFit="1" customWidth="1"/>
    <col min="8" max="8" width="8.85546875" bestFit="1" customWidth="1"/>
    <col min="9" max="9" width="18.5703125" bestFit="1" customWidth="1"/>
    <col min="10" max="10" width="29.7109375" bestFit="1" customWidth="1"/>
    <col min="11" max="11" width="20.28515625" bestFit="1" customWidth="1"/>
    <col min="12" max="12" width="24.5703125" bestFit="1" customWidth="1"/>
    <col min="13" max="13" width="23.42578125" bestFit="1" customWidth="1"/>
    <col min="14" max="14" width="19.140625" bestFit="1" customWidth="1"/>
    <col min="15" max="15" width="20.7109375" bestFit="1" customWidth="1"/>
    <col min="16" max="16" width="19.85546875" bestFit="1" customWidth="1"/>
  </cols>
  <sheetData>
    <row r="3" spans="1:43" s="233" customFormat="1" ht="51" x14ac:dyDescent="0.2">
      <c r="B3" s="233" t="s">
        <v>955</v>
      </c>
      <c r="C3" s="233" t="s">
        <v>719</v>
      </c>
      <c r="D3" s="233" t="s">
        <v>720</v>
      </c>
      <c r="E3" s="278" t="s">
        <v>956</v>
      </c>
      <c r="F3" s="278" t="s">
        <v>957</v>
      </c>
      <c r="G3" s="279" t="s">
        <v>958</v>
      </c>
      <c r="H3" s="280" t="s">
        <v>959</v>
      </c>
      <c r="I3" s="279" t="s">
        <v>960</v>
      </c>
      <c r="J3" s="279" t="s">
        <v>961</v>
      </c>
      <c r="K3" s="279" t="s">
        <v>962</v>
      </c>
      <c r="L3" s="279" t="s">
        <v>963</v>
      </c>
      <c r="M3" s="279" t="s">
        <v>964</v>
      </c>
      <c r="N3" s="279" t="s">
        <v>965</v>
      </c>
      <c r="O3" s="279" t="s">
        <v>966</v>
      </c>
      <c r="P3" s="233" t="s">
        <v>967</v>
      </c>
      <c r="Q3" s="233" t="s">
        <v>1026</v>
      </c>
      <c r="R3" s="279" t="s">
        <v>1027</v>
      </c>
      <c r="S3" s="279" t="s">
        <v>1028</v>
      </c>
      <c r="T3" s="279" t="s">
        <v>1029</v>
      </c>
      <c r="U3" s="279" t="s">
        <v>1030</v>
      </c>
      <c r="V3" s="233" t="s">
        <v>1031</v>
      </c>
      <c r="W3" s="233" t="s">
        <v>1032</v>
      </c>
      <c r="X3" s="246" t="s">
        <v>1033</v>
      </c>
      <c r="Y3" s="233" t="s">
        <v>1034</v>
      </c>
      <c r="Z3" s="233" t="s">
        <v>1035</v>
      </c>
      <c r="AA3" s="233" t="s">
        <v>1036</v>
      </c>
      <c r="AB3" s="233" t="s">
        <v>1037</v>
      </c>
      <c r="AC3" s="233" t="s">
        <v>1038</v>
      </c>
      <c r="AD3" s="233" t="s">
        <v>1039</v>
      </c>
      <c r="AE3" s="233" t="s">
        <v>1040</v>
      </c>
      <c r="AF3" s="233" t="s">
        <v>1041</v>
      </c>
      <c r="AG3" s="233" t="s">
        <v>1042</v>
      </c>
      <c r="AH3" s="233" t="s">
        <v>1043</v>
      </c>
      <c r="AJ3" s="246"/>
      <c r="AK3" s="246"/>
      <c r="AL3" s="246"/>
      <c r="AM3" s="246"/>
      <c r="AN3" s="246"/>
      <c r="AO3" s="246"/>
      <c r="AP3" s="246"/>
      <c r="AQ3" s="246"/>
    </row>
    <row r="6" spans="1:43" x14ac:dyDescent="0.2">
      <c r="A6">
        <v>1</v>
      </c>
      <c r="B6" t="str">
        <f t="shared" ref="B6:B24" ca="1" si="0">IFERROR(INDIRECT("'"&amp;$A$4&amp;$A6&amp;"'!"&amp;B$4),"")</f>
        <v/>
      </c>
      <c r="C6" t="str">
        <f ca="1">output_ss!C6</f>
        <v>Main Office</v>
      </c>
      <c r="D6" t="str">
        <f ca="1">output_ss!D6</f>
        <v>17474 Old Jefferson Hwy</v>
      </c>
      <c r="E6" s="236">
        <f ca="1">output_viki!E6-output_ss!E6</f>
        <v>1622.6436137999997</v>
      </c>
      <c r="F6" s="236">
        <f ca="1">(output_viki!G6+output_viki!F6)-output_ss!F6</f>
        <v>-283.40633310000015</v>
      </c>
      <c r="G6" s="236"/>
      <c r="H6" s="236">
        <f ca="1">output_viki!H6-output_ss!H6</f>
        <v>-0.25048016560000003</v>
      </c>
      <c r="I6" s="236">
        <f ca="1">output_viki!I6-output_ss!I6</f>
        <v>0</v>
      </c>
      <c r="J6" s="236">
        <f ca="1">output_viki!J6-output_ss!J6</f>
        <v>0</v>
      </c>
      <c r="K6" s="236">
        <f ca="1">output_viki!K6-output_ss!K6</f>
        <v>0</v>
      </c>
      <c r="L6" s="236">
        <f ca="1">output_viki!L6-output_ss!L6</f>
        <v>0.19000000000000006</v>
      </c>
      <c r="M6" s="236">
        <f ca="1">output_viki!M6-output_ss!M6</f>
        <v>0</v>
      </c>
      <c r="N6" s="236">
        <f ca="1">output_viki!N6-output_ss!N6</f>
        <v>0.1046649999999999</v>
      </c>
      <c r="O6" s="236">
        <f ca="1">output_viki!O6-output_ss!O6</f>
        <v>0</v>
      </c>
      <c r="P6" s="236">
        <f ca="1">output_viki!P6-output_ss!P6</f>
        <v>-0.14999999999999991</v>
      </c>
      <c r="Q6" s="236">
        <f ca="1">output_viki!Q6-output_ss!Q6</f>
        <v>-6.2038074000000054E-2</v>
      </c>
      <c r="R6" s="236">
        <f ca="1">output_viki!R6-output_ss!R6</f>
        <v>0</v>
      </c>
      <c r="S6" s="236">
        <f ca="1">output_viki!S6-output_ss!S6</f>
        <v>123.54134363999999</v>
      </c>
      <c r="T6" s="236">
        <f ca="1">output_viki!T6-output_ss!T6</f>
        <v>44.623484367000003</v>
      </c>
      <c r="U6" s="236">
        <f ca="1">output_viki!U6-output_ss!U6</f>
        <v>0</v>
      </c>
      <c r="V6" s="236">
        <f ca="1">output_viki!V6-output_ss!V6</f>
        <v>0</v>
      </c>
      <c r="W6" s="236">
        <f ca="1">output_viki!W6-output_ss!W6</f>
        <v>170.91325746000001</v>
      </c>
      <c r="X6" s="236">
        <f ca="1">output_viki!X6-output_ss!X6</f>
        <v>0</v>
      </c>
      <c r="Y6" s="236" t="e">
        <f ca="1">output_viki!Y6-output_ss!Y6</f>
        <v>#VALUE!</v>
      </c>
      <c r="Z6" s="236" t="e">
        <f ca="1">output_viki!Z6-output_ss!Z6</f>
        <v>#VALUE!</v>
      </c>
      <c r="AA6" s="236">
        <f ca="1">output_viki!AA6-output_ss!AA6</f>
        <v>0</v>
      </c>
      <c r="AB6" s="236">
        <f ca="1">output_viki!AB6-output_ss!AB6</f>
        <v>-99.75</v>
      </c>
      <c r="AC6" s="236">
        <f ca="1">output_viki!AC6-output_ss!AC6</f>
        <v>234.1274047695</v>
      </c>
      <c r="AD6" s="236">
        <f ca="1">output_viki!AD6-output_ss!AD6</f>
        <v>0</v>
      </c>
      <c r="AE6" s="236" t="e">
        <f ca="1">output_viki!AE6-output_ss!AE6</f>
        <v>#VALUE!</v>
      </c>
      <c r="AF6" s="236">
        <f ca="1">output_viki!AF6-output_ss!AF6</f>
        <v>0</v>
      </c>
      <c r="AG6" s="236">
        <f>output_viki!AG6-output_ss!AG6</f>
        <v>0</v>
      </c>
      <c r="AH6" s="236">
        <f>output_viki!AH6-output_ss!AH6</f>
        <v>0</v>
      </c>
    </row>
    <row r="7" spans="1:43" x14ac:dyDescent="0.2">
      <c r="A7">
        <f>A6+1</f>
        <v>2</v>
      </c>
      <c r="B7" t="str">
        <f t="shared" ca="1" si="0"/>
        <v/>
      </c>
      <c r="C7" t="str">
        <f ca="1">output_ss!C7</f>
        <v>Structural Shop</v>
      </c>
      <c r="D7" t="str">
        <f ca="1">output_ss!D7</f>
        <v>17474 Old Jefferson Hwy</v>
      </c>
      <c r="E7" s="236">
        <f ca="1">output_viki!E7-output_ss!E7</f>
        <v>1121.215853366235</v>
      </c>
      <c r="F7" s="236">
        <f ca="1">(output_viki!G7+output_viki!F7)-output_ss!F7</f>
        <v>713.13959969999996</v>
      </c>
      <c r="G7" s="236"/>
      <c r="H7" s="236">
        <f ca="1">output_viki!H7-output_ss!H7</f>
        <v>-0.21420563519999999</v>
      </c>
      <c r="I7" s="236">
        <f ca="1">output_viki!I7-output_ss!I7</f>
        <v>0</v>
      </c>
      <c r="J7" s="236">
        <f ca="1">output_viki!J7-output_ss!J7</f>
        <v>0</v>
      </c>
      <c r="K7" s="236">
        <f ca="1">output_viki!K7-output_ss!K7</f>
        <v>0</v>
      </c>
      <c r="L7" s="236">
        <f ca="1">output_viki!L7-output_ss!L7</f>
        <v>0.27</v>
      </c>
      <c r="M7" s="236">
        <f ca="1">output_viki!M7-output_ss!M7</f>
        <v>0</v>
      </c>
      <c r="N7" s="236">
        <f ca="1">output_viki!N7-output_ss!N7</f>
        <v>0.20146499999999989</v>
      </c>
      <c r="O7" s="236">
        <f ca="1">output_viki!O7-output_ss!O7</f>
        <v>0</v>
      </c>
      <c r="P7" s="236">
        <f ca="1">output_viki!P7-output_ss!P7</f>
        <v>-0.14999999999999991</v>
      </c>
      <c r="Q7" s="236">
        <f ca="1">output_viki!Q7-output_ss!Q7</f>
        <v>-2.7377200500000032E-2</v>
      </c>
      <c r="R7" s="236">
        <f ca="1">output_viki!R7-output_ss!R7</f>
        <v>0</v>
      </c>
      <c r="S7" s="236">
        <f ca="1">output_viki!S7-output_ss!S7</f>
        <v>414.68423039999999</v>
      </c>
      <c r="T7" s="236">
        <f ca="1">output_viki!T7-output_ss!T7</f>
        <v>67.364656820999997</v>
      </c>
      <c r="U7" s="236">
        <f ca="1">output_viki!U7-output_ss!U7</f>
        <v>0</v>
      </c>
      <c r="V7" s="236">
        <f ca="1">output_viki!V7-output_ss!V7</f>
        <v>0</v>
      </c>
      <c r="W7" s="236">
        <f ca="1">output_viki!W7-output_ss!W7</f>
        <v>159.27644304</v>
      </c>
      <c r="X7" s="236">
        <f ca="1">output_viki!X7-output_ss!X7</f>
        <v>0</v>
      </c>
      <c r="Y7" s="236" t="e">
        <f ca="1">output_viki!Y7-output_ss!Y7</f>
        <v>#VALUE!</v>
      </c>
      <c r="Z7" s="236" t="e">
        <f ca="1">output_viki!Z7-output_ss!Z7</f>
        <v>#VALUE!</v>
      </c>
      <c r="AA7" s="236">
        <f ca="1">output_viki!AA7-output_ss!AA7</f>
        <v>1</v>
      </c>
      <c r="AB7" s="236">
        <f ca="1">output_viki!AB7-output_ss!AB7</f>
        <v>-96.53295</v>
      </c>
      <c r="AC7" s="236">
        <f ca="1">output_viki!AC7-output_ss!AC7</f>
        <v>249.760856268</v>
      </c>
      <c r="AD7" s="236">
        <f ca="1">output_viki!AD7-output_ss!AD7</f>
        <v>0</v>
      </c>
      <c r="AE7" s="236" t="e">
        <f ca="1">output_viki!AE7-output_ss!AE7</f>
        <v>#VALUE!</v>
      </c>
      <c r="AF7" s="236">
        <f ca="1">output_viki!AF7-output_ss!AF7</f>
        <v>0</v>
      </c>
      <c r="AG7" s="236">
        <f>output_viki!AG7-output_ss!AG7</f>
        <v>0</v>
      </c>
      <c r="AH7" s="236">
        <f>output_viki!AH7-output_ss!AH7</f>
        <v>0</v>
      </c>
    </row>
    <row r="8" spans="1:43" x14ac:dyDescent="0.2">
      <c r="A8">
        <f t="shared" ref="A8:A24" si="1">A7+1</f>
        <v>3</v>
      </c>
      <c r="B8" t="str">
        <f t="shared" ca="1" si="0"/>
        <v/>
      </c>
      <c r="C8" t="str">
        <f ca="1">output_ss!C8</f>
        <v>Mechaninc Shop</v>
      </c>
      <c r="D8" t="str">
        <f ca="1">output_ss!D8</f>
        <v>17474 Old Jefferson Hwy</v>
      </c>
      <c r="E8" s="236">
        <f ca="1">output_viki!E8-output_ss!E8</f>
        <v>657.93615691815012</v>
      </c>
      <c r="F8" s="236">
        <f ca="1">(output_viki!G8+output_viki!F8)-output_ss!F8</f>
        <v>411.19501995000002</v>
      </c>
      <c r="G8" s="236"/>
      <c r="H8" s="236">
        <f ca="1">output_viki!H8-output_ss!H8</f>
        <v>-0.21457214903999999</v>
      </c>
      <c r="I8" s="236">
        <f ca="1">output_viki!I8-output_ss!I8</f>
        <v>0</v>
      </c>
      <c r="J8" s="236">
        <f ca="1">output_viki!J8-output_ss!J8</f>
        <v>-9.9999999999999978E-2</v>
      </c>
      <c r="K8" s="236">
        <f ca="1">output_viki!K8-output_ss!K8</f>
        <v>0</v>
      </c>
      <c r="L8" s="236">
        <f ca="1">output_viki!L8-output_ss!L8</f>
        <v>0.19000000000000006</v>
      </c>
      <c r="M8" s="236">
        <f ca="1">output_viki!M8-output_ss!M8</f>
        <v>0</v>
      </c>
      <c r="N8" s="236">
        <f ca="1">output_viki!N8-output_ss!N8</f>
        <v>-1.8150000000001221E-3</v>
      </c>
      <c r="O8" s="236">
        <f ca="1">output_viki!O8-output_ss!O8</f>
        <v>0</v>
      </c>
      <c r="P8" s="236">
        <f ca="1">output_viki!P8-output_ss!P8</f>
        <v>-0.14999999999999991</v>
      </c>
      <c r="Q8" s="236">
        <f ca="1">output_viki!Q8-output_ss!Q8</f>
        <v>-2.7377200500000032E-2</v>
      </c>
      <c r="R8" s="236">
        <f ca="1">output_viki!R8-output_ss!R8</f>
        <v>0</v>
      </c>
      <c r="S8" s="236">
        <f ca="1">output_viki!S8-output_ss!S8</f>
        <v>130.66872885000001</v>
      </c>
      <c r="T8" s="236">
        <f ca="1">output_viki!T8-output_ss!T8</f>
        <v>31.6911322035</v>
      </c>
      <c r="U8" s="236">
        <f ca="1">output_viki!U8-output_ss!U8</f>
        <v>0</v>
      </c>
      <c r="V8" s="236">
        <f ca="1">output_viki!V8-output_ss!V8</f>
        <v>0</v>
      </c>
      <c r="W8" s="236">
        <f ca="1">output_viki!W8-output_ss!W8</f>
        <v>66.349476863999996</v>
      </c>
      <c r="X8" s="236">
        <f ca="1">output_viki!X8-output_ss!X8</f>
        <v>0</v>
      </c>
      <c r="Y8" s="236" t="e">
        <f ca="1">output_viki!Y8-output_ss!Y8</f>
        <v>#VALUE!</v>
      </c>
      <c r="Z8" s="236" t="e">
        <f ca="1">output_viki!Z8-output_ss!Z8</f>
        <v>#VALUE!</v>
      </c>
      <c r="AA8" s="236">
        <f ca="1">output_viki!AA8-output_ss!AA8</f>
        <v>2</v>
      </c>
      <c r="AB8" s="236">
        <f ca="1">output_viki!AB8-output_ss!AB8</f>
        <v>-30.355499999999996</v>
      </c>
      <c r="AC8" s="236">
        <f ca="1">output_viki!AC8-output_ss!AC8</f>
        <v>116.6817753288</v>
      </c>
      <c r="AD8" s="236">
        <f ca="1">output_viki!AD8-output_ss!AD8</f>
        <v>0</v>
      </c>
      <c r="AE8" s="236" t="e">
        <f ca="1">output_viki!AE8-output_ss!AE8</f>
        <v>#VALUE!</v>
      </c>
      <c r="AF8" s="236">
        <f ca="1">output_viki!AF8-output_ss!AF8</f>
        <v>0</v>
      </c>
      <c r="AG8" s="236">
        <f>output_viki!AG8-output_ss!AG8</f>
        <v>0</v>
      </c>
      <c r="AH8" s="236">
        <f>output_viki!AH8-output_ss!AH8</f>
        <v>0</v>
      </c>
    </row>
    <row r="9" spans="1:43" x14ac:dyDescent="0.2">
      <c r="A9">
        <f t="shared" si="1"/>
        <v>4</v>
      </c>
      <c r="B9" t="str">
        <f t="shared" ca="1" si="0"/>
        <v/>
      </c>
      <c r="C9" t="str">
        <f ca="1">output_ss!C9</f>
        <v>Pipe Shop</v>
      </c>
      <c r="D9" t="str">
        <f ca="1">output_ss!D9</f>
        <v>17474 Old Jefferson Hwy</v>
      </c>
      <c r="E9" s="236">
        <f ca="1">output_viki!E9-output_ss!E9</f>
        <v>-874.28550000000018</v>
      </c>
      <c r="F9" s="236">
        <f ca="1">(output_viki!G9+output_viki!F9)-output_ss!F9</f>
        <v>89.8971315</v>
      </c>
      <c r="G9" s="236"/>
      <c r="H9" s="236">
        <f ca="1">output_viki!H9-output_ss!H9</f>
        <v>-0.21438016560000001</v>
      </c>
      <c r="I9" s="236">
        <f ca="1">output_viki!I9-output_ss!I9</f>
        <v>0</v>
      </c>
      <c r="J9" s="236">
        <f ca="1">output_viki!J9-output_ss!J9</f>
        <v>0</v>
      </c>
      <c r="K9" s="236">
        <f ca="1">output_viki!K9-output_ss!K9</f>
        <v>0</v>
      </c>
      <c r="L9" s="236">
        <f ca="1">output_viki!L9-output_ss!L9</f>
        <v>0.19000000000000006</v>
      </c>
      <c r="M9" s="236">
        <f ca="1">output_viki!M9-output_ss!M9</f>
        <v>0</v>
      </c>
      <c r="N9" s="236">
        <f ca="1">output_viki!N9-output_ss!N9</f>
        <v>0.1046649999999999</v>
      </c>
      <c r="O9" s="236">
        <f ca="1">output_viki!O9-output_ss!O9</f>
        <v>0</v>
      </c>
      <c r="P9" s="236">
        <f ca="1">output_viki!P9-output_ss!P9</f>
        <v>-0.14999999999999991</v>
      </c>
      <c r="Q9" s="236">
        <f ca="1">output_viki!Q9-output_ss!Q9</f>
        <v>-2.7377200500000032E-2</v>
      </c>
      <c r="R9" s="236">
        <f ca="1">output_viki!R9-output_ss!R9</f>
        <v>0</v>
      </c>
      <c r="S9" s="236">
        <f ca="1">output_viki!S9-output_ss!S9</f>
        <v>105.590892</v>
      </c>
      <c r="T9" s="236">
        <f ca="1">output_viki!T9-output_ss!T9</f>
        <v>35.367607275000005</v>
      </c>
      <c r="U9" s="236">
        <f ca="1">output_viki!U9-output_ss!U9</f>
        <v>0</v>
      </c>
      <c r="V9" s="236">
        <f ca="1">output_viki!V9-output_ss!V9</f>
        <v>0</v>
      </c>
      <c r="W9" s="236">
        <f ca="1">output_viki!W9-output_ss!W9</f>
        <v>44.636149799999899</v>
      </c>
      <c r="X9" s="236">
        <f ca="1">output_viki!X9-output_ss!X9</f>
        <v>0</v>
      </c>
      <c r="Y9" s="236" t="e">
        <f ca="1">output_viki!Y9-output_ss!Y9</f>
        <v>#VALUE!</v>
      </c>
      <c r="Z9" s="236" t="e">
        <f ca="1">output_viki!Z9-output_ss!Z9</f>
        <v>#VALUE!</v>
      </c>
      <c r="AA9" s="236">
        <f ca="1">output_viki!AA9-output_ss!AA9</f>
        <v>3</v>
      </c>
      <c r="AB9" s="236">
        <f ca="1">output_viki!AB9-output_ss!AB9</f>
        <v>-135</v>
      </c>
      <c r="AC9" s="236">
        <f ca="1">output_viki!AC9-output_ss!AC9</f>
        <v>84.700693934999904</v>
      </c>
      <c r="AD9" s="236">
        <f ca="1">output_viki!AD9-output_ss!AD9</f>
        <v>0</v>
      </c>
      <c r="AE9" s="236" t="e">
        <f ca="1">output_viki!AE9-output_ss!AE9</f>
        <v>#VALUE!</v>
      </c>
      <c r="AF9" s="236">
        <f ca="1">output_viki!AF9-output_ss!AF9</f>
        <v>0</v>
      </c>
      <c r="AG9" s="236">
        <f>output_viki!AG9-output_ss!AG9</f>
        <v>0</v>
      </c>
      <c r="AH9" s="236">
        <f>output_viki!AH9-output_ss!AH9</f>
        <v>0</v>
      </c>
    </row>
    <row r="10" spans="1:43" x14ac:dyDescent="0.2">
      <c r="A10">
        <f t="shared" si="1"/>
        <v>5</v>
      </c>
      <c r="B10" t="str">
        <f t="shared" ca="1" si="0"/>
        <v/>
      </c>
      <c r="C10" t="str">
        <f ca="1">output_ss!C10</f>
        <v>Small Tool Shop</v>
      </c>
      <c r="D10" t="str">
        <f ca="1">output_ss!D10</f>
        <v>17474 Old Jefferson Hwy</v>
      </c>
      <c r="E10" s="236">
        <f ca="1">output_viki!E10-output_ss!E10</f>
        <v>795.19165309980008</v>
      </c>
      <c r="F10" s="236">
        <f ca="1">(output_viki!G10+output_viki!F10)-output_ss!F10</f>
        <v>0</v>
      </c>
      <c r="G10" s="236"/>
      <c r="H10" s="236">
        <f ca="1">output_viki!H10-output_ss!H10</f>
        <v>-0.21457214903999999</v>
      </c>
      <c r="I10" s="236">
        <f ca="1">output_viki!I10-output_ss!I10</f>
        <v>0</v>
      </c>
      <c r="J10" s="236">
        <f ca="1">output_viki!J10-output_ss!J10</f>
        <v>-9.9999999999999978E-2</v>
      </c>
      <c r="K10" s="236">
        <f ca="1">output_viki!K10-output_ss!K10</f>
        <v>0</v>
      </c>
      <c r="L10" s="236">
        <f ca="1">output_viki!L10-output_ss!L10</f>
        <v>0.19000000000000006</v>
      </c>
      <c r="M10" s="236">
        <f ca="1">output_viki!M10-output_ss!M10</f>
        <v>0</v>
      </c>
      <c r="N10" s="236">
        <f ca="1">output_viki!N10-output_ss!N10</f>
        <v>-1.8150000000001221E-3</v>
      </c>
      <c r="O10" s="236">
        <f ca="1">output_viki!O10-output_ss!O10</f>
        <v>0</v>
      </c>
      <c r="P10" s="236">
        <f ca="1">output_viki!P10-output_ss!P10</f>
        <v>-0.14999999999999991</v>
      </c>
      <c r="Q10" s="236">
        <f ca="1">output_viki!Q10-output_ss!Q10</f>
        <v>-2.7377200500000032E-2</v>
      </c>
      <c r="R10" s="236">
        <f ca="1">output_viki!R10-output_ss!R10</f>
        <v>0</v>
      </c>
      <c r="S10" s="236">
        <f ca="1">output_viki!S10-output_ss!S10</f>
        <v>46.824761015999997</v>
      </c>
      <c r="T10" s="236">
        <f ca="1">output_viki!T10-output_ss!T10</f>
        <v>0</v>
      </c>
      <c r="U10" s="236">
        <f ca="1">output_viki!U10-output_ss!U10</f>
        <v>0</v>
      </c>
      <c r="V10" s="236">
        <f ca="1">output_viki!V10-output_ss!V10</f>
        <v>0</v>
      </c>
      <c r="W10" s="236">
        <f ca="1">output_viki!W10-output_ss!W10</f>
        <v>57.278259323999997</v>
      </c>
      <c r="X10" s="236">
        <f ca="1">output_viki!X10-output_ss!X10</f>
        <v>0</v>
      </c>
      <c r="Y10" s="236" t="e">
        <f ca="1">output_viki!Y10-output_ss!Y10</f>
        <v>#VALUE!</v>
      </c>
      <c r="Z10" s="236" t="e">
        <f ca="1">output_viki!Z10-output_ss!Z10</f>
        <v>#VALUE!</v>
      </c>
      <c r="AA10" s="236">
        <f ca="1">output_viki!AA10-output_ss!AA10</f>
        <v>4</v>
      </c>
      <c r="AB10" s="236">
        <f ca="1">output_viki!AB10-output_ss!AB10</f>
        <v>-10.206</v>
      </c>
      <c r="AC10" s="236">
        <f ca="1">output_viki!AC10-output_ss!AC10</f>
        <v>74.533010973299994</v>
      </c>
      <c r="AD10" s="236">
        <f ca="1">output_viki!AD10-output_ss!AD10</f>
        <v>0</v>
      </c>
      <c r="AE10" s="236" t="e">
        <f ca="1">output_viki!AE10-output_ss!AE10</f>
        <v>#VALUE!</v>
      </c>
      <c r="AF10" s="236">
        <f ca="1">output_viki!AF10-output_ss!AF10</f>
        <v>0</v>
      </c>
      <c r="AG10" s="236">
        <f>output_viki!AG10-output_ss!AG10</f>
        <v>0</v>
      </c>
      <c r="AH10" s="236">
        <f>output_viki!AH10-output_ss!AH10</f>
        <v>0</v>
      </c>
    </row>
    <row r="11" spans="1:43" x14ac:dyDescent="0.2">
      <c r="A11">
        <f t="shared" si="1"/>
        <v>6</v>
      </c>
      <c r="B11" t="str">
        <f t="shared" ca="1" si="0"/>
        <v/>
      </c>
      <c r="C11" t="str">
        <f ca="1">output_ss!C11</f>
        <v>Vessel Shop</v>
      </c>
      <c r="D11" t="str">
        <f ca="1">output_ss!D11</f>
        <v>17474 Old Jefferson Hwy</v>
      </c>
      <c r="E11" s="236">
        <f ca="1">output_viki!E11-output_ss!E11</f>
        <v>-8962.298896979999</v>
      </c>
      <c r="F11" s="236">
        <f ca="1">(output_viki!G11+output_viki!F11)-output_ss!F11</f>
        <v>-135.79772250000002</v>
      </c>
      <c r="G11" s="236"/>
      <c r="H11" s="236">
        <f ca="1">output_viki!H11-output_ss!H11</f>
        <v>-0.21457214903999999</v>
      </c>
      <c r="I11" s="236">
        <f ca="1">output_viki!I11-output_ss!I11</f>
        <v>0</v>
      </c>
      <c r="J11" s="236">
        <f ca="1">output_viki!J11-output_ss!J11</f>
        <v>-9.9999999999999978E-2</v>
      </c>
      <c r="K11" s="236">
        <f ca="1">output_viki!K11-output_ss!K11</f>
        <v>0.10000000000000009</v>
      </c>
      <c r="L11" s="236">
        <f ca="1">output_viki!L11-output_ss!L11</f>
        <v>5.0000000000000044E-2</v>
      </c>
      <c r="M11" s="236">
        <f ca="1">output_viki!M11-output_ss!M11</f>
        <v>0</v>
      </c>
      <c r="N11" s="236">
        <f ca="1">output_viki!N11-output_ss!N11</f>
        <v>-9.1629999999999989E-2</v>
      </c>
      <c r="O11" s="236">
        <f ca="1">output_viki!O11-output_ss!O11</f>
        <v>0</v>
      </c>
      <c r="P11" s="236">
        <f ca="1">output_viki!P11-output_ss!P11</f>
        <v>-0.14999999999999991</v>
      </c>
      <c r="Q11" s="236">
        <f ca="1">output_viki!Q11-output_ss!Q11</f>
        <v>-4.6804184999999998E-2</v>
      </c>
      <c r="R11" s="236">
        <f ca="1">output_viki!R11-output_ss!R11</f>
        <v>0</v>
      </c>
      <c r="S11" s="236">
        <f ca="1">output_viki!S11-output_ss!S11</f>
        <v>57.191866775999998</v>
      </c>
      <c r="T11" s="236">
        <f ca="1">output_viki!T11-output_ss!T11</f>
        <v>69.980624175000003</v>
      </c>
      <c r="U11" s="236">
        <f ca="1">output_viki!U11-output_ss!U11</f>
        <v>0</v>
      </c>
      <c r="V11" s="236">
        <f ca="1">output_viki!V11-output_ss!V11</f>
        <v>0</v>
      </c>
      <c r="W11" s="236">
        <f ca="1">output_viki!W11-output_ss!W11</f>
        <v>72.828917963999999</v>
      </c>
      <c r="X11" s="236">
        <f ca="1">output_viki!X11-output_ss!X11</f>
        <v>0</v>
      </c>
      <c r="Y11" s="236" t="e">
        <f ca="1">output_viki!Y11-output_ss!Y11</f>
        <v>#VALUE!</v>
      </c>
      <c r="Z11" s="236" t="e">
        <f ca="1">output_viki!Z11-output_ss!Z11</f>
        <v>#VALUE!</v>
      </c>
      <c r="AA11" s="236">
        <f ca="1">output_viki!AA11-output_ss!AA11</f>
        <v>5</v>
      </c>
      <c r="AB11" s="236">
        <f ca="1">output_viki!AB11-output_ss!AB11</f>
        <v>-705</v>
      </c>
      <c r="AC11" s="236">
        <f ca="1">output_viki!AC11-output_ss!AC11</f>
        <v>123.64717451129999</v>
      </c>
      <c r="AD11" s="236">
        <f ca="1">output_viki!AD11-output_ss!AD11</f>
        <v>0</v>
      </c>
      <c r="AE11" s="236" t="e">
        <f ca="1">output_viki!AE11-output_ss!AE11</f>
        <v>#VALUE!</v>
      </c>
      <c r="AF11" s="236">
        <f ca="1">output_viki!AF11-output_ss!AF11</f>
        <v>0</v>
      </c>
      <c r="AG11" s="236">
        <f>output_viki!AG11-output_ss!AG11</f>
        <v>0</v>
      </c>
      <c r="AH11" s="236">
        <f>output_viki!AH11-output_ss!AH11</f>
        <v>0</v>
      </c>
    </row>
    <row r="12" spans="1:43" x14ac:dyDescent="0.2">
      <c r="A12">
        <f t="shared" si="1"/>
        <v>7</v>
      </c>
      <c r="B12" t="str">
        <f t="shared" ca="1" si="0"/>
        <v/>
      </c>
      <c r="C12" t="str">
        <f ca="1">output_ss!C12</f>
        <v>Human Resources</v>
      </c>
      <c r="D12" t="str">
        <f ca="1">output_ss!D12</f>
        <v>17474 Old Jefferson Hwy</v>
      </c>
      <c r="E12" s="236">
        <f ca="1">output_viki!E12-output_ss!E12</f>
        <v>424.49981573999997</v>
      </c>
      <c r="F12" s="236">
        <f ca="1">(output_viki!G12+output_viki!F12)-output_ss!F12</f>
        <v>-9.8120996325000007</v>
      </c>
      <c r="G12" s="236"/>
      <c r="H12" s="236">
        <f ca="1">output_viki!H12-output_ss!H12</f>
        <v>-0.14948016560000002</v>
      </c>
      <c r="I12" s="236">
        <f ca="1">output_viki!I12-output_ss!I12</f>
        <v>0</v>
      </c>
      <c r="J12" s="236">
        <f ca="1">output_viki!J12-output_ss!J12</f>
        <v>9.9999999999999978E-2</v>
      </c>
      <c r="K12" s="236">
        <f ca="1">output_viki!K12-output_ss!K12</f>
        <v>0</v>
      </c>
      <c r="L12" s="236">
        <f ca="1">output_viki!L12-output_ss!L12</f>
        <v>0.19000000000000006</v>
      </c>
      <c r="M12" s="236">
        <f ca="1">output_viki!M12-output_ss!M12</f>
        <v>0</v>
      </c>
      <c r="N12" s="236">
        <f ca="1">output_viki!N12-output_ss!N12</f>
        <v>0.20067849999999987</v>
      </c>
      <c r="O12" s="236">
        <f ca="1">output_viki!O12-output_ss!O12</f>
        <v>0</v>
      </c>
      <c r="P12" s="236">
        <f ca="1">output_viki!P12-output_ss!P12</f>
        <v>-0.14999999999999991</v>
      </c>
      <c r="Q12" s="236">
        <f ca="1">output_viki!Q12-output_ss!Q12</f>
        <v>4.9472004899999977E-2</v>
      </c>
      <c r="R12" s="236">
        <f ca="1">output_viki!R12-output_ss!R12</f>
        <v>0</v>
      </c>
      <c r="S12" s="236">
        <f ca="1">output_viki!S12-output_ss!S12</f>
        <v>25.149830640000001</v>
      </c>
      <c r="T12" s="236">
        <f ca="1">output_viki!T12-output_ss!T12</f>
        <v>0.68684697427500008</v>
      </c>
      <c r="U12" s="236">
        <f ca="1">output_viki!U12-output_ss!U12</f>
        <v>0</v>
      </c>
      <c r="V12" s="236">
        <f ca="1">output_viki!V12-output_ss!V12</f>
        <v>0</v>
      </c>
      <c r="W12" s="236">
        <f ca="1">output_viki!W12-output_ss!W12</f>
        <v>23.325987959999999</v>
      </c>
      <c r="X12" s="236">
        <f ca="1">output_viki!X12-output_ss!X12</f>
        <v>0</v>
      </c>
      <c r="Y12" s="236" t="e">
        <f ca="1">output_viki!Y12-output_ss!Y12</f>
        <v>#VALUE!</v>
      </c>
      <c r="Z12" s="236" t="e">
        <f ca="1">output_viki!Z12-output_ss!Z12</f>
        <v>#VALUE!</v>
      </c>
      <c r="AA12" s="236">
        <f ca="1">output_viki!AA12-output_ss!AA12</f>
        <v>6</v>
      </c>
      <c r="AB12" s="236">
        <f ca="1">output_viki!AB12-output_ss!AB12</f>
        <v>-10.125</v>
      </c>
      <c r="AC12" s="236">
        <f ca="1">output_viki!AC12-output_ss!AC12</f>
        <v>39.474195056999903</v>
      </c>
      <c r="AD12" s="236">
        <f ca="1">output_viki!AD12-output_ss!AD12</f>
        <v>0</v>
      </c>
      <c r="AE12" s="236" t="e">
        <f ca="1">output_viki!AE12-output_ss!AE12</f>
        <v>#VALUE!</v>
      </c>
      <c r="AF12" s="236">
        <f ca="1">output_viki!AF12-output_ss!AF12</f>
        <v>0</v>
      </c>
      <c r="AG12" s="236">
        <f>output_viki!AG12-output_ss!AG12</f>
        <v>0</v>
      </c>
      <c r="AH12" s="236">
        <f>output_viki!AH12-output_ss!AH12</f>
        <v>0</v>
      </c>
    </row>
    <row r="13" spans="1:43" x14ac:dyDescent="0.2">
      <c r="A13">
        <f t="shared" si="1"/>
        <v>8</v>
      </c>
      <c r="B13" t="str">
        <f t="shared" ca="1" si="0"/>
        <v/>
      </c>
      <c r="C13" t="str">
        <f ca="1">output_ss!C13</f>
        <v>Estimating Office</v>
      </c>
      <c r="D13" t="str">
        <f ca="1">output_ss!D13</f>
        <v>17474 Old Jefferson Hwy</v>
      </c>
      <c r="E13" s="236">
        <f ca="1">output_viki!E13-output_ss!E13</f>
        <v>-231.85628020500008</v>
      </c>
      <c r="F13" s="236">
        <f ca="1">(output_viki!G13+output_viki!F13)-output_ss!F13</f>
        <v>-55.965309015000017</v>
      </c>
      <c r="G13" s="236"/>
      <c r="H13" s="236">
        <f ca="1">output_viki!H13-output_ss!H13</f>
        <v>-0.15140000000000001</v>
      </c>
      <c r="I13" s="236">
        <f ca="1">output_viki!I13-output_ss!I13</f>
        <v>-1</v>
      </c>
      <c r="J13" s="236">
        <f ca="1">output_viki!J13-output_ss!J13</f>
        <v>-1.1000000000000001</v>
      </c>
      <c r="K13" s="236">
        <f ca="1">output_viki!K13-output_ss!K13</f>
        <v>-1.1000000000000001</v>
      </c>
      <c r="L13" s="236">
        <f ca="1">output_viki!L13-output_ss!L13</f>
        <v>-0.69</v>
      </c>
      <c r="M13" s="236">
        <f ca="1">output_viki!M13-output_ss!M13</f>
        <v>-1</v>
      </c>
      <c r="N13" s="236">
        <f ca="1">output_viki!N13-output_ss!N13</f>
        <v>-1.0561485000000002</v>
      </c>
      <c r="O13" s="236">
        <f ca="1">output_viki!O13-output_ss!O13</f>
        <v>-1.1000000000000001</v>
      </c>
      <c r="P13" s="236">
        <f ca="1">output_viki!P13-output_ss!P13</f>
        <v>-1.1499999999999999</v>
      </c>
      <c r="Q13" s="236">
        <f>output_viki!Q13-output_ss!Q13</f>
        <v>0</v>
      </c>
      <c r="R13" s="236">
        <f>output_viki!R13-output_ss!R13</f>
        <v>0</v>
      </c>
      <c r="S13" s="236">
        <f>output_viki!S13-output_ss!S13</f>
        <v>0</v>
      </c>
      <c r="T13" s="236">
        <f>output_viki!T13-output_ss!T13</f>
        <v>0</v>
      </c>
      <c r="U13" s="236">
        <f>output_viki!U13-output_ss!U13</f>
        <v>0</v>
      </c>
      <c r="V13" s="236">
        <f>output_viki!V13-output_ss!V13</f>
        <v>0</v>
      </c>
      <c r="W13" s="236">
        <f>output_viki!W13-output_ss!W13</f>
        <v>0</v>
      </c>
      <c r="X13" s="236">
        <f>output_viki!X13-output_ss!X13</f>
        <v>0</v>
      </c>
      <c r="Y13" s="236">
        <f>output_viki!Y13-output_ss!Y13</f>
        <v>0</v>
      </c>
      <c r="Z13" s="236">
        <f>output_viki!Z13-output_ss!Z13</f>
        <v>0</v>
      </c>
      <c r="AA13" s="236">
        <f>output_viki!AA13-output_ss!AA13</f>
        <v>0</v>
      </c>
      <c r="AB13" s="236">
        <f>output_viki!AB13-output_ss!AB13</f>
        <v>0</v>
      </c>
      <c r="AC13" s="236">
        <f>output_viki!AC13-output_ss!AC13</f>
        <v>0</v>
      </c>
      <c r="AD13" s="236">
        <f>output_viki!AD13-output_ss!AD13</f>
        <v>0</v>
      </c>
      <c r="AE13" s="236">
        <f>output_viki!AE13-output_ss!AE13</f>
        <v>0</v>
      </c>
      <c r="AF13" s="236">
        <f>output_viki!AF13-output_ss!AF13</f>
        <v>0</v>
      </c>
      <c r="AG13" s="236">
        <f>output_viki!AG13-output_ss!AG13</f>
        <v>0</v>
      </c>
      <c r="AH13" s="236">
        <f>output_viki!AH13-output_ss!AH13</f>
        <v>0</v>
      </c>
    </row>
    <row r="14" spans="1:43" x14ac:dyDescent="0.2">
      <c r="A14">
        <f t="shared" si="1"/>
        <v>9</v>
      </c>
      <c r="B14" t="str">
        <f t="shared" ca="1" si="0"/>
        <v/>
      </c>
      <c r="C14" t="str">
        <f ca="1">output_ss!C14</f>
        <v>HR Building</v>
      </c>
      <c r="D14" t="str">
        <f ca="1">output_ss!D14</f>
        <v>2450 Florida Ave</v>
      </c>
      <c r="E14" s="236">
        <f ca="1">output_viki!E14-output_ss!E14</f>
        <v>-581.45775600000013</v>
      </c>
      <c r="F14" s="236">
        <f ca="1">(output_viki!G14+output_viki!F14)-output_ss!F14</f>
        <v>-94.486885350000009</v>
      </c>
      <c r="G14" s="236"/>
      <c r="H14" s="236">
        <f ca="1">output_viki!H14-output_ss!H14</f>
        <v>-0.15140000000000001</v>
      </c>
      <c r="I14" s="236">
        <f ca="1">output_viki!I14-output_ss!I14</f>
        <v>-1</v>
      </c>
      <c r="J14" s="236">
        <f ca="1">output_viki!J14-output_ss!J14</f>
        <v>-1</v>
      </c>
      <c r="K14" s="236">
        <f ca="1">output_viki!K14-output_ss!K14</f>
        <v>-1.1000000000000001</v>
      </c>
      <c r="L14" s="236">
        <f ca="1">output_viki!L14-output_ss!L14</f>
        <v>-0.69</v>
      </c>
      <c r="M14" s="236">
        <f ca="1">output_viki!M14-output_ss!M14</f>
        <v>-1</v>
      </c>
      <c r="N14" s="236">
        <f ca="1">output_viki!N14-output_ss!N14</f>
        <v>-0.96013500000000007</v>
      </c>
      <c r="O14" s="236">
        <f ca="1">output_viki!O14-output_ss!O14</f>
        <v>-1.1000000000000001</v>
      </c>
      <c r="P14" s="236">
        <f ca="1">output_viki!P14-output_ss!P14</f>
        <v>-1.1499999999999999</v>
      </c>
      <c r="Q14" s="236">
        <f>output_viki!Q14-output_ss!Q14</f>
        <v>0</v>
      </c>
      <c r="R14" s="236">
        <f>output_viki!R14-output_ss!R14</f>
        <v>0</v>
      </c>
      <c r="S14" s="236">
        <f>output_viki!S14-output_ss!S14</f>
        <v>0</v>
      </c>
      <c r="T14" s="236">
        <f>output_viki!T14-output_ss!T14</f>
        <v>0</v>
      </c>
      <c r="U14" s="236">
        <f>output_viki!U14-output_ss!U14</f>
        <v>0</v>
      </c>
      <c r="V14" s="236">
        <f>output_viki!V14-output_ss!V14</f>
        <v>0</v>
      </c>
      <c r="W14" s="236">
        <f>output_viki!W14-output_ss!W14</f>
        <v>0</v>
      </c>
      <c r="X14" s="236">
        <f>output_viki!X14-output_ss!X14</f>
        <v>0</v>
      </c>
      <c r="Y14" s="236">
        <f>output_viki!Y14-output_ss!Y14</f>
        <v>0</v>
      </c>
      <c r="Z14" s="236">
        <f>output_viki!Z14-output_ss!Z14</f>
        <v>0</v>
      </c>
      <c r="AA14" s="236">
        <f>output_viki!AA14-output_ss!AA14</f>
        <v>0</v>
      </c>
      <c r="AB14" s="236">
        <f>output_viki!AB14-output_ss!AB14</f>
        <v>0</v>
      </c>
      <c r="AC14" s="236">
        <f>output_viki!AC14-output_ss!AC14</f>
        <v>0</v>
      </c>
      <c r="AD14" s="236">
        <f>output_viki!AD14-output_ss!AD14</f>
        <v>0</v>
      </c>
      <c r="AE14" s="236">
        <f>output_viki!AE14-output_ss!AE14</f>
        <v>0</v>
      </c>
      <c r="AF14" s="236">
        <f>output_viki!AF14-output_ss!AF14</f>
        <v>0</v>
      </c>
      <c r="AG14" s="236">
        <f>output_viki!AG14-output_ss!AG14</f>
        <v>0</v>
      </c>
      <c r="AH14" s="236">
        <f>output_viki!AH14-output_ss!AH14</f>
        <v>0</v>
      </c>
    </row>
    <row r="15" spans="1:43" x14ac:dyDescent="0.2">
      <c r="A15">
        <f t="shared" si="1"/>
        <v>10</v>
      </c>
      <c r="B15" t="str">
        <f t="shared" ca="1" si="0"/>
        <v/>
      </c>
      <c r="C15" t="str">
        <f ca="1">output_ss!C15</f>
        <v>Paint Building</v>
      </c>
      <c r="D15" t="str">
        <f ca="1">output_ss!D15</f>
        <v>2450 Florida Ave</v>
      </c>
      <c r="E15" s="236">
        <f ca="1">output_viki!E15-output_ss!E15</f>
        <v>-1039.4613537000002</v>
      </c>
      <c r="F15" s="236">
        <f ca="1">(output_viki!G15+output_viki!F15)-output_ss!F15</f>
        <v>-193.04282283000003</v>
      </c>
      <c r="G15" s="236"/>
      <c r="H15" s="236">
        <f ca="1">output_viki!H15-output_ss!H15</f>
        <v>-0.28120000000000001</v>
      </c>
      <c r="I15" s="236">
        <f ca="1">output_viki!I15-output_ss!I15</f>
        <v>-1</v>
      </c>
      <c r="J15" s="236">
        <f ca="1">output_viki!J15-output_ss!J15</f>
        <v>-1.1000000000000001</v>
      </c>
      <c r="K15" s="236">
        <f ca="1">output_viki!K15-output_ss!K15</f>
        <v>-1.1000000000000001</v>
      </c>
      <c r="L15" s="236">
        <f ca="1">output_viki!L15-output_ss!L15</f>
        <v>-0.69</v>
      </c>
      <c r="M15" s="236">
        <f ca="1">output_viki!M15-output_ss!M15</f>
        <v>-1</v>
      </c>
      <c r="N15" s="236">
        <f ca="1">output_viki!N15-output_ss!N15</f>
        <v>-1.0561485000000002</v>
      </c>
      <c r="O15" s="236">
        <f ca="1">output_viki!O15-output_ss!O15</f>
        <v>-1.1000000000000001</v>
      </c>
      <c r="P15" s="236">
        <f ca="1">output_viki!P15-output_ss!P15</f>
        <v>-1.1499999999999999</v>
      </c>
      <c r="Q15" s="236">
        <f>output_viki!Q15-output_ss!Q15</f>
        <v>0</v>
      </c>
      <c r="R15" s="236">
        <f>output_viki!R15-output_ss!R15</f>
        <v>0</v>
      </c>
      <c r="S15" s="236">
        <f>output_viki!S15-output_ss!S15</f>
        <v>0</v>
      </c>
      <c r="T15" s="236">
        <f>output_viki!T15-output_ss!T15</f>
        <v>0</v>
      </c>
      <c r="U15" s="236">
        <f>output_viki!U15-output_ss!U15</f>
        <v>0</v>
      </c>
      <c r="V15" s="236">
        <f>output_viki!V15-output_ss!V15</f>
        <v>0</v>
      </c>
      <c r="W15" s="236">
        <f>output_viki!W15-output_ss!W15</f>
        <v>0</v>
      </c>
      <c r="X15" s="236">
        <f>output_viki!X15-output_ss!X15</f>
        <v>0</v>
      </c>
      <c r="Y15" s="236">
        <f>output_viki!Y15-output_ss!Y15</f>
        <v>0</v>
      </c>
      <c r="Z15" s="236">
        <f>output_viki!Z15-output_ss!Z15</f>
        <v>0</v>
      </c>
      <c r="AA15" s="236">
        <f>output_viki!AA15-output_ss!AA15</f>
        <v>0</v>
      </c>
      <c r="AB15" s="236">
        <f>output_viki!AB15-output_ss!AB15</f>
        <v>0</v>
      </c>
      <c r="AC15" s="236">
        <f>output_viki!AC15-output_ss!AC15</f>
        <v>0</v>
      </c>
      <c r="AD15" s="236">
        <f>output_viki!AD15-output_ss!AD15</f>
        <v>0</v>
      </c>
      <c r="AE15" s="236">
        <f>output_viki!AE15-output_ss!AE15</f>
        <v>0</v>
      </c>
      <c r="AF15" s="236">
        <f>output_viki!AF15-output_ss!AF15</f>
        <v>0</v>
      </c>
      <c r="AG15" s="236">
        <f>output_viki!AG15-output_ss!AG15</f>
        <v>0</v>
      </c>
      <c r="AH15" s="236">
        <f>output_viki!AH15-output_ss!AH15</f>
        <v>0</v>
      </c>
    </row>
    <row r="16" spans="1:43" x14ac:dyDescent="0.2">
      <c r="A16">
        <f t="shared" si="1"/>
        <v>11</v>
      </c>
      <c r="B16" t="str">
        <f t="shared" ca="1" si="0"/>
        <v/>
      </c>
      <c r="C16" t="str">
        <f ca="1">output_ss!C16</f>
        <v>Out Building</v>
      </c>
      <c r="D16" t="str">
        <f ca="1">output_ss!D16</f>
        <v>157 Holubar Ave</v>
      </c>
      <c r="E16" s="236">
        <f ca="1">output_viki!E16-output_ss!E16</f>
        <v>-438.68184096000005</v>
      </c>
      <c r="F16" s="236">
        <f ca="1">(output_viki!G16+output_viki!F16)-output_ss!F16</f>
        <v>0</v>
      </c>
      <c r="G16" s="236"/>
      <c r="H16" s="236">
        <f ca="1">output_viki!H16-output_ss!H16</f>
        <v>-0.32450000000000001</v>
      </c>
      <c r="I16" s="236">
        <f ca="1">output_viki!I16-output_ss!I16</f>
        <v>-1</v>
      </c>
      <c r="J16" s="236">
        <f ca="1">output_viki!J16-output_ss!J16</f>
        <v>-1.1000000000000001</v>
      </c>
      <c r="K16" s="236">
        <f ca="1">output_viki!K16-output_ss!K16</f>
        <v>-1.1000000000000001</v>
      </c>
      <c r="L16" s="236">
        <f ca="1">output_viki!L16-output_ss!L16</f>
        <v>-0.69</v>
      </c>
      <c r="M16" s="236">
        <f ca="1">output_viki!M16-output_ss!M16</f>
        <v>-1</v>
      </c>
      <c r="N16" s="236">
        <f ca="1">output_viki!N16-output_ss!N16</f>
        <v>-1.0561485000000002</v>
      </c>
      <c r="O16" s="236">
        <f ca="1">output_viki!O16-output_ss!O16</f>
        <v>-1.1000000000000001</v>
      </c>
      <c r="P16" s="236">
        <f ca="1">output_viki!P16-output_ss!P16</f>
        <v>-1.1499999999999999</v>
      </c>
      <c r="Q16" s="236">
        <f>output_viki!Q16-output_ss!Q16</f>
        <v>0</v>
      </c>
      <c r="R16" s="236">
        <f>output_viki!R16-output_ss!R16</f>
        <v>0</v>
      </c>
      <c r="S16" s="236">
        <f>output_viki!S16-output_ss!S16</f>
        <v>0</v>
      </c>
      <c r="T16" s="236">
        <f>output_viki!T16-output_ss!T16</f>
        <v>0</v>
      </c>
      <c r="U16" s="236">
        <f>output_viki!U16-output_ss!U16</f>
        <v>0</v>
      </c>
      <c r="V16" s="236">
        <f>output_viki!V16-output_ss!V16</f>
        <v>0</v>
      </c>
      <c r="W16" s="236">
        <f>output_viki!W16-output_ss!W16</f>
        <v>0</v>
      </c>
      <c r="X16" s="236">
        <f>output_viki!X16-output_ss!X16</f>
        <v>0</v>
      </c>
      <c r="Y16" s="236">
        <f>output_viki!Y16-output_ss!Y16</f>
        <v>0</v>
      </c>
      <c r="Z16" s="236">
        <f>output_viki!Z16-output_ss!Z16</f>
        <v>0</v>
      </c>
      <c r="AA16" s="236">
        <f>output_viki!AA16-output_ss!AA16</f>
        <v>0</v>
      </c>
      <c r="AB16" s="236">
        <f>output_viki!AB16-output_ss!AB16</f>
        <v>0</v>
      </c>
      <c r="AC16" s="236">
        <f>output_viki!AC16-output_ss!AC16</f>
        <v>0</v>
      </c>
      <c r="AD16" s="236">
        <f>output_viki!AD16-output_ss!AD16</f>
        <v>0</v>
      </c>
      <c r="AE16" s="236">
        <f>output_viki!AE16-output_ss!AE16</f>
        <v>0</v>
      </c>
      <c r="AF16" s="236">
        <f>output_viki!AF16-output_ss!AF16</f>
        <v>0</v>
      </c>
      <c r="AG16" s="236">
        <f>output_viki!AG16-output_ss!AG16</f>
        <v>0</v>
      </c>
      <c r="AH16" s="236">
        <f>output_viki!AH16-output_ss!AH16</f>
        <v>0</v>
      </c>
    </row>
    <row r="17" spans="1:34" x14ac:dyDescent="0.2">
      <c r="A17">
        <f t="shared" si="1"/>
        <v>12</v>
      </c>
      <c r="B17" t="str">
        <f t="shared" ca="1" si="0"/>
        <v/>
      </c>
      <c r="C17" t="str">
        <f ca="1">output_ss!C17</f>
        <v/>
      </c>
      <c r="D17" t="str">
        <f ca="1">output_ss!D17</f>
        <v/>
      </c>
      <c r="E17" s="236" t="e">
        <f ca="1">output_viki!E17-output_ss!E17</f>
        <v>#VALUE!</v>
      </c>
      <c r="F17" s="236" t="e">
        <f ca="1">(output_viki!G17+output_viki!F17)-output_ss!F17</f>
        <v>#VALUE!</v>
      </c>
      <c r="G17" s="236"/>
      <c r="H17" s="236" t="e">
        <f ca="1">output_viki!H17-output_ss!H17</f>
        <v>#VALUE!</v>
      </c>
      <c r="I17" s="236" t="e">
        <f ca="1">output_viki!I17-output_ss!I17</f>
        <v>#VALUE!</v>
      </c>
      <c r="J17" s="236" t="e">
        <f ca="1">output_viki!J17-output_ss!J17</f>
        <v>#VALUE!</v>
      </c>
      <c r="K17" s="236" t="e">
        <f ca="1">output_viki!K17-output_ss!K17</f>
        <v>#VALUE!</v>
      </c>
      <c r="L17" s="236" t="e">
        <f ca="1">output_viki!L17-output_ss!L17</f>
        <v>#VALUE!</v>
      </c>
      <c r="M17" s="236" t="e">
        <f ca="1">output_viki!M17-output_ss!M17</f>
        <v>#VALUE!</v>
      </c>
      <c r="N17" s="236" t="e">
        <f ca="1">output_viki!N17-output_ss!N17</f>
        <v>#VALUE!</v>
      </c>
      <c r="O17" s="236" t="e">
        <f ca="1">output_viki!O17-output_ss!O17</f>
        <v>#VALUE!</v>
      </c>
      <c r="P17" s="236" t="e">
        <f ca="1">output_viki!P17-output_ss!P17</f>
        <v>#VALUE!</v>
      </c>
      <c r="Q17" s="236">
        <f>output_viki!Q17-output_ss!Q17</f>
        <v>0</v>
      </c>
      <c r="R17" s="236">
        <f>output_viki!R17-output_ss!R17</f>
        <v>0</v>
      </c>
      <c r="S17" s="236">
        <f>output_viki!S17-output_ss!S17</f>
        <v>0</v>
      </c>
      <c r="T17" s="236">
        <f>output_viki!T17-output_ss!T17</f>
        <v>0</v>
      </c>
      <c r="U17" s="236">
        <f>output_viki!U17-output_ss!U17</f>
        <v>0</v>
      </c>
      <c r="V17" s="236">
        <f>output_viki!V17-output_ss!V17</f>
        <v>0</v>
      </c>
      <c r="W17" s="236">
        <f>output_viki!W17-output_ss!W17</f>
        <v>0</v>
      </c>
      <c r="X17" s="236">
        <f>output_viki!X17-output_ss!X17</f>
        <v>0</v>
      </c>
      <c r="Y17" s="236">
        <f>output_viki!Y17-output_ss!Y17</f>
        <v>0</v>
      </c>
      <c r="Z17" s="236">
        <f>output_viki!Z17-output_ss!Z17</f>
        <v>0</v>
      </c>
      <c r="AA17" s="236">
        <f>output_viki!AA17-output_ss!AA17</f>
        <v>0</v>
      </c>
      <c r="AB17" s="236">
        <f>output_viki!AB17-output_ss!AB17</f>
        <v>0</v>
      </c>
      <c r="AC17" s="236">
        <f>output_viki!AC17-output_ss!AC17</f>
        <v>0</v>
      </c>
      <c r="AD17" s="236">
        <f>output_viki!AD17-output_ss!AD17</f>
        <v>0</v>
      </c>
      <c r="AE17" s="236">
        <f>output_viki!AE17-output_ss!AE17</f>
        <v>0</v>
      </c>
      <c r="AF17" s="236">
        <f>output_viki!AF17-output_ss!AF17</f>
        <v>0</v>
      </c>
      <c r="AG17" s="236">
        <f>output_viki!AG17-output_ss!AG17</f>
        <v>0</v>
      </c>
      <c r="AH17" s="236">
        <f>output_viki!AH17-output_ss!AH17</f>
        <v>0</v>
      </c>
    </row>
    <row r="18" spans="1:34" x14ac:dyDescent="0.2">
      <c r="A18">
        <f t="shared" si="1"/>
        <v>13</v>
      </c>
      <c r="B18" t="str">
        <f t="shared" ca="1" si="0"/>
        <v/>
      </c>
      <c r="C18" t="str">
        <f ca="1">output_ss!C18</f>
        <v/>
      </c>
      <c r="D18" t="str">
        <f ca="1">output_ss!D18</f>
        <v/>
      </c>
      <c r="E18" s="236" t="e">
        <f ca="1">output_viki!E18-output_ss!E18</f>
        <v>#VALUE!</v>
      </c>
      <c r="F18" s="236" t="e">
        <f ca="1">(output_viki!G18+output_viki!F18)-output_ss!F18</f>
        <v>#VALUE!</v>
      </c>
      <c r="G18" s="236"/>
      <c r="H18" s="236" t="e">
        <f ca="1">output_viki!H18-output_ss!H18</f>
        <v>#VALUE!</v>
      </c>
      <c r="I18" s="236" t="e">
        <f ca="1">output_viki!I18-output_ss!I18</f>
        <v>#VALUE!</v>
      </c>
      <c r="J18" s="236" t="e">
        <f ca="1">output_viki!J18-output_ss!J18</f>
        <v>#VALUE!</v>
      </c>
      <c r="K18" s="236" t="e">
        <f ca="1">output_viki!K18-output_ss!K18</f>
        <v>#VALUE!</v>
      </c>
      <c r="L18" s="236" t="e">
        <f ca="1">output_viki!L18-output_ss!L18</f>
        <v>#VALUE!</v>
      </c>
      <c r="M18" s="236" t="e">
        <f ca="1">output_viki!M18-output_ss!M18</f>
        <v>#VALUE!</v>
      </c>
      <c r="N18" s="236" t="e">
        <f ca="1">output_viki!N18-output_ss!N18</f>
        <v>#VALUE!</v>
      </c>
      <c r="O18" s="236" t="e">
        <f ca="1">output_viki!O18-output_ss!O18</f>
        <v>#VALUE!</v>
      </c>
      <c r="P18" s="236" t="e">
        <f ca="1">output_viki!P18-output_ss!P18</f>
        <v>#VALUE!</v>
      </c>
      <c r="Q18" s="236">
        <f>output_viki!Q18-output_ss!Q18</f>
        <v>0</v>
      </c>
      <c r="R18" s="236">
        <f>output_viki!R18-output_ss!R18</f>
        <v>0</v>
      </c>
      <c r="S18" s="236">
        <f>output_viki!S18-output_ss!S18</f>
        <v>0</v>
      </c>
      <c r="T18" s="236">
        <f>output_viki!T18-output_ss!T18</f>
        <v>0</v>
      </c>
      <c r="U18" s="236">
        <f>output_viki!U18-output_ss!U18</f>
        <v>0</v>
      </c>
      <c r="V18" s="236">
        <f>output_viki!V18-output_ss!V18</f>
        <v>0</v>
      </c>
      <c r="W18" s="236">
        <f>output_viki!W18-output_ss!W18</f>
        <v>0</v>
      </c>
      <c r="X18" s="236">
        <f>output_viki!X18-output_ss!X18</f>
        <v>0</v>
      </c>
      <c r="Y18" s="236">
        <f>output_viki!Y18-output_ss!Y18</f>
        <v>0</v>
      </c>
      <c r="Z18" s="236">
        <f>output_viki!Z18-output_ss!Z18</f>
        <v>0</v>
      </c>
      <c r="AA18" s="236">
        <f>output_viki!AA18-output_ss!AA18</f>
        <v>0</v>
      </c>
      <c r="AB18" s="236">
        <f>output_viki!AB18-output_ss!AB18</f>
        <v>0</v>
      </c>
      <c r="AC18" s="236">
        <f>output_viki!AC18-output_ss!AC18</f>
        <v>0</v>
      </c>
      <c r="AD18" s="236">
        <f>output_viki!AD18-output_ss!AD18</f>
        <v>0</v>
      </c>
      <c r="AE18" s="236">
        <f>output_viki!AE18-output_ss!AE18</f>
        <v>0</v>
      </c>
      <c r="AF18" s="236">
        <f>output_viki!AF18-output_ss!AF18</f>
        <v>0</v>
      </c>
      <c r="AG18" s="236">
        <f>output_viki!AG18-output_ss!AG18</f>
        <v>0</v>
      </c>
      <c r="AH18" s="236">
        <f>output_viki!AH18-output_ss!AH18</f>
        <v>0</v>
      </c>
    </row>
    <row r="19" spans="1:34" x14ac:dyDescent="0.2">
      <c r="A19">
        <f t="shared" si="1"/>
        <v>14</v>
      </c>
      <c r="B19" t="str">
        <f t="shared" ca="1" si="0"/>
        <v/>
      </c>
      <c r="C19" t="str">
        <f ca="1">output_ss!C19</f>
        <v/>
      </c>
      <c r="D19" t="str">
        <f ca="1">output_ss!D19</f>
        <v/>
      </c>
      <c r="E19" s="236" t="e">
        <f ca="1">output_viki!E19-output_ss!E19</f>
        <v>#VALUE!</v>
      </c>
      <c r="F19" s="236" t="e">
        <f ca="1">(output_viki!G19+output_viki!F19)-output_ss!F19</f>
        <v>#VALUE!</v>
      </c>
      <c r="G19" s="236"/>
      <c r="H19" s="236" t="e">
        <f ca="1">output_viki!H19-output_ss!H19</f>
        <v>#VALUE!</v>
      </c>
      <c r="I19" s="236" t="e">
        <f ca="1">output_viki!I19-output_ss!I19</f>
        <v>#VALUE!</v>
      </c>
      <c r="J19" s="236" t="e">
        <f ca="1">output_viki!J19-output_ss!J19</f>
        <v>#VALUE!</v>
      </c>
      <c r="K19" s="236" t="e">
        <f ca="1">output_viki!K19-output_ss!K19</f>
        <v>#VALUE!</v>
      </c>
      <c r="L19" s="236" t="e">
        <f ca="1">output_viki!L19-output_ss!L19</f>
        <v>#VALUE!</v>
      </c>
      <c r="M19" s="236" t="e">
        <f ca="1">output_viki!M19-output_ss!M19</f>
        <v>#VALUE!</v>
      </c>
      <c r="N19" s="236" t="e">
        <f ca="1">output_viki!N19-output_ss!N19</f>
        <v>#VALUE!</v>
      </c>
      <c r="O19" s="236" t="e">
        <f ca="1">output_viki!O19-output_ss!O19</f>
        <v>#VALUE!</v>
      </c>
      <c r="P19" s="236" t="e">
        <f ca="1">output_viki!P19-output_ss!P19</f>
        <v>#VALUE!</v>
      </c>
      <c r="Q19" s="236">
        <f>output_viki!Q19-output_ss!Q19</f>
        <v>0</v>
      </c>
      <c r="R19" s="236">
        <f>output_viki!R19-output_ss!R19</f>
        <v>0</v>
      </c>
      <c r="S19" s="236">
        <f>output_viki!S19-output_ss!S19</f>
        <v>0</v>
      </c>
      <c r="T19" s="236">
        <f>output_viki!T19-output_ss!T19</f>
        <v>0</v>
      </c>
      <c r="U19" s="236">
        <f>output_viki!U19-output_ss!U19</f>
        <v>0</v>
      </c>
      <c r="V19" s="236">
        <f>output_viki!V19-output_ss!V19</f>
        <v>0</v>
      </c>
      <c r="W19" s="236">
        <f>output_viki!W19-output_ss!W19</f>
        <v>0</v>
      </c>
      <c r="X19" s="236">
        <f>output_viki!X19-output_ss!X19</f>
        <v>0</v>
      </c>
      <c r="Y19" s="236">
        <f>output_viki!Y19-output_ss!Y19</f>
        <v>0</v>
      </c>
      <c r="Z19" s="236">
        <f>output_viki!Z19-output_ss!Z19</f>
        <v>0</v>
      </c>
      <c r="AA19" s="236">
        <f>output_viki!AA19-output_ss!AA19</f>
        <v>0</v>
      </c>
      <c r="AB19" s="236">
        <f>output_viki!AB19-output_ss!AB19</f>
        <v>0</v>
      </c>
      <c r="AC19" s="236">
        <f>output_viki!AC19-output_ss!AC19</f>
        <v>0</v>
      </c>
      <c r="AD19" s="236">
        <f>output_viki!AD19-output_ss!AD19</f>
        <v>0</v>
      </c>
      <c r="AE19" s="236">
        <f>output_viki!AE19-output_ss!AE19</f>
        <v>0</v>
      </c>
      <c r="AF19" s="236">
        <f>output_viki!AF19-output_ss!AF19</f>
        <v>0</v>
      </c>
      <c r="AG19" s="236">
        <f>output_viki!AG19-output_ss!AG19</f>
        <v>0</v>
      </c>
      <c r="AH19" s="236">
        <f>output_viki!AH19-output_ss!AH19</f>
        <v>0</v>
      </c>
    </row>
    <row r="20" spans="1:34" x14ac:dyDescent="0.2">
      <c r="A20">
        <f t="shared" si="1"/>
        <v>15</v>
      </c>
      <c r="B20" t="str">
        <f t="shared" ca="1" si="0"/>
        <v/>
      </c>
      <c r="C20" t="str">
        <f ca="1">output_ss!C20</f>
        <v/>
      </c>
      <c r="D20" t="str">
        <f ca="1">output_ss!D20</f>
        <v/>
      </c>
      <c r="E20" s="236" t="e">
        <f ca="1">output_viki!E20-output_ss!E20</f>
        <v>#VALUE!</v>
      </c>
      <c r="F20" s="236" t="e">
        <f ca="1">(output_viki!G20+output_viki!F20)-output_ss!F20</f>
        <v>#VALUE!</v>
      </c>
      <c r="G20" s="236"/>
      <c r="H20" s="236" t="e">
        <f ca="1">output_viki!H20-output_ss!H20</f>
        <v>#VALUE!</v>
      </c>
      <c r="I20" s="236" t="e">
        <f ca="1">output_viki!I20-output_ss!I20</f>
        <v>#VALUE!</v>
      </c>
      <c r="J20" s="236" t="e">
        <f ca="1">output_viki!J20-output_ss!J20</f>
        <v>#VALUE!</v>
      </c>
      <c r="K20" s="236" t="e">
        <f ca="1">output_viki!K20-output_ss!K20</f>
        <v>#VALUE!</v>
      </c>
      <c r="L20" s="236" t="e">
        <f ca="1">output_viki!L20-output_ss!L20</f>
        <v>#VALUE!</v>
      </c>
      <c r="M20" s="236" t="e">
        <f ca="1">output_viki!M20-output_ss!M20</f>
        <v>#VALUE!</v>
      </c>
      <c r="N20" s="236" t="e">
        <f ca="1">output_viki!N20-output_ss!N20</f>
        <v>#VALUE!</v>
      </c>
      <c r="O20" s="236" t="e">
        <f ca="1">output_viki!O20-output_ss!O20</f>
        <v>#VALUE!</v>
      </c>
      <c r="P20" s="236" t="e">
        <f ca="1">output_viki!P20-output_ss!P20</f>
        <v>#VALUE!</v>
      </c>
      <c r="Q20" s="236">
        <f>output_viki!Q20-output_ss!Q20</f>
        <v>0</v>
      </c>
      <c r="R20" s="236">
        <f>output_viki!R20-output_ss!R20</f>
        <v>0</v>
      </c>
      <c r="S20" s="236">
        <f>output_viki!S20-output_ss!S20</f>
        <v>0</v>
      </c>
      <c r="T20" s="236">
        <f>output_viki!T20-output_ss!T20</f>
        <v>0</v>
      </c>
      <c r="U20" s="236">
        <f>output_viki!U20-output_ss!U20</f>
        <v>0</v>
      </c>
      <c r="V20" s="236">
        <f>output_viki!V20-output_ss!V20</f>
        <v>0</v>
      </c>
      <c r="W20" s="236">
        <f>output_viki!W20-output_ss!W20</f>
        <v>0</v>
      </c>
      <c r="X20" s="236">
        <f>output_viki!X20-output_ss!X20</f>
        <v>0</v>
      </c>
      <c r="Y20" s="236">
        <f>output_viki!Y20-output_ss!Y20</f>
        <v>0</v>
      </c>
      <c r="Z20" s="236">
        <f>output_viki!Z20-output_ss!Z20</f>
        <v>0</v>
      </c>
      <c r="AA20" s="236">
        <f>output_viki!AA20-output_ss!AA20</f>
        <v>0</v>
      </c>
      <c r="AB20" s="236">
        <f>output_viki!AB20-output_ss!AB20</f>
        <v>0</v>
      </c>
      <c r="AC20" s="236">
        <f>output_viki!AC20-output_ss!AC20</f>
        <v>0</v>
      </c>
      <c r="AD20" s="236">
        <f>output_viki!AD20-output_ss!AD20</f>
        <v>0</v>
      </c>
      <c r="AE20" s="236">
        <f>output_viki!AE20-output_ss!AE20</f>
        <v>0</v>
      </c>
      <c r="AF20" s="236">
        <f>output_viki!AF20-output_ss!AF20</f>
        <v>0</v>
      </c>
      <c r="AG20" s="236">
        <f>output_viki!AG20-output_ss!AG20</f>
        <v>0</v>
      </c>
      <c r="AH20" s="236">
        <f>output_viki!AH20-output_ss!AH20</f>
        <v>0</v>
      </c>
    </row>
    <row r="21" spans="1:34" x14ac:dyDescent="0.2">
      <c r="A21">
        <f t="shared" si="1"/>
        <v>16</v>
      </c>
      <c r="B21" t="str">
        <f t="shared" ca="1" si="0"/>
        <v/>
      </c>
      <c r="C21" t="str">
        <f ca="1">output_ss!C21</f>
        <v/>
      </c>
      <c r="D21" t="str">
        <f ca="1">output_ss!D21</f>
        <v/>
      </c>
      <c r="E21" s="236" t="e">
        <f ca="1">output_viki!E21-output_ss!E21</f>
        <v>#VALUE!</v>
      </c>
      <c r="F21" s="236" t="e">
        <f ca="1">(output_viki!G21+output_viki!F21)-output_ss!F21</f>
        <v>#VALUE!</v>
      </c>
      <c r="G21" s="236"/>
      <c r="H21" s="236" t="e">
        <f ca="1">output_viki!H21-output_ss!H21</f>
        <v>#VALUE!</v>
      </c>
      <c r="I21" s="236" t="e">
        <f ca="1">output_viki!I21-output_ss!I21</f>
        <v>#VALUE!</v>
      </c>
      <c r="J21" s="236" t="e">
        <f ca="1">output_viki!J21-output_ss!J21</f>
        <v>#VALUE!</v>
      </c>
      <c r="K21" s="236" t="e">
        <f ca="1">output_viki!K21-output_ss!K21</f>
        <v>#VALUE!</v>
      </c>
      <c r="L21" s="236" t="e">
        <f ca="1">output_viki!L21-output_ss!L21</f>
        <v>#VALUE!</v>
      </c>
      <c r="M21" s="236" t="e">
        <f ca="1">output_viki!M21-output_ss!M21</f>
        <v>#VALUE!</v>
      </c>
      <c r="N21" s="236" t="e">
        <f ca="1">output_viki!N21-output_ss!N21</f>
        <v>#VALUE!</v>
      </c>
      <c r="O21" s="236" t="e">
        <f ca="1">output_viki!O21-output_ss!O21</f>
        <v>#VALUE!</v>
      </c>
      <c r="P21" s="236" t="e">
        <f ca="1">output_viki!P21-output_ss!P21</f>
        <v>#VALUE!</v>
      </c>
      <c r="Q21" s="236">
        <f>output_viki!Q21-output_ss!Q21</f>
        <v>0</v>
      </c>
      <c r="R21" s="236">
        <f>output_viki!R21-output_ss!R21</f>
        <v>0</v>
      </c>
      <c r="S21" s="236">
        <f>output_viki!S21-output_ss!S21</f>
        <v>0</v>
      </c>
      <c r="T21" s="236">
        <f>output_viki!T21-output_ss!T21</f>
        <v>0</v>
      </c>
      <c r="U21" s="236">
        <f>output_viki!U21-output_ss!U21</f>
        <v>0</v>
      </c>
      <c r="V21" s="236">
        <f>output_viki!V21-output_ss!V21</f>
        <v>0</v>
      </c>
      <c r="W21" s="236">
        <f>output_viki!W21-output_ss!W21</f>
        <v>0</v>
      </c>
      <c r="X21" s="236">
        <f>output_viki!X21-output_ss!X21</f>
        <v>0</v>
      </c>
      <c r="Y21" s="236">
        <f>output_viki!Y21-output_ss!Y21</f>
        <v>0</v>
      </c>
      <c r="Z21" s="236">
        <f>output_viki!Z21-output_ss!Z21</f>
        <v>0</v>
      </c>
      <c r="AA21" s="236">
        <f>output_viki!AA21-output_ss!AA21</f>
        <v>0</v>
      </c>
      <c r="AB21" s="236">
        <f>output_viki!AB21-output_ss!AB21</f>
        <v>0</v>
      </c>
      <c r="AC21" s="236">
        <f>output_viki!AC21-output_ss!AC21</f>
        <v>0</v>
      </c>
      <c r="AD21" s="236">
        <f>output_viki!AD21-output_ss!AD21</f>
        <v>0</v>
      </c>
      <c r="AE21" s="236">
        <f>output_viki!AE21-output_ss!AE21</f>
        <v>0</v>
      </c>
      <c r="AF21" s="236">
        <f>output_viki!AF21-output_ss!AF21</f>
        <v>0</v>
      </c>
      <c r="AG21" s="236">
        <f>output_viki!AG21-output_ss!AG21</f>
        <v>0</v>
      </c>
      <c r="AH21" s="236">
        <f>output_viki!AH21-output_ss!AH21</f>
        <v>0</v>
      </c>
    </row>
    <row r="22" spans="1:34" x14ac:dyDescent="0.2">
      <c r="A22">
        <f t="shared" si="1"/>
        <v>17</v>
      </c>
      <c r="B22" t="str">
        <f t="shared" ca="1" si="0"/>
        <v/>
      </c>
      <c r="C22" t="str">
        <f ca="1">output_ss!C22</f>
        <v/>
      </c>
      <c r="D22" t="str">
        <f ca="1">output_ss!D22</f>
        <v/>
      </c>
      <c r="E22" s="236" t="e">
        <f ca="1">output_viki!E22-output_ss!E22</f>
        <v>#VALUE!</v>
      </c>
      <c r="F22" s="236" t="e">
        <f ca="1">(output_viki!G22+output_viki!F22)-output_ss!F22</f>
        <v>#VALUE!</v>
      </c>
      <c r="G22" s="236"/>
      <c r="H22" s="236" t="e">
        <f ca="1">output_viki!H22-output_ss!H22</f>
        <v>#VALUE!</v>
      </c>
      <c r="I22" s="236" t="e">
        <f ca="1">output_viki!I22-output_ss!I22</f>
        <v>#VALUE!</v>
      </c>
      <c r="J22" s="236" t="e">
        <f ca="1">output_viki!J22-output_ss!J22</f>
        <v>#VALUE!</v>
      </c>
      <c r="K22" s="236" t="e">
        <f ca="1">output_viki!K22-output_ss!K22</f>
        <v>#VALUE!</v>
      </c>
      <c r="L22" s="236" t="e">
        <f ca="1">output_viki!L22-output_ss!L22</f>
        <v>#VALUE!</v>
      </c>
      <c r="M22" s="236" t="e">
        <f ca="1">output_viki!M22-output_ss!M22</f>
        <v>#VALUE!</v>
      </c>
      <c r="N22" s="236" t="e">
        <f ca="1">output_viki!N22-output_ss!N22</f>
        <v>#VALUE!</v>
      </c>
      <c r="O22" s="236" t="e">
        <f ca="1">output_viki!O22-output_ss!O22</f>
        <v>#VALUE!</v>
      </c>
      <c r="P22" s="236" t="e">
        <f ca="1">output_viki!P22-output_ss!P22</f>
        <v>#VALUE!</v>
      </c>
      <c r="Q22" s="236">
        <f>output_viki!Q22-output_ss!Q22</f>
        <v>0</v>
      </c>
      <c r="R22" s="236">
        <f>output_viki!R22-output_ss!R22</f>
        <v>0</v>
      </c>
      <c r="S22" s="236">
        <f>output_viki!S22-output_ss!S22</f>
        <v>0</v>
      </c>
      <c r="T22" s="236">
        <f>output_viki!T22-output_ss!T22</f>
        <v>0</v>
      </c>
      <c r="U22" s="236">
        <f>output_viki!U22-output_ss!U22</f>
        <v>0</v>
      </c>
      <c r="V22" s="236">
        <f>output_viki!V22-output_ss!V22</f>
        <v>0</v>
      </c>
      <c r="W22" s="236">
        <f>output_viki!W22-output_ss!W22</f>
        <v>0</v>
      </c>
      <c r="X22" s="236">
        <f>output_viki!X22-output_ss!X22</f>
        <v>0</v>
      </c>
      <c r="Y22" s="236">
        <f>output_viki!Y22-output_ss!Y22</f>
        <v>0</v>
      </c>
      <c r="Z22" s="236">
        <f>output_viki!Z22-output_ss!Z22</f>
        <v>0</v>
      </c>
      <c r="AA22" s="236">
        <f>output_viki!AA22-output_ss!AA22</f>
        <v>0</v>
      </c>
      <c r="AB22" s="236">
        <f>output_viki!AB22-output_ss!AB22</f>
        <v>0</v>
      </c>
      <c r="AC22" s="236">
        <f>output_viki!AC22-output_ss!AC22</f>
        <v>0</v>
      </c>
      <c r="AD22" s="236">
        <f>output_viki!AD22-output_ss!AD22</f>
        <v>0</v>
      </c>
      <c r="AE22" s="236">
        <f>output_viki!AE22-output_ss!AE22</f>
        <v>0</v>
      </c>
      <c r="AF22" s="236">
        <f>output_viki!AF22-output_ss!AF22</f>
        <v>0</v>
      </c>
      <c r="AG22" s="236">
        <f>output_viki!AG22-output_ss!AG22</f>
        <v>0</v>
      </c>
      <c r="AH22" s="236">
        <f>output_viki!AH22-output_ss!AH22</f>
        <v>0</v>
      </c>
    </row>
    <row r="23" spans="1:34" x14ac:dyDescent="0.2">
      <c r="A23">
        <f t="shared" si="1"/>
        <v>18</v>
      </c>
      <c r="B23" t="str">
        <f t="shared" ca="1" si="0"/>
        <v/>
      </c>
      <c r="C23" t="str">
        <f ca="1">output_ss!C23</f>
        <v/>
      </c>
      <c r="D23" t="str">
        <f ca="1">output_ss!D23</f>
        <v/>
      </c>
      <c r="E23" s="236" t="e">
        <f ca="1">output_viki!E23-output_ss!E23</f>
        <v>#VALUE!</v>
      </c>
      <c r="F23" s="236" t="e">
        <f ca="1">(output_viki!G23+output_viki!F23)-output_ss!F23</f>
        <v>#VALUE!</v>
      </c>
      <c r="G23" s="236"/>
      <c r="H23" s="236" t="e">
        <f ca="1">output_viki!H23-output_ss!H23</f>
        <v>#VALUE!</v>
      </c>
      <c r="I23" s="236" t="e">
        <f ca="1">output_viki!I23-output_ss!I23</f>
        <v>#VALUE!</v>
      </c>
      <c r="J23" s="236" t="e">
        <f ca="1">output_viki!J23-output_ss!J23</f>
        <v>#VALUE!</v>
      </c>
      <c r="K23" s="236" t="e">
        <f ca="1">output_viki!K23-output_ss!K23</f>
        <v>#VALUE!</v>
      </c>
      <c r="L23" s="236" t="e">
        <f ca="1">output_viki!L23-output_ss!L23</f>
        <v>#VALUE!</v>
      </c>
      <c r="M23" s="236" t="e">
        <f ca="1">output_viki!M23-output_ss!M23</f>
        <v>#VALUE!</v>
      </c>
      <c r="N23" s="236" t="e">
        <f ca="1">output_viki!N23-output_ss!N23</f>
        <v>#VALUE!</v>
      </c>
      <c r="O23" s="236" t="e">
        <f ca="1">output_viki!O23-output_ss!O23</f>
        <v>#VALUE!</v>
      </c>
      <c r="P23" s="236" t="e">
        <f ca="1">output_viki!P23-output_ss!P23</f>
        <v>#VALUE!</v>
      </c>
      <c r="Q23" s="236">
        <f>output_viki!Q23-output_ss!Q23</f>
        <v>0</v>
      </c>
      <c r="R23" s="236">
        <f>output_viki!R23-output_ss!R23</f>
        <v>0</v>
      </c>
      <c r="S23" s="236">
        <f>output_viki!S23-output_ss!S23</f>
        <v>0</v>
      </c>
      <c r="T23" s="236">
        <f>output_viki!T23-output_ss!T23</f>
        <v>0</v>
      </c>
      <c r="U23" s="236">
        <f>output_viki!U23-output_ss!U23</f>
        <v>0</v>
      </c>
      <c r="V23" s="236">
        <f>output_viki!V23-output_ss!V23</f>
        <v>0</v>
      </c>
      <c r="W23" s="236">
        <f>output_viki!W23-output_ss!W23</f>
        <v>0</v>
      </c>
      <c r="X23" s="236">
        <f>output_viki!X23-output_ss!X23</f>
        <v>0</v>
      </c>
      <c r="Y23" s="236">
        <f>output_viki!Y23-output_ss!Y23</f>
        <v>0</v>
      </c>
      <c r="Z23" s="236">
        <f>output_viki!Z23-output_ss!Z23</f>
        <v>0</v>
      </c>
      <c r="AA23" s="236">
        <f>output_viki!AA23-output_ss!AA23</f>
        <v>0</v>
      </c>
      <c r="AB23" s="236">
        <f>output_viki!AB23-output_ss!AB23</f>
        <v>0</v>
      </c>
      <c r="AC23" s="236">
        <f>output_viki!AC23-output_ss!AC23</f>
        <v>0</v>
      </c>
      <c r="AD23" s="236">
        <f>output_viki!AD23-output_ss!AD23</f>
        <v>0</v>
      </c>
      <c r="AE23" s="236">
        <f>output_viki!AE23-output_ss!AE23</f>
        <v>0</v>
      </c>
      <c r="AF23" s="236">
        <f>output_viki!AF23-output_ss!AF23</f>
        <v>0</v>
      </c>
      <c r="AG23" s="236">
        <f>output_viki!AG23-output_ss!AG23</f>
        <v>0</v>
      </c>
      <c r="AH23" s="236">
        <f>output_viki!AH23-output_ss!AH23</f>
        <v>0</v>
      </c>
    </row>
    <row r="24" spans="1:34" x14ac:dyDescent="0.2">
      <c r="A24">
        <f t="shared" si="1"/>
        <v>19</v>
      </c>
      <c r="B24" t="str">
        <f t="shared" ca="1" si="0"/>
        <v/>
      </c>
      <c r="C24" t="str">
        <f ca="1">output_ss!C24</f>
        <v/>
      </c>
      <c r="D24" t="str">
        <f ca="1">output_ss!D24</f>
        <v/>
      </c>
      <c r="E24" s="236" t="e">
        <f ca="1">output_viki!E24-output_ss!E24</f>
        <v>#VALUE!</v>
      </c>
      <c r="F24" s="236" t="e">
        <f ca="1">(output_viki!G24+output_viki!F24)-output_ss!F24</f>
        <v>#VALUE!</v>
      </c>
      <c r="G24" s="236"/>
      <c r="H24" s="236" t="e">
        <f ca="1">output_viki!H24-output_ss!H24</f>
        <v>#VALUE!</v>
      </c>
      <c r="I24" s="236" t="e">
        <f ca="1">output_viki!I24-output_ss!I24</f>
        <v>#VALUE!</v>
      </c>
      <c r="J24" s="236" t="e">
        <f ca="1">output_viki!J24-output_ss!J24</f>
        <v>#VALUE!</v>
      </c>
      <c r="K24" s="236" t="e">
        <f ca="1">output_viki!K24-output_ss!K24</f>
        <v>#VALUE!</v>
      </c>
      <c r="L24" s="236" t="e">
        <f ca="1">output_viki!L24-output_ss!L24</f>
        <v>#VALUE!</v>
      </c>
      <c r="M24" s="236" t="e">
        <f ca="1">output_viki!M24-output_ss!M24</f>
        <v>#VALUE!</v>
      </c>
      <c r="N24" s="236" t="e">
        <f ca="1">output_viki!N24-output_ss!N24</f>
        <v>#VALUE!</v>
      </c>
      <c r="O24" s="236" t="e">
        <f ca="1">output_viki!O24-output_ss!O24</f>
        <v>#VALUE!</v>
      </c>
      <c r="P24" s="236" t="e">
        <f ca="1">output_viki!P24-output_ss!P24</f>
        <v>#VALUE!</v>
      </c>
      <c r="Q24" s="236">
        <f>output_viki!Q24-output_ss!Q24</f>
        <v>0</v>
      </c>
      <c r="R24" s="236">
        <f>output_viki!R24-output_ss!R24</f>
        <v>0</v>
      </c>
      <c r="S24" s="236">
        <f>output_viki!S24-output_ss!S24</f>
        <v>0</v>
      </c>
      <c r="T24" s="236">
        <f>output_viki!T24-output_ss!T24</f>
        <v>0</v>
      </c>
      <c r="U24" s="236">
        <f>output_viki!U24-output_ss!U24</f>
        <v>0</v>
      </c>
      <c r="V24" s="236">
        <f>output_viki!V24-output_ss!V24</f>
        <v>0</v>
      </c>
      <c r="W24" s="236">
        <f>output_viki!W24-output_ss!W24</f>
        <v>0</v>
      </c>
      <c r="X24" s="236">
        <f>output_viki!X24-output_ss!X24</f>
        <v>0</v>
      </c>
      <c r="Y24" s="236">
        <f>output_viki!Y24-output_ss!Y24</f>
        <v>0</v>
      </c>
      <c r="Z24" s="236">
        <f>output_viki!Z24-output_ss!Z24</f>
        <v>0</v>
      </c>
      <c r="AA24" s="236">
        <f>output_viki!AA24-output_ss!AA24</f>
        <v>0</v>
      </c>
      <c r="AB24" s="236">
        <f>output_viki!AB24-output_ss!AB24</f>
        <v>0</v>
      </c>
      <c r="AC24" s="236">
        <f>output_viki!AC24-output_ss!AC24</f>
        <v>0</v>
      </c>
      <c r="AD24" s="236">
        <f>output_viki!AD24-output_ss!AD24</f>
        <v>0</v>
      </c>
      <c r="AE24" s="236">
        <f>output_viki!AE24-output_ss!AE24</f>
        <v>0</v>
      </c>
      <c r="AF24" s="236">
        <f>output_viki!AF24-output_ss!AF24</f>
        <v>0</v>
      </c>
      <c r="AG24" s="236">
        <f>output_viki!AG24-output_ss!AG24</f>
        <v>0</v>
      </c>
      <c r="AH24" s="236">
        <f>output_viki!AH24-output_ss!AH24</f>
        <v>0</v>
      </c>
    </row>
    <row r="25" spans="1:34" x14ac:dyDescent="0.2">
      <c r="H25" s="236"/>
      <c r="I25" s="236"/>
      <c r="J25" s="236"/>
      <c r="K25" s="236"/>
      <c r="L25" s="236"/>
      <c r="M25" s="236"/>
      <c r="N25" s="236"/>
      <c r="O25" s="236"/>
      <c r="P25" s="236"/>
    </row>
    <row r="26" spans="1:34" x14ac:dyDescent="0.2">
      <c r="H26" s="236"/>
      <c r="I26" s="236"/>
      <c r="J26" s="236"/>
      <c r="K26" s="236"/>
      <c r="L26" s="236"/>
      <c r="M26" s="236"/>
      <c r="N26" s="236"/>
      <c r="O26" s="236"/>
      <c r="P26" s="236"/>
    </row>
    <row r="27" spans="1:34" x14ac:dyDescent="0.2">
      <c r="H27" s="236"/>
      <c r="I27" s="236"/>
      <c r="J27" s="236"/>
      <c r="K27" s="236"/>
      <c r="L27" s="236"/>
      <c r="M27" s="236"/>
      <c r="N27" s="236"/>
      <c r="O27" s="236"/>
      <c r="P27" s="23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theme="4" tint="0.39997558519241921"/>
  </sheetPr>
  <dimension ref="A1:AB204"/>
  <sheetViews>
    <sheetView topLeftCell="D1" workbookViewId="0">
      <selection activeCell="R18" sqref="R18"/>
    </sheetView>
  </sheetViews>
  <sheetFormatPr defaultRowHeight="12.75" x14ac:dyDescent="0.2"/>
  <cols>
    <col min="4" max="4" width="13.7109375" customWidth="1"/>
    <col min="5" max="5" width="30.42578125" bestFit="1" customWidth="1"/>
    <col min="6" max="6" width="9.7109375" customWidth="1"/>
    <col min="7" max="7" width="23.28515625" bestFit="1" customWidth="1"/>
    <col min="8" max="9" width="14.140625" customWidth="1"/>
    <col min="10" max="10" width="9.140625" style="229" customWidth="1"/>
    <col min="11" max="11" width="13.140625" style="229" customWidth="1"/>
    <col min="12" max="12" width="15" style="229" customWidth="1"/>
    <col min="13" max="13" width="11.7109375" customWidth="1"/>
    <col min="14" max="15" width="11.7109375" style="229" customWidth="1"/>
    <col min="16" max="17" width="12.140625" style="229" customWidth="1"/>
    <col min="18" max="18" width="12" bestFit="1" customWidth="1"/>
    <col min="19" max="19" width="12" customWidth="1"/>
    <col min="20" max="20" width="13.28515625" customWidth="1"/>
    <col min="21" max="23" width="11.7109375" customWidth="1"/>
    <col min="27" max="27" width="18.42578125" bestFit="1" customWidth="1"/>
  </cols>
  <sheetData>
    <row r="1" spans="1:28" x14ac:dyDescent="0.2">
      <c r="A1">
        <f>number_of_buildings</f>
        <v>11</v>
      </c>
      <c r="J1"/>
      <c r="K1"/>
      <c r="N1"/>
      <c r="O1"/>
      <c r="P1"/>
      <c r="Q1"/>
    </row>
    <row r="2" spans="1:28" s="233" customFormat="1" ht="38.25" x14ac:dyDescent="0.2">
      <c r="C2" s="250" t="s">
        <v>986</v>
      </c>
      <c r="D2" s="250" t="s">
        <v>62</v>
      </c>
      <c r="E2" s="251" t="s">
        <v>50</v>
      </c>
      <c r="F2" s="251" t="s">
        <v>942</v>
      </c>
      <c r="G2" s="251" t="s">
        <v>943</v>
      </c>
      <c r="H2" s="251" t="s">
        <v>946</v>
      </c>
      <c r="I2" s="251" t="s">
        <v>949</v>
      </c>
      <c r="J2" s="251" t="s">
        <v>951</v>
      </c>
      <c r="K2" s="251" t="s">
        <v>944</v>
      </c>
      <c r="L2" s="252" t="s">
        <v>969</v>
      </c>
      <c r="M2" s="251" t="s">
        <v>52</v>
      </c>
      <c r="N2" s="251" t="s">
        <v>328</v>
      </c>
      <c r="O2" s="251" t="s">
        <v>329</v>
      </c>
      <c r="P2" s="251" t="s">
        <v>712</v>
      </c>
      <c r="Q2" s="251" t="s">
        <v>968</v>
      </c>
      <c r="R2" s="251" t="s">
        <v>254</v>
      </c>
      <c r="S2" s="251" t="s">
        <v>979</v>
      </c>
      <c r="T2" s="253" t="s">
        <v>945</v>
      </c>
      <c r="U2" s="254" t="s">
        <v>952</v>
      </c>
      <c r="V2" s="255" t="s">
        <v>953</v>
      </c>
      <c r="W2" s="255" t="s">
        <v>980</v>
      </c>
    </row>
    <row r="3" spans="1:28" s="233" customFormat="1" hidden="1" x14ac:dyDescent="0.2">
      <c r="D3" s="235"/>
      <c r="E3" s="235"/>
      <c r="F3" s="235"/>
      <c r="G3" s="235"/>
      <c r="H3" s="235"/>
      <c r="I3" s="235"/>
      <c r="J3" s="235"/>
      <c r="K3" s="235"/>
      <c r="L3" s="237"/>
      <c r="M3" s="235"/>
      <c r="N3" s="235"/>
      <c r="O3" s="235"/>
      <c r="P3" s="235"/>
      <c r="Q3" s="235"/>
      <c r="R3" s="235"/>
      <c r="T3" s="235"/>
    </row>
    <row r="4" spans="1:28" hidden="1" x14ac:dyDescent="0.2">
      <c r="D4" t="s">
        <v>930</v>
      </c>
      <c r="E4" t="s">
        <v>932</v>
      </c>
      <c r="F4" t="s">
        <v>931</v>
      </c>
      <c r="G4" t="s">
        <v>933</v>
      </c>
      <c r="H4" t="s">
        <v>947</v>
      </c>
      <c r="I4" t="s">
        <v>950</v>
      </c>
      <c r="J4"/>
      <c r="K4" t="s">
        <v>937</v>
      </c>
      <c r="M4" t="s">
        <v>948</v>
      </c>
      <c r="N4" t="s">
        <v>934</v>
      </c>
      <c r="O4" t="s">
        <v>935</v>
      </c>
      <c r="P4" t="s">
        <v>936</v>
      </c>
      <c r="Q4"/>
      <c r="R4" t="s">
        <v>940</v>
      </c>
      <c r="S4" s="235">
        <f ca="1">1+SUM(AccountLevelSummary!H5:H7)/AccountLevelSummary!H3</f>
        <v>0.85</v>
      </c>
      <c r="V4" t="e">
        <f>AccountLevelSummary!H21/Catastrophe!B3</f>
        <v>#DIV/0!</v>
      </c>
      <c r="W4" s="236"/>
      <c r="X4" s="236"/>
    </row>
    <row r="5" spans="1:28" hidden="1" x14ac:dyDescent="0.2">
      <c r="C5" t="s">
        <v>200</v>
      </c>
      <c r="D5" t="str">
        <f>D2</f>
        <v>Occupancy</v>
      </c>
      <c r="E5" t="str">
        <f t="shared" ref="E5:W5" si="0">E2</f>
        <v>Construction Type</v>
      </c>
      <c r="F5" t="str">
        <f t="shared" si="0"/>
        <v>Year of Build</v>
      </c>
      <c r="G5" t="str">
        <f t="shared" si="0"/>
        <v>Sprinkler</v>
      </c>
      <c r="H5" t="str">
        <f t="shared" si="0"/>
        <v>PPC</v>
      </c>
      <c r="I5" t="str">
        <f t="shared" si="0"/>
        <v>Square Foot</v>
      </c>
      <c r="J5" t="str">
        <f>J2</f>
        <v>$ per Sq Ft</v>
      </c>
      <c r="K5" t="str">
        <f t="shared" si="0"/>
        <v>Building Valuation</v>
      </c>
      <c r="L5" t="str">
        <f t="shared" si="0"/>
        <v>Insurance to Value Diff</v>
      </c>
      <c r="M5" t="str">
        <f>M2</f>
        <v>Deductible</v>
      </c>
      <c r="N5" t="str">
        <f>N2</f>
        <v>Building Limit</v>
      </c>
      <c r="O5" t="str">
        <f>O2</f>
        <v>Contents Limit</v>
      </c>
      <c r="P5" t="str">
        <f>P2</f>
        <v>Business Income Limit</v>
      </c>
      <c r="Q5" t="str">
        <f>Q2</f>
        <v>Total Limit</v>
      </c>
      <c r="R5" t="str">
        <f t="shared" si="0"/>
        <v>Loss Cost</v>
      </c>
      <c r="S5" t="str">
        <f t="shared" si="0"/>
        <v>Gross AOP Premium</v>
      </c>
      <c r="T5" t="str">
        <f t="shared" si="0"/>
        <v>Rate on TIV (Per $100)</v>
      </c>
      <c r="U5" t="str">
        <f t="shared" si="0"/>
        <v>Cat AAL</v>
      </c>
      <c r="V5" t="str">
        <f t="shared" si="0"/>
        <v>Net Cat Premium</v>
      </c>
      <c r="W5" t="str">
        <f t="shared" si="0"/>
        <v>Gross Cat Premiums</v>
      </c>
    </row>
    <row r="6" spans="1:28" x14ac:dyDescent="0.2">
      <c r="B6" t="s">
        <v>941</v>
      </c>
      <c r="C6">
        <v>1</v>
      </c>
      <c r="D6" t="str">
        <f t="shared" ref="D6:K15" ca="1" si="1">IFERROR(INDIRECT("'"&amp;$B$6&amp;$C6&amp;"'!"&amp;D$4),"")</f>
        <v>Office</v>
      </c>
      <c r="E6" t="str">
        <f t="shared" ca="1" si="1"/>
        <v>ISO 1 – Frame</v>
      </c>
      <c r="F6">
        <f t="shared" ca="1" si="1"/>
        <v>1987</v>
      </c>
      <c r="G6" t="str">
        <f t="shared" ca="1" si="1"/>
        <v>Partial, No Central Alarm</v>
      </c>
      <c r="H6">
        <f t="shared" ca="1" si="1"/>
        <v>7</v>
      </c>
      <c r="I6">
        <f t="shared" ca="1" si="1"/>
        <v>0</v>
      </c>
      <c r="J6" s="229" t="str">
        <f t="shared" ref="J6:J37" ca="1" si="2">IFERROR(K6/I6,"")</f>
        <v/>
      </c>
      <c r="K6" s="229">
        <f t="shared" ca="1" si="1"/>
        <v>646160</v>
      </c>
      <c r="L6" s="229">
        <f t="shared" ref="L6:L37" ca="1" si="3">IFERROR(N6-K6,"")</f>
        <v>-296160</v>
      </c>
      <c r="M6" s="229">
        <f t="shared" ref="M6:P25" ca="1" si="4">IFERROR(INDIRECT("'"&amp;$B$6&amp;$C6&amp;"'!"&amp;M$4),"")</f>
        <v>50000</v>
      </c>
      <c r="N6" s="229">
        <f t="shared" ca="1" si="4"/>
        <v>350000</v>
      </c>
      <c r="O6" s="229">
        <f t="shared" ca="1" si="4"/>
        <v>65000</v>
      </c>
      <c r="P6" s="229">
        <f t="shared" ca="1" si="4"/>
        <v>250000</v>
      </c>
      <c r="Q6" s="229">
        <f t="shared" ref="Q6:Q37" ca="1" si="5">IF(SUM(N6:P6)=0,"",SUM(N6:P6))</f>
        <v>665000</v>
      </c>
      <c r="R6" s="234">
        <f t="shared" ref="R6:R37" ca="1" si="6">IFERROR(INDIRECT("'"&amp;$B$6&amp;$C6&amp;"'!"&amp;R$4),"")</f>
        <v>1700.2718097330003</v>
      </c>
      <c r="S6" s="234">
        <f t="shared" ref="S6:S37" ca="1" si="7">IFERROR(R6*$S$4/0.725,"")</f>
        <v>1993.4221217559314</v>
      </c>
      <c r="T6" s="231">
        <f t="shared" ref="T6:T37" ca="1" si="8">IFERROR(S6/SUM(N6:P6)*100,"")</f>
        <v>0.29976272507607987</v>
      </c>
      <c r="U6" s="229">
        <f>CleaningSheet!AH14</f>
        <v>0</v>
      </c>
      <c r="V6" s="229" t="e">
        <f>U6*V$4</f>
        <v>#DIV/0!</v>
      </c>
      <c r="W6" s="229" t="str">
        <f>IFERROR(V6/0.725,"")</f>
        <v/>
      </c>
      <c r="X6" s="229"/>
    </row>
    <row r="7" spans="1:28" x14ac:dyDescent="0.2">
      <c r="C7">
        <f>IF($A$1&lt;COUNTIF($C$5:C6,"&lt;&gt;"),"",COUNTIF($C$5:C6,"&lt;&gt;"))</f>
        <v>2</v>
      </c>
      <c r="D7" t="str">
        <f t="shared" ca="1" si="1"/>
        <v>Machine Shops</v>
      </c>
      <c r="E7" t="str">
        <f t="shared" ca="1" si="1"/>
        <v>ISO 3 – Metal</v>
      </c>
      <c r="F7">
        <f t="shared" ca="1" si="1"/>
        <v>1987</v>
      </c>
      <c r="G7" t="str">
        <f t="shared" ca="1" si="1"/>
        <v>Partial, No Central Alarm</v>
      </c>
      <c r="H7">
        <f t="shared" ca="1" si="1"/>
        <v>7</v>
      </c>
      <c r="I7">
        <f t="shared" ca="1" si="1"/>
        <v>0</v>
      </c>
      <c r="J7" s="229" t="str">
        <f t="shared" ca="1" si="2"/>
        <v/>
      </c>
      <c r="K7" s="229">
        <f t="shared" ca="1" si="1"/>
        <v>1611500</v>
      </c>
      <c r="L7" s="229">
        <f t="shared" ca="1" si="3"/>
        <v>-1027947</v>
      </c>
      <c r="M7" s="229">
        <f t="shared" ca="1" si="4"/>
        <v>50000</v>
      </c>
      <c r="N7" s="229">
        <f t="shared" ca="1" si="4"/>
        <v>583553</v>
      </c>
      <c r="O7" s="229">
        <f t="shared" ca="1" si="4"/>
        <v>60000</v>
      </c>
      <c r="P7" s="229">
        <f t="shared" ca="1" si="4"/>
        <v>0</v>
      </c>
      <c r="Q7" s="229">
        <f t="shared" ca="1" si="5"/>
        <v>643553</v>
      </c>
      <c r="R7" s="234">
        <f t="shared" ca="1" si="6"/>
        <v>1424.3233617127651</v>
      </c>
      <c r="S7" s="234">
        <f t="shared" ca="1" si="7"/>
        <v>1669.8963551115178</v>
      </c>
      <c r="T7" s="231">
        <f t="shared" ca="1" si="8"/>
        <v>0.25948078170896849</v>
      </c>
      <c r="U7" s="229">
        <f>CleaningSheet!AH15</f>
        <v>0</v>
      </c>
      <c r="V7" s="229" t="e">
        <f t="shared" ref="V7:V50" si="9">U7*V$4</f>
        <v>#DIV/0!</v>
      </c>
      <c r="W7" s="229" t="str">
        <f t="shared" ref="W7:W71" si="10">IFERROR(V7/0.725,"")</f>
        <v/>
      </c>
      <c r="X7" s="229"/>
      <c r="AA7" s="232">
        <f ca="1">R6/AB7</f>
        <v>0.274554454778906</v>
      </c>
      <c r="AB7">
        <f>3194.92+2997.92</f>
        <v>6192.84</v>
      </c>
    </row>
    <row r="8" spans="1:28" x14ac:dyDescent="0.2">
      <c r="C8">
        <f>IF($A$1&lt;COUNTIF($C$5:C7,"&lt;&gt;"),"",COUNTIF($C$5:C7,"&lt;&gt;"))</f>
        <v>3</v>
      </c>
      <c r="D8" t="str">
        <f t="shared" ca="1" si="1"/>
        <v>Machine Shops</v>
      </c>
      <c r="E8" t="str">
        <f t="shared" ca="1" si="1"/>
        <v>ISO 3 – Metal</v>
      </c>
      <c r="F8">
        <f t="shared" ca="1" si="1"/>
        <v>1987</v>
      </c>
      <c r="G8" t="str">
        <f t="shared" ca="1" si="1"/>
        <v>Partial, No Central Alarm</v>
      </c>
      <c r="H8">
        <f t="shared" ca="1" si="1"/>
        <v>7</v>
      </c>
      <c r="I8">
        <f t="shared" ca="1" si="1"/>
        <v>0</v>
      </c>
      <c r="J8" s="229" t="str">
        <f t="shared" ca="1" si="2"/>
        <v/>
      </c>
      <c r="K8" s="229">
        <f t="shared" ca="1" si="1"/>
        <v>477290</v>
      </c>
      <c r="L8" s="229">
        <f t="shared" ca="1" si="3"/>
        <v>-284920</v>
      </c>
      <c r="M8" s="229">
        <f t="shared" ca="1" si="4"/>
        <v>50000</v>
      </c>
      <c r="N8" s="229">
        <f t="shared" ca="1" si="4"/>
        <v>192370</v>
      </c>
      <c r="O8" s="229">
        <f t="shared" ca="1" si="4"/>
        <v>10000</v>
      </c>
      <c r="P8" s="229">
        <f t="shared" ca="1" si="4"/>
        <v>0</v>
      </c>
      <c r="Q8" s="229">
        <f t="shared" ca="1" si="5"/>
        <v>202370</v>
      </c>
      <c r="R8" s="234">
        <f t="shared" ca="1" si="6"/>
        <v>449.17811024835004</v>
      </c>
      <c r="S8" s="234">
        <f t="shared" ca="1" si="7"/>
        <v>526.62261201530703</v>
      </c>
      <c r="T8" s="231">
        <f t="shared" ca="1" si="8"/>
        <v>0.26022760884286555</v>
      </c>
      <c r="U8" s="229">
        <f>CleaningSheet!AH16</f>
        <v>0</v>
      </c>
      <c r="V8" s="229" t="e">
        <f t="shared" si="9"/>
        <v>#DIV/0!</v>
      </c>
      <c r="W8" s="229" t="str">
        <f t="shared" si="10"/>
        <v/>
      </c>
      <c r="X8" s="229"/>
      <c r="AA8" s="270">
        <f ca="1">AA7^-1</f>
        <v>3.642264704119563</v>
      </c>
    </row>
    <row r="9" spans="1:28" x14ac:dyDescent="0.2">
      <c r="C9">
        <f>IF($A$1&lt;COUNTIF($C$5:C8,"&lt;&gt;"),"",COUNTIF($C$5:C8,"&lt;&gt;"))</f>
        <v>4</v>
      </c>
      <c r="D9" t="str">
        <f t="shared" ca="1" si="1"/>
        <v>Machine Shops</v>
      </c>
      <c r="E9" t="str">
        <f t="shared" ca="1" si="1"/>
        <v>ISO 3 – Metal</v>
      </c>
      <c r="F9">
        <f t="shared" ca="1" si="1"/>
        <v>1994</v>
      </c>
      <c r="G9" t="str">
        <f t="shared" ca="1" si="1"/>
        <v>Partial, No Central Alarm</v>
      </c>
      <c r="H9">
        <f t="shared" ca="1" si="1"/>
        <v>7</v>
      </c>
      <c r="I9">
        <f t="shared" ca="1" si="1"/>
        <v>0</v>
      </c>
      <c r="J9" s="229" t="str">
        <f t="shared" ca="1" si="2"/>
        <v/>
      </c>
      <c r="K9" s="229">
        <f t="shared" ca="1" si="1"/>
        <v>1651650</v>
      </c>
      <c r="L9" s="229">
        <f t="shared" ca="1" si="3"/>
        <v>-851650</v>
      </c>
      <c r="M9" s="229">
        <f t="shared" ca="1" si="4"/>
        <v>50000</v>
      </c>
      <c r="N9" s="229">
        <f t="shared" ca="1" si="4"/>
        <v>800000</v>
      </c>
      <c r="O9" s="229">
        <f t="shared" ca="1" si="4"/>
        <v>100000</v>
      </c>
      <c r="P9" s="229">
        <f t="shared" ca="1" si="4"/>
        <v>0</v>
      </c>
      <c r="Q9" s="229">
        <f t="shared" ca="1" si="5"/>
        <v>900000</v>
      </c>
      <c r="R9" s="234">
        <f t="shared" ca="1" si="6"/>
        <v>1989.5574004650002</v>
      </c>
      <c r="S9" s="234">
        <f t="shared" ca="1" si="7"/>
        <v>2332.5845384762069</v>
      </c>
      <c r="T9" s="231">
        <f t="shared" ca="1" si="8"/>
        <v>0.25917605983068964</v>
      </c>
      <c r="U9" s="229">
        <f>CleaningSheet!AH17</f>
        <v>0</v>
      </c>
      <c r="V9" s="229" t="e">
        <f t="shared" si="9"/>
        <v>#DIV/0!</v>
      </c>
      <c r="W9" s="229" t="str">
        <f t="shared" si="10"/>
        <v/>
      </c>
      <c r="X9" s="229"/>
    </row>
    <row r="10" spans="1:28" x14ac:dyDescent="0.2">
      <c r="C10">
        <f>IF($A$1&lt;COUNTIF($C$5:C9,"&lt;&gt;"),"",COUNTIF($C$5:C9,"&lt;&gt;"))</f>
        <v>5</v>
      </c>
      <c r="D10" t="str">
        <f t="shared" ca="1" si="1"/>
        <v>Machine Shops</v>
      </c>
      <c r="E10" t="str">
        <f t="shared" ca="1" si="1"/>
        <v>ISO 3 – Metal</v>
      </c>
      <c r="F10">
        <f t="shared" ca="1" si="1"/>
        <v>1990</v>
      </c>
      <c r="G10" t="str">
        <f t="shared" ca="1" si="1"/>
        <v>Partial, No Central Alarm</v>
      </c>
      <c r="H10">
        <f t="shared" ca="1" si="1"/>
        <v>7</v>
      </c>
      <c r="I10">
        <f t="shared" ca="1" si="1"/>
        <v>0</v>
      </c>
      <c r="J10" s="229" t="str">
        <f t="shared" ca="1" si="2"/>
        <v/>
      </c>
      <c r="K10" s="229">
        <f t="shared" ca="1" si="1"/>
        <v>355743</v>
      </c>
      <c r="L10" s="229">
        <f t="shared" ca="1" si="3"/>
        <v>-287703</v>
      </c>
      <c r="M10" s="229">
        <f t="shared" ca="1" si="4"/>
        <v>50000</v>
      </c>
      <c r="N10" s="229">
        <f t="shared" ca="1" si="4"/>
        <v>68040</v>
      </c>
      <c r="O10" s="229">
        <f t="shared" ca="1" si="4"/>
        <v>0</v>
      </c>
      <c r="P10" s="229">
        <f t="shared" ca="1" si="4"/>
        <v>0</v>
      </c>
      <c r="Q10" s="229">
        <f t="shared" ca="1" si="5"/>
        <v>68040</v>
      </c>
      <c r="R10" s="234">
        <f t="shared" ca="1" si="6"/>
        <v>151.50956722020001</v>
      </c>
      <c r="S10" s="234">
        <f t="shared" ca="1" si="7"/>
        <v>177.63190639609658</v>
      </c>
      <c r="T10" s="231">
        <f t="shared" ca="1" si="8"/>
        <v>0.26106982127586215</v>
      </c>
      <c r="U10" s="229">
        <f>CleaningSheet!AH18</f>
        <v>0</v>
      </c>
      <c r="V10" s="229" t="e">
        <f t="shared" si="9"/>
        <v>#DIV/0!</v>
      </c>
      <c r="W10" s="229" t="str">
        <f t="shared" si="10"/>
        <v/>
      </c>
      <c r="X10" s="229"/>
    </row>
    <row r="11" spans="1:28" x14ac:dyDescent="0.2">
      <c r="C11">
        <f>IF($A$1&lt;COUNTIF($C$5:C10,"&lt;&gt;"),"",COUNTIF($C$5:C10,"&lt;&gt;"))</f>
        <v>6</v>
      </c>
      <c r="D11" t="str">
        <f t="shared" ca="1" si="1"/>
        <v>Machine Shops</v>
      </c>
      <c r="E11" t="str">
        <f t="shared" ca="1" si="1"/>
        <v>ISO 3 – Metal</v>
      </c>
      <c r="F11">
        <f t="shared" ca="1" si="1"/>
        <v>1996</v>
      </c>
      <c r="G11" t="str">
        <f t="shared" ca="1" si="1"/>
        <v>Partial, No Central Alarm</v>
      </c>
      <c r="H11">
        <f t="shared" ca="1" si="1"/>
        <v>7</v>
      </c>
      <c r="I11">
        <f t="shared" ca="1" si="1"/>
        <v>0</v>
      </c>
      <c r="J11" s="229" t="str">
        <f t="shared" ca="1" si="2"/>
        <v/>
      </c>
      <c r="K11" s="229">
        <f t="shared" ca="1" si="1"/>
        <v>4450000</v>
      </c>
      <c r="L11" s="229">
        <f t="shared" ca="1" si="3"/>
        <v>0</v>
      </c>
      <c r="M11" s="229">
        <f t="shared" ca="1" si="4"/>
        <v>50000</v>
      </c>
      <c r="N11" s="229">
        <f t="shared" ca="1" si="4"/>
        <v>4450000</v>
      </c>
      <c r="O11" s="229">
        <f t="shared" ca="1" si="4"/>
        <v>250000</v>
      </c>
      <c r="P11" s="229">
        <f t="shared" ca="1" si="4"/>
        <v>0</v>
      </c>
      <c r="Q11" s="229">
        <f t="shared" ca="1" si="5"/>
        <v>4700000</v>
      </c>
      <c r="R11" s="234">
        <f t="shared" ca="1" si="6"/>
        <v>11339.153462625</v>
      </c>
      <c r="S11" s="234">
        <f t="shared" ca="1" si="7"/>
        <v>13294.179921698276</v>
      </c>
      <c r="T11" s="231">
        <f t="shared" ca="1" si="8"/>
        <v>0.28285489195102714</v>
      </c>
      <c r="U11" s="229">
        <f>CleaningSheet!AH19</f>
        <v>0</v>
      </c>
      <c r="V11" s="229" t="e">
        <f t="shared" si="9"/>
        <v>#DIV/0!</v>
      </c>
      <c r="W11" s="229" t="str">
        <f t="shared" si="10"/>
        <v/>
      </c>
      <c r="X11" s="229"/>
    </row>
    <row r="12" spans="1:28" x14ac:dyDescent="0.2">
      <c r="C12">
        <f>IF($A$1&lt;COUNTIF($C$5:C11,"&lt;&gt;"),"",COUNTIF($C$5:C11,"&lt;&gt;"))</f>
        <v>7</v>
      </c>
      <c r="D12" t="str">
        <f t="shared" ca="1" si="1"/>
        <v>Office</v>
      </c>
      <c r="E12" t="str">
        <f t="shared" ca="1" si="1"/>
        <v>ISO 3 – Non-Combustible</v>
      </c>
      <c r="F12">
        <f t="shared" ca="1" si="1"/>
        <v>2005</v>
      </c>
      <c r="G12" t="str">
        <f t="shared" ca="1" si="1"/>
        <v>Partial, No Central Alarm</v>
      </c>
      <c r="H12">
        <f t="shared" ca="1" si="1"/>
        <v>7</v>
      </c>
      <c r="I12">
        <f t="shared" ca="1" si="1"/>
        <v>0</v>
      </c>
      <c r="J12" s="229" t="str">
        <f t="shared" ca="1" si="2"/>
        <v/>
      </c>
      <c r="K12" s="229">
        <f t="shared" ca="1" si="1"/>
        <v>368000</v>
      </c>
      <c r="L12" s="229">
        <f t="shared" ca="1" si="3"/>
        <v>-308000</v>
      </c>
      <c r="M12" s="229">
        <f t="shared" ca="1" si="4"/>
        <v>50000</v>
      </c>
      <c r="N12" s="229">
        <f t="shared" ca="1" si="4"/>
        <v>60000</v>
      </c>
      <c r="O12" s="229">
        <f t="shared" ca="1" si="4"/>
        <v>7500</v>
      </c>
      <c r="P12" s="229">
        <f t="shared" ca="1" si="4"/>
        <v>0</v>
      </c>
      <c r="Q12" s="229">
        <f t="shared" ca="1" si="5"/>
        <v>67500</v>
      </c>
      <c r="R12" s="234">
        <f t="shared" ca="1" si="6"/>
        <v>97.747049718225014</v>
      </c>
      <c r="S12" s="234">
        <f t="shared" ca="1" si="7"/>
        <v>114.59998932481554</v>
      </c>
      <c r="T12" s="231">
        <f t="shared" ca="1" si="8"/>
        <v>0.16977776196268968</v>
      </c>
      <c r="U12" s="229">
        <f>CleaningSheet!AH20</f>
        <v>0</v>
      </c>
      <c r="V12" s="229" t="e">
        <f t="shared" si="9"/>
        <v>#DIV/0!</v>
      </c>
      <c r="W12" s="229" t="str">
        <f t="shared" si="10"/>
        <v/>
      </c>
      <c r="X12" s="229"/>
    </row>
    <row r="13" spans="1:28" x14ac:dyDescent="0.2">
      <c r="C13">
        <f>IF($A$1&lt;COUNTIF($C$5:C12,"&lt;&gt;"),"",COUNTIF($C$5:C12,"&lt;&gt;"))</f>
        <v>8</v>
      </c>
      <c r="D13" t="str">
        <f t="shared" ca="1" si="1"/>
        <v>Office</v>
      </c>
      <c r="E13" t="str">
        <f t="shared" ca="1" si="1"/>
        <v>ISO 3 – Non-Combustible</v>
      </c>
      <c r="F13">
        <f t="shared" ca="1" si="1"/>
        <v>1920</v>
      </c>
      <c r="G13" t="str">
        <f t="shared" ca="1" si="1"/>
        <v>Partial, No Central Alarm</v>
      </c>
      <c r="H13">
        <f t="shared" ca="1" si="1"/>
        <v>7</v>
      </c>
      <c r="I13">
        <f t="shared" ca="1" si="1"/>
        <v>0</v>
      </c>
      <c r="J13" s="229" t="str">
        <f t="shared" ca="1" si="2"/>
        <v/>
      </c>
      <c r="K13" s="229">
        <f t="shared" ca="1" si="1"/>
        <v>368000</v>
      </c>
      <c r="L13" s="229">
        <f t="shared" ca="1" si="3"/>
        <v>-223000</v>
      </c>
      <c r="M13" s="229">
        <f t="shared" ca="1" si="4"/>
        <v>50000</v>
      </c>
      <c r="N13" s="229">
        <f t="shared" ca="1" si="4"/>
        <v>145000</v>
      </c>
      <c r="O13" s="229">
        <f t="shared" ca="1" si="4"/>
        <v>35000</v>
      </c>
      <c r="P13" s="229">
        <f t="shared" ca="1" si="4"/>
        <v>0</v>
      </c>
      <c r="Q13" s="229">
        <f t="shared" ca="1" si="5"/>
        <v>180000</v>
      </c>
      <c r="R13" s="234">
        <f t="shared" ca="1" si="6"/>
        <v>310.90401758895007</v>
      </c>
      <c r="S13" s="234">
        <f t="shared" ca="1" si="7"/>
        <v>364.50815855256218</v>
      </c>
      <c r="T13" s="231">
        <f t="shared" ca="1" si="8"/>
        <v>0.20250453252920123</v>
      </c>
      <c r="U13" s="229">
        <f>CleaningSheet!AH21</f>
        <v>0</v>
      </c>
      <c r="V13" s="229" t="e">
        <f t="shared" si="9"/>
        <v>#DIV/0!</v>
      </c>
      <c r="W13" s="229" t="str">
        <f t="shared" si="10"/>
        <v/>
      </c>
      <c r="X13" s="229"/>
    </row>
    <row r="14" spans="1:28" x14ac:dyDescent="0.2">
      <c r="C14">
        <f>IF($A$1&lt;COUNTIF($C$5:C13,"&lt;&gt;"),"",COUNTIF($C$5:C13,"&lt;&gt;"))</f>
        <v>9</v>
      </c>
      <c r="D14" t="str">
        <f t="shared" ca="1" si="1"/>
        <v>Office</v>
      </c>
      <c r="E14" t="str">
        <f t="shared" ca="1" si="1"/>
        <v>ISO 3 – Non-Combustible</v>
      </c>
      <c r="F14">
        <f t="shared" ca="1" si="1"/>
        <v>2000</v>
      </c>
      <c r="G14" t="str">
        <f t="shared" ca="1" si="1"/>
        <v>Partial, No Central Alarm</v>
      </c>
      <c r="H14">
        <f t="shared" ca="1" si="1"/>
        <v>7</v>
      </c>
      <c r="I14">
        <f t="shared" ca="1" si="1"/>
        <v>0</v>
      </c>
      <c r="J14" s="229" t="str">
        <f t="shared" ca="1" si="2"/>
        <v/>
      </c>
      <c r="K14" s="229">
        <f t="shared" ca="1" si="1"/>
        <v>736000</v>
      </c>
      <c r="L14" s="229">
        <f t="shared" ca="1" si="3"/>
        <v>-336000</v>
      </c>
      <c r="M14" s="229">
        <f t="shared" ca="1" si="4"/>
        <v>50000</v>
      </c>
      <c r="N14" s="229">
        <f t="shared" ca="1" si="4"/>
        <v>400000</v>
      </c>
      <c r="O14" s="229">
        <f t="shared" ca="1" si="4"/>
        <v>65000</v>
      </c>
      <c r="P14" s="229">
        <f t="shared" ca="1" si="4"/>
        <v>0</v>
      </c>
      <c r="Q14" s="229">
        <f t="shared" ca="1" si="5"/>
        <v>465000</v>
      </c>
      <c r="R14" s="234">
        <f t="shared" ca="1" si="6"/>
        <v>739.08055937550012</v>
      </c>
      <c r="S14" s="234">
        <f t="shared" ca="1" si="7"/>
        <v>866.50824202644844</v>
      </c>
      <c r="T14" s="231">
        <f t="shared" ca="1" si="8"/>
        <v>0.18634585850031149</v>
      </c>
      <c r="U14" s="229">
        <f>CleaningSheet!AH22</f>
        <v>0</v>
      </c>
      <c r="V14" s="229" t="e">
        <f t="shared" si="9"/>
        <v>#DIV/0!</v>
      </c>
      <c r="W14" s="229" t="str">
        <f t="shared" si="10"/>
        <v/>
      </c>
      <c r="X14" s="229"/>
    </row>
    <row r="15" spans="1:28" x14ac:dyDescent="0.2">
      <c r="C15">
        <f>IF($A$1&lt;COUNTIF($C$5:C14,"&lt;&gt;"),"",COUNTIF($C$5:C14,"&lt;&gt;"))</f>
        <v>10</v>
      </c>
      <c r="D15" t="str">
        <f t="shared" ca="1" si="1"/>
        <v>General Service</v>
      </c>
      <c r="E15" t="str">
        <f t="shared" ca="1" si="1"/>
        <v>ISO 3 – Metal</v>
      </c>
      <c r="F15">
        <f t="shared" ca="1" si="1"/>
        <v>1920</v>
      </c>
      <c r="G15" t="str">
        <f t="shared" ca="1" si="1"/>
        <v>Partial, No Central Alarm</v>
      </c>
      <c r="H15">
        <f t="shared" ca="1" si="1"/>
        <v>7</v>
      </c>
      <c r="I15">
        <f t="shared" ca="1" si="1"/>
        <v>0</v>
      </c>
      <c r="J15" s="229" t="str">
        <f t="shared" ca="1" si="2"/>
        <v/>
      </c>
      <c r="K15" s="229">
        <f t="shared" ca="1" si="1"/>
        <v>2552700</v>
      </c>
      <c r="L15" s="229">
        <f t="shared" ca="1" si="3"/>
        <v>-2202700</v>
      </c>
      <c r="M15" s="229">
        <f t="shared" ca="1" si="4"/>
        <v>50000</v>
      </c>
      <c r="N15" s="229">
        <f t="shared" ca="1" si="4"/>
        <v>350000</v>
      </c>
      <c r="O15" s="229">
        <f t="shared" ca="1" si="4"/>
        <v>65000</v>
      </c>
      <c r="P15" s="229">
        <f t="shared" ca="1" si="4"/>
        <v>0</v>
      </c>
      <c r="Q15" s="229">
        <f t="shared" ca="1" si="5"/>
        <v>415000</v>
      </c>
      <c r="R15" s="234">
        <f t="shared" ca="1" si="6"/>
        <v>1281.2411789319003</v>
      </c>
      <c r="S15" s="234">
        <f t="shared" ca="1" si="7"/>
        <v>1502.1448304718831</v>
      </c>
      <c r="T15" s="231">
        <f t="shared" ca="1" si="8"/>
        <v>0.36196260975226097</v>
      </c>
      <c r="U15" s="229">
        <f>CleaningSheet!AH23</f>
        <v>0</v>
      </c>
      <c r="V15" s="229" t="e">
        <f t="shared" si="9"/>
        <v>#DIV/0!</v>
      </c>
      <c r="W15" s="229" t="str">
        <f t="shared" si="10"/>
        <v/>
      </c>
      <c r="X15" s="229"/>
    </row>
    <row r="16" spans="1:28" x14ac:dyDescent="0.2">
      <c r="C16">
        <f>IF($A$1&lt;COUNTIF($C$5:C15,"&lt;&gt;"),"",COUNTIF($C$5:C15,"&lt;&gt;"))</f>
        <v>11</v>
      </c>
      <c r="D16" t="str">
        <f t="shared" ref="D16:K25" ca="1" si="11">IFERROR(INDIRECT("'"&amp;$B$6&amp;$C16&amp;"'!"&amp;D$4),"")</f>
        <v>General Service</v>
      </c>
      <c r="E16" t="str">
        <f t="shared" ca="1" si="11"/>
        <v>ISO 1 – Frame</v>
      </c>
      <c r="F16">
        <f t="shared" ca="1" si="11"/>
        <v>1920</v>
      </c>
      <c r="G16" t="str">
        <f t="shared" ca="1" si="11"/>
        <v>Partial, No Central Alarm</v>
      </c>
      <c r="H16">
        <f t="shared" ca="1" si="11"/>
        <v>7</v>
      </c>
      <c r="I16">
        <f t="shared" ca="1" si="11"/>
        <v>0</v>
      </c>
      <c r="J16" s="229" t="str">
        <f t="shared" ca="1" si="2"/>
        <v/>
      </c>
      <c r="K16" s="229">
        <f t="shared" ca="1" si="11"/>
        <v>230595</v>
      </c>
      <c r="L16" s="229">
        <f t="shared" ca="1" si="3"/>
        <v>-102595</v>
      </c>
      <c r="M16" s="229">
        <f t="shared" ca="1" si="4"/>
        <v>50000</v>
      </c>
      <c r="N16" s="229">
        <f t="shared" ca="1" si="4"/>
        <v>128000</v>
      </c>
      <c r="O16" s="229">
        <f t="shared" ca="1" si="4"/>
        <v>0</v>
      </c>
      <c r="P16" s="229">
        <f t="shared" ca="1" si="4"/>
        <v>0</v>
      </c>
      <c r="Q16" s="229">
        <f t="shared" ca="1" si="5"/>
        <v>128000</v>
      </c>
      <c r="R16" s="234">
        <f t="shared" ca="1" si="6"/>
        <v>457.88184096000003</v>
      </c>
      <c r="S16" s="234">
        <f t="shared" ca="1" si="7"/>
        <v>536.82698595310353</v>
      </c>
      <c r="T16" s="231">
        <f t="shared" ca="1" si="8"/>
        <v>0.4193960827758621</v>
      </c>
      <c r="U16" s="229">
        <f>CleaningSheet!AH24</f>
        <v>0</v>
      </c>
      <c r="V16" s="229" t="e">
        <f t="shared" si="9"/>
        <v>#DIV/0!</v>
      </c>
      <c r="W16" s="229" t="str">
        <f t="shared" si="10"/>
        <v/>
      </c>
      <c r="X16" s="229"/>
    </row>
    <row r="17" spans="3:24" x14ac:dyDescent="0.2">
      <c r="C17" t="str">
        <f>IF($A$1&lt;COUNTIF($C$5:C16,"&lt;&gt;"),"",COUNTIF($C$5:C16,"&lt;&gt;"))</f>
        <v/>
      </c>
      <c r="D17" t="str">
        <f t="shared" ca="1" si="11"/>
        <v/>
      </c>
      <c r="E17" t="str">
        <f t="shared" ca="1" si="11"/>
        <v/>
      </c>
      <c r="F17" t="str">
        <f t="shared" ca="1" si="11"/>
        <v/>
      </c>
      <c r="G17" t="str">
        <f t="shared" ca="1" si="11"/>
        <v/>
      </c>
      <c r="H17" t="str">
        <f t="shared" ca="1" si="11"/>
        <v/>
      </c>
      <c r="I17" t="str">
        <f t="shared" ca="1" si="11"/>
        <v/>
      </c>
      <c r="J17" s="229" t="str">
        <f t="shared" ca="1" si="2"/>
        <v/>
      </c>
      <c r="K17" s="229" t="str">
        <f t="shared" ca="1" si="11"/>
        <v/>
      </c>
      <c r="L17" s="229" t="str">
        <f t="shared" ca="1" si="3"/>
        <v/>
      </c>
      <c r="M17" s="229" t="str">
        <f t="shared" ca="1" si="4"/>
        <v/>
      </c>
      <c r="N17" s="229" t="str">
        <f t="shared" ca="1" si="4"/>
        <v/>
      </c>
      <c r="O17" s="229" t="str">
        <f t="shared" ca="1" si="4"/>
        <v/>
      </c>
      <c r="P17" s="229" t="str">
        <f t="shared" ca="1" si="4"/>
        <v/>
      </c>
      <c r="Q17" s="229" t="str">
        <f t="shared" ca="1" si="5"/>
        <v/>
      </c>
      <c r="R17" s="234" t="str">
        <f t="shared" ca="1" si="6"/>
        <v/>
      </c>
      <c r="S17" s="234" t="str">
        <f t="shared" ca="1" si="7"/>
        <v/>
      </c>
      <c r="T17" s="231" t="str">
        <f t="shared" ca="1" si="8"/>
        <v/>
      </c>
      <c r="U17" s="229">
        <f>CleaningSheet!AH25</f>
        <v>0</v>
      </c>
      <c r="V17" s="229" t="e">
        <f t="shared" si="9"/>
        <v>#DIV/0!</v>
      </c>
      <c r="W17" s="229" t="str">
        <f t="shared" si="10"/>
        <v/>
      </c>
      <c r="X17" s="229"/>
    </row>
    <row r="18" spans="3:24" x14ac:dyDescent="0.2">
      <c r="C18" t="str">
        <f>IF($A$1&lt;COUNTIF($C$5:C17,"&lt;&gt;"),"",COUNTIF($C$5:C17,"&lt;&gt;"))</f>
        <v/>
      </c>
      <c r="D18" t="str">
        <f t="shared" ca="1" si="11"/>
        <v/>
      </c>
      <c r="E18" t="str">
        <f t="shared" ca="1" si="11"/>
        <v/>
      </c>
      <c r="F18" t="str">
        <f t="shared" ca="1" si="11"/>
        <v/>
      </c>
      <c r="G18" t="str">
        <f t="shared" ca="1" si="11"/>
        <v/>
      </c>
      <c r="H18" t="str">
        <f t="shared" ca="1" si="11"/>
        <v/>
      </c>
      <c r="I18" t="str">
        <f t="shared" ca="1" si="11"/>
        <v/>
      </c>
      <c r="J18" s="229" t="str">
        <f t="shared" ca="1" si="2"/>
        <v/>
      </c>
      <c r="K18" s="229" t="str">
        <f t="shared" ca="1" si="11"/>
        <v/>
      </c>
      <c r="L18" s="229" t="str">
        <f t="shared" ca="1" si="3"/>
        <v/>
      </c>
      <c r="M18" s="229" t="str">
        <f t="shared" ca="1" si="4"/>
        <v/>
      </c>
      <c r="N18" s="229" t="str">
        <f t="shared" ca="1" si="4"/>
        <v/>
      </c>
      <c r="O18" s="229" t="str">
        <f t="shared" ca="1" si="4"/>
        <v/>
      </c>
      <c r="P18" s="229" t="str">
        <f t="shared" ca="1" si="4"/>
        <v/>
      </c>
      <c r="Q18" s="229" t="str">
        <f t="shared" ca="1" si="5"/>
        <v/>
      </c>
      <c r="R18" s="234" t="str">
        <f t="shared" ca="1" si="6"/>
        <v/>
      </c>
      <c r="S18" s="234" t="str">
        <f t="shared" ca="1" si="7"/>
        <v/>
      </c>
      <c r="T18" s="231" t="str">
        <f t="shared" ca="1" si="8"/>
        <v/>
      </c>
      <c r="U18" s="229">
        <f>CleaningSheet!AH26</f>
        <v>0</v>
      </c>
      <c r="V18" s="229" t="e">
        <f t="shared" si="9"/>
        <v>#DIV/0!</v>
      </c>
      <c r="W18" s="229" t="str">
        <f t="shared" si="10"/>
        <v/>
      </c>
      <c r="X18" s="229"/>
    </row>
    <row r="19" spans="3:24" x14ac:dyDescent="0.2">
      <c r="C19" t="str">
        <f>IF($A$1&lt;COUNTIF($C$5:C18,"&lt;&gt;"),"",COUNTIF($C$5:C18,"&lt;&gt;"))</f>
        <v/>
      </c>
      <c r="D19" t="str">
        <f t="shared" ca="1" si="11"/>
        <v/>
      </c>
      <c r="E19" t="str">
        <f t="shared" ca="1" si="11"/>
        <v/>
      </c>
      <c r="F19" t="str">
        <f t="shared" ca="1" si="11"/>
        <v/>
      </c>
      <c r="G19" t="str">
        <f t="shared" ca="1" si="11"/>
        <v/>
      </c>
      <c r="H19" t="str">
        <f t="shared" ca="1" si="11"/>
        <v/>
      </c>
      <c r="I19" t="str">
        <f t="shared" ca="1" si="11"/>
        <v/>
      </c>
      <c r="J19" s="229" t="str">
        <f t="shared" ca="1" si="2"/>
        <v/>
      </c>
      <c r="K19" s="229" t="str">
        <f t="shared" ca="1" si="11"/>
        <v/>
      </c>
      <c r="L19" s="229" t="str">
        <f t="shared" ca="1" si="3"/>
        <v/>
      </c>
      <c r="M19" s="229" t="str">
        <f t="shared" ca="1" si="4"/>
        <v/>
      </c>
      <c r="N19" s="229" t="str">
        <f t="shared" ca="1" si="4"/>
        <v/>
      </c>
      <c r="O19" s="229" t="str">
        <f t="shared" ca="1" si="4"/>
        <v/>
      </c>
      <c r="P19" s="229" t="str">
        <f t="shared" ca="1" si="4"/>
        <v/>
      </c>
      <c r="Q19" s="229" t="str">
        <f t="shared" ca="1" si="5"/>
        <v/>
      </c>
      <c r="R19" s="234" t="str">
        <f t="shared" ca="1" si="6"/>
        <v/>
      </c>
      <c r="S19" s="234" t="str">
        <f t="shared" ca="1" si="7"/>
        <v/>
      </c>
      <c r="T19" s="231" t="str">
        <f t="shared" ca="1" si="8"/>
        <v/>
      </c>
      <c r="U19" s="229">
        <f>CleaningSheet!AH27</f>
        <v>0</v>
      </c>
      <c r="V19" s="229" t="e">
        <f t="shared" si="9"/>
        <v>#DIV/0!</v>
      </c>
      <c r="W19" s="229" t="str">
        <f t="shared" si="10"/>
        <v/>
      </c>
      <c r="X19" s="229"/>
    </row>
    <row r="20" spans="3:24" x14ac:dyDescent="0.2">
      <c r="C20" t="str">
        <f>IF($A$1&lt;COUNTIF($C$5:C19,"&lt;&gt;"),"",COUNTIF($C$5:C19,"&lt;&gt;"))</f>
        <v/>
      </c>
      <c r="D20" t="str">
        <f t="shared" ca="1" si="11"/>
        <v/>
      </c>
      <c r="E20" t="str">
        <f t="shared" ca="1" si="11"/>
        <v/>
      </c>
      <c r="F20" t="str">
        <f t="shared" ca="1" si="11"/>
        <v/>
      </c>
      <c r="G20" t="str">
        <f t="shared" ca="1" si="11"/>
        <v/>
      </c>
      <c r="H20" t="str">
        <f t="shared" ca="1" si="11"/>
        <v/>
      </c>
      <c r="I20" t="str">
        <f t="shared" ca="1" si="11"/>
        <v/>
      </c>
      <c r="J20" s="229" t="str">
        <f t="shared" ca="1" si="2"/>
        <v/>
      </c>
      <c r="K20" s="229" t="str">
        <f t="shared" ca="1" si="11"/>
        <v/>
      </c>
      <c r="L20" s="229" t="str">
        <f t="shared" ca="1" si="3"/>
        <v/>
      </c>
      <c r="M20" s="229" t="str">
        <f t="shared" ca="1" si="4"/>
        <v/>
      </c>
      <c r="N20" s="229" t="str">
        <f t="shared" ca="1" si="4"/>
        <v/>
      </c>
      <c r="O20" s="229" t="str">
        <f t="shared" ca="1" si="4"/>
        <v/>
      </c>
      <c r="P20" s="229" t="str">
        <f t="shared" ca="1" si="4"/>
        <v/>
      </c>
      <c r="Q20" s="229" t="str">
        <f t="shared" ca="1" si="5"/>
        <v/>
      </c>
      <c r="R20" s="234" t="str">
        <f t="shared" ca="1" si="6"/>
        <v/>
      </c>
      <c r="S20" s="234" t="str">
        <f t="shared" ca="1" si="7"/>
        <v/>
      </c>
      <c r="T20" s="231" t="str">
        <f t="shared" ca="1" si="8"/>
        <v/>
      </c>
      <c r="U20" s="229">
        <f>CleaningSheet!AH28</f>
        <v>0</v>
      </c>
      <c r="V20" s="229" t="e">
        <f t="shared" si="9"/>
        <v>#DIV/0!</v>
      </c>
      <c r="W20" s="229" t="str">
        <f t="shared" si="10"/>
        <v/>
      </c>
      <c r="X20" s="229"/>
    </row>
    <row r="21" spans="3:24" x14ac:dyDescent="0.2">
      <c r="C21" t="str">
        <f>IF($A$1&lt;COUNTIF($C$5:C20,"&lt;&gt;"),"",COUNTIF($C$5:C20,"&lt;&gt;"))</f>
        <v/>
      </c>
      <c r="D21" t="str">
        <f t="shared" ca="1" si="11"/>
        <v/>
      </c>
      <c r="E21" t="str">
        <f t="shared" ca="1" si="11"/>
        <v/>
      </c>
      <c r="F21" t="str">
        <f t="shared" ca="1" si="11"/>
        <v/>
      </c>
      <c r="G21" t="str">
        <f t="shared" ca="1" si="11"/>
        <v/>
      </c>
      <c r="H21" t="str">
        <f t="shared" ca="1" si="11"/>
        <v/>
      </c>
      <c r="I21" t="str">
        <f t="shared" ca="1" si="11"/>
        <v/>
      </c>
      <c r="J21" s="229" t="str">
        <f t="shared" ca="1" si="2"/>
        <v/>
      </c>
      <c r="K21" s="229" t="str">
        <f t="shared" ca="1" si="11"/>
        <v/>
      </c>
      <c r="L21" s="229" t="str">
        <f t="shared" ca="1" si="3"/>
        <v/>
      </c>
      <c r="M21" s="229" t="str">
        <f t="shared" ca="1" si="4"/>
        <v/>
      </c>
      <c r="N21" s="229" t="str">
        <f t="shared" ca="1" si="4"/>
        <v/>
      </c>
      <c r="O21" s="229" t="str">
        <f t="shared" ca="1" si="4"/>
        <v/>
      </c>
      <c r="P21" s="229" t="str">
        <f t="shared" ca="1" si="4"/>
        <v/>
      </c>
      <c r="Q21" s="229" t="str">
        <f t="shared" ca="1" si="5"/>
        <v/>
      </c>
      <c r="R21" s="234" t="str">
        <f t="shared" ca="1" si="6"/>
        <v/>
      </c>
      <c r="S21" s="234" t="str">
        <f t="shared" ca="1" si="7"/>
        <v/>
      </c>
      <c r="T21" s="231" t="str">
        <f t="shared" ca="1" si="8"/>
        <v/>
      </c>
      <c r="U21" s="229">
        <f>CleaningSheet!AH29</f>
        <v>0</v>
      </c>
      <c r="V21" s="229" t="e">
        <f t="shared" si="9"/>
        <v>#DIV/0!</v>
      </c>
      <c r="W21" s="229" t="str">
        <f t="shared" si="10"/>
        <v/>
      </c>
      <c r="X21" s="229"/>
    </row>
    <row r="22" spans="3:24" x14ac:dyDescent="0.2">
      <c r="C22" t="str">
        <f>IF($A$1&lt;COUNTIF($C$5:C21,"&lt;&gt;"),"",COUNTIF($C$5:C21,"&lt;&gt;"))</f>
        <v/>
      </c>
      <c r="D22" t="str">
        <f t="shared" ca="1" si="11"/>
        <v/>
      </c>
      <c r="E22" t="str">
        <f t="shared" ca="1" si="11"/>
        <v/>
      </c>
      <c r="F22" t="str">
        <f t="shared" ca="1" si="11"/>
        <v/>
      </c>
      <c r="G22" t="str">
        <f t="shared" ca="1" si="11"/>
        <v/>
      </c>
      <c r="H22" t="str">
        <f t="shared" ca="1" si="11"/>
        <v/>
      </c>
      <c r="I22" t="str">
        <f t="shared" ca="1" si="11"/>
        <v/>
      </c>
      <c r="J22" s="229" t="str">
        <f t="shared" ca="1" si="2"/>
        <v/>
      </c>
      <c r="K22" s="229" t="str">
        <f t="shared" ca="1" si="11"/>
        <v/>
      </c>
      <c r="L22" s="229" t="str">
        <f t="shared" ca="1" si="3"/>
        <v/>
      </c>
      <c r="M22" s="229" t="str">
        <f t="shared" ca="1" si="4"/>
        <v/>
      </c>
      <c r="N22" s="229" t="str">
        <f t="shared" ca="1" si="4"/>
        <v/>
      </c>
      <c r="O22" s="229" t="str">
        <f t="shared" ca="1" si="4"/>
        <v/>
      </c>
      <c r="P22" s="229" t="str">
        <f t="shared" ca="1" si="4"/>
        <v/>
      </c>
      <c r="Q22" s="229" t="str">
        <f t="shared" ca="1" si="5"/>
        <v/>
      </c>
      <c r="R22" s="234" t="str">
        <f t="shared" ca="1" si="6"/>
        <v/>
      </c>
      <c r="S22" s="234" t="str">
        <f t="shared" ca="1" si="7"/>
        <v/>
      </c>
      <c r="T22" s="231" t="str">
        <f t="shared" ca="1" si="8"/>
        <v/>
      </c>
      <c r="U22" s="229">
        <f>CleaningSheet!AH30</f>
        <v>0</v>
      </c>
      <c r="V22" s="229" t="e">
        <f t="shared" si="9"/>
        <v>#DIV/0!</v>
      </c>
      <c r="W22" s="229" t="str">
        <f t="shared" si="10"/>
        <v/>
      </c>
      <c r="X22" s="229"/>
    </row>
    <row r="23" spans="3:24" x14ac:dyDescent="0.2">
      <c r="C23" t="str">
        <f>IF($A$1&lt;COUNTIF($C$5:C22,"&lt;&gt;"),"",COUNTIF($C$5:C22,"&lt;&gt;"))</f>
        <v/>
      </c>
      <c r="D23" t="str">
        <f t="shared" ca="1" si="11"/>
        <v/>
      </c>
      <c r="E23" t="str">
        <f t="shared" ca="1" si="11"/>
        <v/>
      </c>
      <c r="F23" t="str">
        <f t="shared" ca="1" si="11"/>
        <v/>
      </c>
      <c r="G23" t="str">
        <f t="shared" ca="1" si="11"/>
        <v/>
      </c>
      <c r="H23" t="str">
        <f t="shared" ca="1" si="11"/>
        <v/>
      </c>
      <c r="I23" t="str">
        <f t="shared" ca="1" si="11"/>
        <v/>
      </c>
      <c r="J23" s="229" t="str">
        <f t="shared" ca="1" si="2"/>
        <v/>
      </c>
      <c r="K23" s="229" t="str">
        <f t="shared" ca="1" si="11"/>
        <v/>
      </c>
      <c r="L23" s="229" t="str">
        <f t="shared" ca="1" si="3"/>
        <v/>
      </c>
      <c r="M23" s="229" t="str">
        <f t="shared" ca="1" si="4"/>
        <v/>
      </c>
      <c r="N23" s="229" t="str">
        <f t="shared" ca="1" si="4"/>
        <v/>
      </c>
      <c r="O23" s="229" t="str">
        <f t="shared" ca="1" si="4"/>
        <v/>
      </c>
      <c r="P23" s="229" t="str">
        <f t="shared" ca="1" si="4"/>
        <v/>
      </c>
      <c r="Q23" s="229" t="str">
        <f t="shared" ca="1" si="5"/>
        <v/>
      </c>
      <c r="R23" s="234" t="str">
        <f t="shared" ca="1" si="6"/>
        <v/>
      </c>
      <c r="S23" s="234" t="str">
        <f t="shared" ca="1" si="7"/>
        <v/>
      </c>
      <c r="T23" s="231" t="str">
        <f t="shared" ca="1" si="8"/>
        <v/>
      </c>
      <c r="U23" s="229">
        <f>CleaningSheet!AH31</f>
        <v>0</v>
      </c>
      <c r="V23" s="229" t="e">
        <f t="shared" si="9"/>
        <v>#DIV/0!</v>
      </c>
      <c r="W23" s="229" t="str">
        <f t="shared" si="10"/>
        <v/>
      </c>
      <c r="X23" s="229"/>
    </row>
    <row r="24" spans="3:24" x14ac:dyDescent="0.2">
      <c r="C24" t="str">
        <f>IF($A$1&lt;COUNTIF($C$5:C23,"&lt;&gt;"),"",COUNTIF($C$5:C23,"&lt;&gt;"))</f>
        <v/>
      </c>
      <c r="D24" t="str">
        <f t="shared" ca="1" si="11"/>
        <v/>
      </c>
      <c r="E24" t="str">
        <f t="shared" ca="1" si="11"/>
        <v/>
      </c>
      <c r="F24" t="str">
        <f t="shared" ca="1" si="11"/>
        <v/>
      </c>
      <c r="G24" t="str">
        <f t="shared" ca="1" si="11"/>
        <v/>
      </c>
      <c r="H24" t="str">
        <f t="shared" ca="1" si="11"/>
        <v/>
      </c>
      <c r="I24" t="str">
        <f t="shared" ca="1" si="11"/>
        <v/>
      </c>
      <c r="J24" s="229" t="str">
        <f t="shared" ca="1" si="2"/>
        <v/>
      </c>
      <c r="K24" s="229" t="str">
        <f t="shared" ca="1" si="11"/>
        <v/>
      </c>
      <c r="L24" s="229" t="str">
        <f t="shared" ca="1" si="3"/>
        <v/>
      </c>
      <c r="M24" s="229" t="str">
        <f t="shared" ca="1" si="4"/>
        <v/>
      </c>
      <c r="N24" s="229" t="str">
        <f t="shared" ca="1" si="4"/>
        <v/>
      </c>
      <c r="O24" s="229" t="str">
        <f t="shared" ca="1" si="4"/>
        <v/>
      </c>
      <c r="P24" s="229" t="str">
        <f t="shared" ca="1" si="4"/>
        <v/>
      </c>
      <c r="Q24" s="229" t="str">
        <f t="shared" ca="1" si="5"/>
        <v/>
      </c>
      <c r="R24" s="234" t="str">
        <f t="shared" ca="1" si="6"/>
        <v/>
      </c>
      <c r="S24" s="234" t="str">
        <f t="shared" ca="1" si="7"/>
        <v/>
      </c>
      <c r="T24" s="231" t="str">
        <f t="shared" ca="1" si="8"/>
        <v/>
      </c>
      <c r="U24" s="229">
        <f>CleaningSheet!AH32</f>
        <v>0</v>
      </c>
      <c r="V24" s="229" t="e">
        <f t="shared" si="9"/>
        <v>#DIV/0!</v>
      </c>
      <c r="W24" s="229" t="str">
        <f t="shared" si="10"/>
        <v/>
      </c>
      <c r="X24" s="229"/>
    </row>
    <row r="25" spans="3:24" x14ac:dyDescent="0.2">
      <c r="C25" t="str">
        <f>IF($A$1&lt;COUNTIF($C$5:C24,"&lt;&gt;"),"",COUNTIF($C$5:C24,"&lt;&gt;"))</f>
        <v/>
      </c>
      <c r="D25" t="str">
        <f t="shared" ca="1" si="11"/>
        <v/>
      </c>
      <c r="E25" t="str">
        <f t="shared" ca="1" si="11"/>
        <v/>
      </c>
      <c r="F25" t="str">
        <f t="shared" ca="1" si="11"/>
        <v/>
      </c>
      <c r="G25" t="str">
        <f t="shared" ca="1" si="11"/>
        <v/>
      </c>
      <c r="H25" t="str">
        <f t="shared" ca="1" si="11"/>
        <v/>
      </c>
      <c r="I25" t="str">
        <f t="shared" ca="1" si="11"/>
        <v/>
      </c>
      <c r="J25" s="229" t="str">
        <f t="shared" ca="1" si="2"/>
        <v/>
      </c>
      <c r="K25" s="229" t="str">
        <f t="shared" ca="1" si="11"/>
        <v/>
      </c>
      <c r="L25" s="229" t="str">
        <f t="shared" ca="1" si="3"/>
        <v/>
      </c>
      <c r="M25" s="229" t="str">
        <f t="shared" ca="1" si="4"/>
        <v/>
      </c>
      <c r="N25" s="229" t="str">
        <f t="shared" ca="1" si="4"/>
        <v/>
      </c>
      <c r="O25" s="229" t="str">
        <f t="shared" ca="1" si="4"/>
        <v/>
      </c>
      <c r="P25" s="229" t="str">
        <f t="shared" ca="1" si="4"/>
        <v/>
      </c>
      <c r="Q25" s="229" t="str">
        <f t="shared" ca="1" si="5"/>
        <v/>
      </c>
      <c r="R25" s="234" t="str">
        <f t="shared" ca="1" si="6"/>
        <v/>
      </c>
      <c r="S25" s="234" t="str">
        <f t="shared" ca="1" si="7"/>
        <v/>
      </c>
      <c r="T25" s="231" t="str">
        <f t="shared" ca="1" si="8"/>
        <v/>
      </c>
      <c r="U25" s="229">
        <f>CleaningSheet!AH33</f>
        <v>0</v>
      </c>
      <c r="V25" s="229" t="e">
        <f t="shared" si="9"/>
        <v>#DIV/0!</v>
      </c>
      <c r="W25" s="229" t="str">
        <f t="shared" si="10"/>
        <v/>
      </c>
      <c r="X25" s="229"/>
    </row>
    <row r="26" spans="3:24" x14ac:dyDescent="0.2">
      <c r="C26" t="str">
        <f>IF($A$1&lt;COUNTIF($C$5:C25,"&lt;&gt;"),"",COUNTIF($C$5:C25,"&lt;&gt;"))</f>
        <v/>
      </c>
      <c r="D26" t="str">
        <f t="shared" ref="D26:K35" ca="1" si="12">IFERROR(INDIRECT("'"&amp;$B$6&amp;$C26&amp;"'!"&amp;D$4),"")</f>
        <v/>
      </c>
      <c r="E26" t="str">
        <f t="shared" ca="1" si="12"/>
        <v/>
      </c>
      <c r="F26" t="str">
        <f t="shared" ca="1" si="12"/>
        <v/>
      </c>
      <c r="G26" t="str">
        <f t="shared" ca="1" si="12"/>
        <v/>
      </c>
      <c r="H26" t="str">
        <f t="shared" ca="1" si="12"/>
        <v/>
      </c>
      <c r="I26" t="str">
        <f t="shared" ca="1" si="12"/>
        <v/>
      </c>
      <c r="J26" s="229" t="str">
        <f t="shared" ca="1" si="2"/>
        <v/>
      </c>
      <c r="K26" s="229" t="str">
        <f t="shared" ca="1" si="12"/>
        <v/>
      </c>
      <c r="L26" s="229" t="str">
        <f t="shared" ca="1" si="3"/>
        <v/>
      </c>
      <c r="M26" s="229" t="str">
        <f t="shared" ref="M26:P45" ca="1" si="13">IFERROR(INDIRECT("'"&amp;$B$6&amp;$C26&amp;"'!"&amp;M$4),"")</f>
        <v/>
      </c>
      <c r="N26" s="229" t="str">
        <f t="shared" ca="1" si="13"/>
        <v/>
      </c>
      <c r="O26" s="229" t="str">
        <f t="shared" ca="1" si="13"/>
        <v/>
      </c>
      <c r="P26" s="229" t="str">
        <f t="shared" ca="1" si="13"/>
        <v/>
      </c>
      <c r="Q26" s="229" t="str">
        <f t="shared" ca="1" si="5"/>
        <v/>
      </c>
      <c r="R26" s="234" t="str">
        <f t="shared" ca="1" si="6"/>
        <v/>
      </c>
      <c r="S26" s="234" t="str">
        <f t="shared" ca="1" si="7"/>
        <v/>
      </c>
      <c r="T26" s="231" t="str">
        <f t="shared" ca="1" si="8"/>
        <v/>
      </c>
      <c r="U26" s="229">
        <f>CleaningSheet!AH34</f>
        <v>0</v>
      </c>
      <c r="V26" s="229" t="e">
        <f t="shared" si="9"/>
        <v>#DIV/0!</v>
      </c>
      <c r="W26" s="229" t="str">
        <f t="shared" si="10"/>
        <v/>
      </c>
      <c r="X26" s="229"/>
    </row>
    <row r="27" spans="3:24" x14ac:dyDescent="0.2">
      <c r="C27" t="str">
        <f>IF($A$1&lt;COUNTIF($C$5:C26,"&lt;&gt;"),"",COUNTIF($C$5:C26,"&lt;&gt;"))</f>
        <v/>
      </c>
      <c r="D27" t="str">
        <f t="shared" ca="1" si="12"/>
        <v/>
      </c>
      <c r="E27" t="str">
        <f t="shared" ca="1" si="12"/>
        <v/>
      </c>
      <c r="F27" t="str">
        <f t="shared" ca="1" si="12"/>
        <v/>
      </c>
      <c r="G27" t="str">
        <f t="shared" ca="1" si="12"/>
        <v/>
      </c>
      <c r="H27" t="str">
        <f t="shared" ca="1" si="12"/>
        <v/>
      </c>
      <c r="I27" t="str">
        <f t="shared" ca="1" si="12"/>
        <v/>
      </c>
      <c r="J27" s="229" t="str">
        <f t="shared" ca="1" si="2"/>
        <v/>
      </c>
      <c r="K27" s="229" t="str">
        <f t="shared" ca="1" si="12"/>
        <v/>
      </c>
      <c r="L27" s="229" t="str">
        <f t="shared" ca="1" si="3"/>
        <v/>
      </c>
      <c r="M27" s="229" t="str">
        <f t="shared" ca="1" si="13"/>
        <v/>
      </c>
      <c r="N27" s="229" t="str">
        <f t="shared" ca="1" si="13"/>
        <v/>
      </c>
      <c r="O27" s="229" t="str">
        <f t="shared" ca="1" si="13"/>
        <v/>
      </c>
      <c r="P27" s="229" t="str">
        <f t="shared" ca="1" si="13"/>
        <v/>
      </c>
      <c r="Q27" s="229" t="str">
        <f t="shared" ca="1" si="5"/>
        <v/>
      </c>
      <c r="R27" s="234" t="str">
        <f t="shared" ca="1" si="6"/>
        <v/>
      </c>
      <c r="S27" s="234" t="str">
        <f t="shared" ca="1" si="7"/>
        <v/>
      </c>
      <c r="T27" s="231" t="str">
        <f t="shared" ca="1" si="8"/>
        <v/>
      </c>
      <c r="U27" s="229">
        <f>CleaningSheet!AH35</f>
        <v>0</v>
      </c>
      <c r="V27" s="229" t="e">
        <f t="shared" si="9"/>
        <v>#DIV/0!</v>
      </c>
      <c r="W27" s="229" t="str">
        <f t="shared" si="10"/>
        <v/>
      </c>
      <c r="X27" s="229"/>
    </row>
    <row r="28" spans="3:24" x14ac:dyDescent="0.2">
      <c r="C28" t="str">
        <f>IF($A$1&lt;COUNTIF($C$5:C27,"&lt;&gt;"),"",COUNTIF($C$5:C27,"&lt;&gt;"))</f>
        <v/>
      </c>
      <c r="D28" t="str">
        <f t="shared" ca="1" si="12"/>
        <v/>
      </c>
      <c r="E28" t="str">
        <f t="shared" ca="1" si="12"/>
        <v/>
      </c>
      <c r="F28" t="str">
        <f t="shared" ca="1" si="12"/>
        <v/>
      </c>
      <c r="G28" t="str">
        <f t="shared" ca="1" si="12"/>
        <v/>
      </c>
      <c r="H28" t="str">
        <f t="shared" ca="1" si="12"/>
        <v/>
      </c>
      <c r="I28" t="str">
        <f t="shared" ca="1" si="12"/>
        <v/>
      </c>
      <c r="J28" s="229" t="str">
        <f t="shared" ca="1" si="2"/>
        <v/>
      </c>
      <c r="K28" s="229" t="str">
        <f t="shared" ca="1" si="12"/>
        <v/>
      </c>
      <c r="L28" s="229" t="str">
        <f t="shared" ca="1" si="3"/>
        <v/>
      </c>
      <c r="M28" s="229" t="str">
        <f t="shared" ca="1" si="13"/>
        <v/>
      </c>
      <c r="N28" s="229" t="str">
        <f t="shared" ca="1" si="13"/>
        <v/>
      </c>
      <c r="O28" s="229" t="str">
        <f t="shared" ca="1" si="13"/>
        <v/>
      </c>
      <c r="P28" s="229" t="str">
        <f t="shared" ca="1" si="13"/>
        <v/>
      </c>
      <c r="Q28" s="229" t="str">
        <f t="shared" ca="1" si="5"/>
        <v/>
      </c>
      <c r="R28" s="234" t="str">
        <f t="shared" ca="1" si="6"/>
        <v/>
      </c>
      <c r="S28" s="234" t="str">
        <f t="shared" ca="1" si="7"/>
        <v/>
      </c>
      <c r="T28" s="231" t="str">
        <f t="shared" ca="1" si="8"/>
        <v/>
      </c>
      <c r="U28" s="229">
        <f>CleaningSheet!AH36</f>
        <v>0</v>
      </c>
      <c r="V28" s="229" t="e">
        <f t="shared" si="9"/>
        <v>#DIV/0!</v>
      </c>
      <c r="W28" s="229" t="str">
        <f t="shared" si="10"/>
        <v/>
      </c>
      <c r="X28" s="229"/>
    </row>
    <row r="29" spans="3:24" x14ac:dyDescent="0.2">
      <c r="C29" t="str">
        <f>IF($A$1&lt;COUNTIF($C$5:C28,"&lt;&gt;"),"",COUNTIF($C$5:C28,"&lt;&gt;"))</f>
        <v/>
      </c>
      <c r="D29" t="str">
        <f t="shared" ca="1" si="12"/>
        <v/>
      </c>
      <c r="E29" t="str">
        <f t="shared" ca="1" si="12"/>
        <v/>
      </c>
      <c r="F29" t="str">
        <f t="shared" ca="1" si="12"/>
        <v/>
      </c>
      <c r="G29" t="str">
        <f t="shared" ca="1" si="12"/>
        <v/>
      </c>
      <c r="H29" t="str">
        <f t="shared" ca="1" si="12"/>
        <v/>
      </c>
      <c r="I29" t="str">
        <f t="shared" ca="1" si="12"/>
        <v/>
      </c>
      <c r="J29" s="229" t="str">
        <f t="shared" ca="1" si="2"/>
        <v/>
      </c>
      <c r="K29" s="229" t="str">
        <f t="shared" ca="1" si="12"/>
        <v/>
      </c>
      <c r="L29" s="229" t="str">
        <f t="shared" ca="1" si="3"/>
        <v/>
      </c>
      <c r="M29" s="229" t="str">
        <f t="shared" ca="1" si="13"/>
        <v/>
      </c>
      <c r="N29" s="229" t="str">
        <f t="shared" ca="1" si="13"/>
        <v/>
      </c>
      <c r="O29" s="229" t="str">
        <f t="shared" ca="1" si="13"/>
        <v/>
      </c>
      <c r="P29" s="229" t="str">
        <f t="shared" ca="1" si="13"/>
        <v/>
      </c>
      <c r="Q29" s="229" t="str">
        <f t="shared" ca="1" si="5"/>
        <v/>
      </c>
      <c r="R29" s="234" t="str">
        <f t="shared" ca="1" si="6"/>
        <v/>
      </c>
      <c r="S29" s="234" t="str">
        <f t="shared" ca="1" si="7"/>
        <v/>
      </c>
      <c r="T29" s="231" t="str">
        <f t="shared" ca="1" si="8"/>
        <v/>
      </c>
      <c r="U29" s="229">
        <f>CleaningSheet!AH37</f>
        <v>0</v>
      </c>
      <c r="V29" s="229" t="e">
        <f t="shared" si="9"/>
        <v>#DIV/0!</v>
      </c>
      <c r="W29" s="229" t="str">
        <f t="shared" si="10"/>
        <v/>
      </c>
      <c r="X29" s="229"/>
    </row>
    <row r="30" spans="3:24" x14ac:dyDescent="0.2">
      <c r="C30" t="str">
        <f>IF($A$1&lt;COUNTIF($C$5:C29,"&lt;&gt;"),"",COUNTIF($C$5:C29,"&lt;&gt;"))</f>
        <v/>
      </c>
      <c r="D30" t="str">
        <f t="shared" ca="1" si="12"/>
        <v/>
      </c>
      <c r="E30" t="str">
        <f t="shared" ca="1" si="12"/>
        <v/>
      </c>
      <c r="F30" t="str">
        <f t="shared" ca="1" si="12"/>
        <v/>
      </c>
      <c r="G30" t="str">
        <f t="shared" ca="1" si="12"/>
        <v/>
      </c>
      <c r="H30" t="str">
        <f t="shared" ca="1" si="12"/>
        <v/>
      </c>
      <c r="I30" t="str">
        <f t="shared" ca="1" si="12"/>
        <v/>
      </c>
      <c r="J30" s="229" t="str">
        <f t="shared" ca="1" si="2"/>
        <v/>
      </c>
      <c r="K30" s="229" t="str">
        <f t="shared" ca="1" si="12"/>
        <v/>
      </c>
      <c r="L30" s="229" t="str">
        <f t="shared" ca="1" si="3"/>
        <v/>
      </c>
      <c r="M30" s="229" t="str">
        <f t="shared" ca="1" si="13"/>
        <v/>
      </c>
      <c r="N30" s="229" t="str">
        <f t="shared" ca="1" si="13"/>
        <v/>
      </c>
      <c r="O30" s="229" t="str">
        <f t="shared" ca="1" si="13"/>
        <v/>
      </c>
      <c r="P30" s="229" t="str">
        <f t="shared" ca="1" si="13"/>
        <v/>
      </c>
      <c r="Q30" s="229" t="str">
        <f t="shared" ca="1" si="5"/>
        <v/>
      </c>
      <c r="R30" s="234" t="str">
        <f t="shared" ca="1" si="6"/>
        <v/>
      </c>
      <c r="S30" s="234" t="str">
        <f t="shared" ca="1" si="7"/>
        <v/>
      </c>
      <c r="T30" s="231" t="str">
        <f t="shared" ca="1" si="8"/>
        <v/>
      </c>
      <c r="U30" s="229">
        <f>CleaningSheet!AH38</f>
        <v>0</v>
      </c>
      <c r="V30" s="229" t="e">
        <f t="shared" si="9"/>
        <v>#DIV/0!</v>
      </c>
      <c r="W30" s="229" t="str">
        <f t="shared" si="10"/>
        <v/>
      </c>
      <c r="X30" s="229"/>
    </row>
    <row r="31" spans="3:24" x14ac:dyDescent="0.2">
      <c r="C31" t="str">
        <f>IF($A$1&lt;COUNTIF($C$5:C30,"&lt;&gt;"),"",COUNTIF($C$5:C30,"&lt;&gt;"))</f>
        <v/>
      </c>
      <c r="D31" t="str">
        <f t="shared" ca="1" si="12"/>
        <v/>
      </c>
      <c r="E31" t="str">
        <f t="shared" ca="1" si="12"/>
        <v/>
      </c>
      <c r="F31" t="str">
        <f t="shared" ca="1" si="12"/>
        <v/>
      </c>
      <c r="G31" t="str">
        <f t="shared" ca="1" si="12"/>
        <v/>
      </c>
      <c r="H31" t="str">
        <f t="shared" ca="1" si="12"/>
        <v/>
      </c>
      <c r="I31" t="str">
        <f t="shared" ca="1" si="12"/>
        <v/>
      </c>
      <c r="J31" s="229" t="str">
        <f t="shared" ca="1" si="2"/>
        <v/>
      </c>
      <c r="K31" s="229" t="str">
        <f t="shared" ca="1" si="12"/>
        <v/>
      </c>
      <c r="L31" s="229" t="str">
        <f t="shared" ca="1" si="3"/>
        <v/>
      </c>
      <c r="M31" s="229" t="str">
        <f t="shared" ca="1" si="13"/>
        <v/>
      </c>
      <c r="N31" s="229" t="str">
        <f t="shared" ca="1" si="13"/>
        <v/>
      </c>
      <c r="O31" s="229" t="str">
        <f t="shared" ca="1" si="13"/>
        <v/>
      </c>
      <c r="P31" s="229" t="str">
        <f t="shared" ca="1" si="13"/>
        <v/>
      </c>
      <c r="Q31" s="229" t="str">
        <f t="shared" ca="1" si="5"/>
        <v/>
      </c>
      <c r="R31" s="234" t="str">
        <f t="shared" ca="1" si="6"/>
        <v/>
      </c>
      <c r="S31" s="234" t="str">
        <f t="shared" ca="1" si="7"/>
        <v/>
      </c>
      <c r="T31" s="231" t="str">
        <f t="shared" ca="1" si="8"/>
        <v/>
      </c>
      <c r="U31" s="229">
        <f>CleaningSheet!AH39</f>
        <v>0</v>
      </c>
      <c r="V31" s="229" t="e">
        <f t="shared" si="9"/>
        <v>#DIV/0!</v>
      </c>
      <c r="W31" s="229" t="str">
        <f t="shared" si="10"/>
        <v/>
      </c>
      <c r="X31" s="229"/>
    </row>
    <row r="32" spans="3:24" x14ac:dyDescent="0.2">
      <c r="C32" t="str">
        <f>IF($A$1&lt;COUNTIF($C$5:C31,"&lt;&gt;"),"",COUNTIF($C$5:C31,"&lt;&gt;"))</f>
        <v/>
      </c>
      <c r="D32" t="str">
        <f t="shared" ca="1" si="12"/>
        <v/>
      </c>
      <c r="E32" t="str">
        <f t="shared" ca="1" si="12"/>
        <v/>
      </c>
      <c r="F32" t="str">
        <f t="shared" ca="1" si="12"/>
        <v/>
      </c>
      <c r="G32" t="str">
        <f t="shared" ca="1" si="12"/>
        <v/>
      </c>
      <c r="H32" t="str">
        <f t="shared" ca="1" si="12"/>
        <v/>
      </c>
      <c r="I32" t="str">
        <f t="shared" ca="1" si="12"/>
        <v/>
      </c>
      <c r="J32" s="229" t="str">
        <f t="shared" ca="1" si="2"/>
        <v/>
      </c>
      <c r="K32" s="229" t="str">
        <f t="shared" ca="1" si="12"/>
        <v/>
      </c>
      <c r="L32" s="229" t="str">
        <f t="shared" ca="1" si="3"/>
        <v/>
      </c>
      <c r="M32" s="229" t="str">
        <f t="shared" ca="1" si="13"/>
        <v/>
      </c>
      <c r="N32" s="229" t="str">
        <f t="shared" ca="1" si="13"/>
        <v/>
      </c>
      <c r="O32" s="229" t="str">
        <f t="shared" ca="1" si="13"/>
        <v/>
      </c>
      <c r="P32" s="229" t="str">
        <f t="shared" ca="1" si="13"/>
        <v/>
      </c>
      <c r="Q32" s="229" t="str">
        <f t="shared" ca="1" si="5"/>
        <v/>
      </c>
      <c r="R32" s="234" t="str">
        <f t="shared" ca="1" si="6"/>
        <v/>
      </c>
      <c r="S32" s="234" t="str">
        <f t="shared" ca="1" si="7"/>
        <v/>
      </c>
      <c r="T32" s="231" t="str">
        <f t="shared" ca="1" si="8"/>
        <v/>
      </c>
      <c r="U32" s="229">
        <f>CleaningSheet!AH40</f>
        <v>0</v>
      </c>
      <c r="V32" s="229" t="e">
        <f t="shared" si="9"/>
        <v>#DIV/0!</v>
      </c>
      <c r="W32" s="229" t="str">
        <f t="shared" si="10"/>
        <v/>
      </c>
      <c r="X32" s="229"/>
    </row>
    <row r="33" spans="3:24" x14ac:dyDescent="0.2">
      <c r="C33" t="str">
        <f>IF($A$1&lt;COUNTIF($C$5:C32,"&lt;&gt;"),"",COUNTIF($C$5:C32,"&lt;&gt;"))</f>
        <v/>
      </c>
      <c r="D33" t="str">
        <f t="shared" ca="1" si="12"/>
        <v/>
      </c>
      <c r="E33" t="str">
        <f t="shared" ca="1" si="12"/>
        <v/>
      </c>
      <c r="F33" t="str">
        <f t="shared" ca="1" si="12"/>
        <v/>
      </c>
      <c r="G33" t="str">
        <f t="shared" ca="1" si="12"/>
        <v/>
      </c>
      <c r="H33" t="str">
        <f t="shared" ca="1" si="12"/>
        <v/>
      </c>
      <c r="I33" t="str">
        <f t="shared" ca="1" si="12"/>
        <v/>
      </c>
      <c r="J33" s="229" t="str">
        <f t="shared" ca="1" si="2"/>
        <v/>
      </c>
      <c r="K33" s="229" t="str">
        <f t="shared" ca="1" si="12"/>
        <v/>
      </c>
      <c r="L33" s="229" t="str">
        <f t="shared" ca="1" si="3"/>
        <v/>
      </c>
      <c r="M33" s="229" t="str">
        <f t="shared" ca="1" si="13"/>
        <v/>
      </c>
      <c r="N33" s="229" t="str">
        <f t="shared" ca="1" si="13"/>
        <v/>
      </c>
      <c r="O33" s="229" t="str">
        <f t="shared" ca="1" si="13"/>
        <v/>
      </c>
      <c r="P33" s="229" t="str">
        <f t="shared" ca="1" si="13"/>
        <v/>
      </c>
      <c r="Q33" s="229" t="str">
        <f t="shared" ca="1" si="5"/>
        <v/>
      </c>
      <c r="R33" s="234" t="str">
        <f t="shared" ca="1" si="6"/>
        <v/>
      </c>
      <c r="S33" s="234" t="str">
        <f t="shared" ca="1" si="7"/>
        <v/>
      </c>
      <c r="T33" s="231" t="str">
        <f t="shared" ca="1" si="8"/>
        <v/>
      </c>
      <c r="U33" s="229">
        <f>CleaningSheet!AH41</f>
        <v>0</v>
      </c>
      <c r="V33" s="229" t="e">
        <f t="shared" si="9"/>
        <v>#DIV/0!</v>
      </c>
      <c r="W33" s="229" t="str">
        <f t="shared" si="10"/>
        <v/>
      </c>
      <c r="X33" s="229"/>
    </row>
    <row r="34" spans="3:24" x14ac:dyDescent="0.2">
      <c r="C34" t="str">
        <f>IF($A$1&lt;COUNTIF($C$5:C33,"&lt;&gt;"),"",COUNTIF($C$5:C33,"&lt;&gt;"))</f>
        <v/>
      </c>
      <c r="D34" t="str">
        <f t="shared" ca="1" si="12"/>
        <v/>
      </c>
      <c r="E34" t="str">
        <f t="shared" ca="1" si="12"/>
        <v/>
      </c>
      <c r="F34" t="str">
        <f t="shared" ca="1" si="12"/>
        <v/>
      </c>
      <c r="G34" t="str">
        <f t="shared" ca="1" si="12"/>
        <v/>
      </c>
      <c r="H34" t="str">
        <f t="shared" ca="1" si="12"/>
        <v/>
      </c>
      <c r="I34" t="str">
        <f t="shared" ca="1" si="12"/>
        <v/>
      </c>
      <c r="J34" s="229" t="str">
        <f t="shared" ca="1" si="2"/>
        <v/>
      </c>
      <c r="K34" s="229" t="str">
        <f t="shared" ca="1" si="12"/>
        <v/>
      </c>
      <c r="L34" s="229" t="str">
        <f t="shared" ca="1" si="3"/>
        <v/>
      </c>
      <c r="M34" s="229" t="str">
        <f t="shared" ca="1" si="13"/>
        <v/>
      </c>
      <c r="N34" s="229" t="str">
        <f t="shared" ca="1" si="13"/>
        <v/>
      </c>
      <c r="O34" s="229" t="str">
        <f t="shared" ca="1" si="13"/>
        <v/>
      </c>
      <c r="P34" s="229" t="str">
        <f t="shared" ca="1" si="13"/>
        <v/>
      </c>
      <c r="Q34" s="229" t="str">
        <f t="shared" ca="1" si="5"/>
        <v/>
      </c>
      <c r="R34" s="234" t="str">
        <f t="shared" ca="1" si="6"/>
        <v/>
      </c>
      <c r="S34" s="234" t="str">
        <f t="shared" ca="1" si="7"/>
        <v/>
      </c>
      <c r="T34" s="231" t="str">
        <f t="shared" ca="1" si="8"/>
        <v/>
      </c>
      <c r="U34" s="229">
        <f>CleaningSheet!AH42</f>
        <v>0</v>
      </c>
      <c r="V34" s="229" t="e">
        <f t="shared" si="9"/>
        <v>#DIV/0!</v>
      </c>
      <c r="W34" s="229" t="str">
        <f t="shared" si="10"/>
        <v/>
      </c>
      <c r="X34" s="229"/>
    </row>
    <row r="35" spans="3:24" x14ac:dyDescent="0.2">
      <c r="C35" t="str">
        <f>IF($A$1&lt;COUNTIF($C$5:C34,"&lt;&gt;"),"",COUNTIF($C$5:C34,"&lt;&gt;"))</f>
        <v/>
      </c>
      <c r="D35" t="str">
        <f t="shared" ca="1" si="12"/>
        <v/>
      </c>
      <c r="E35" t="str">
        <f t="shared" ca="1" si="12"/>
        <v/>
      </c>
      <c r="F35" t="str">
        <f t="shared" ca="1" si="12"/>
        <v/>
      </c>
      <c r="G35" t="str">
        <f t="shared" ca="1" si="12"/>
        <v/>
      </c>
      <c r="H35" t="str">
        <f t="shared" ca="1" si="12"/>
        <v/>
      </c>
      <c r="I35" t="str">
        <f t="shared" ca="1" si="12"/>
        <v/>
      </c>
      <c r="J35" s="229" t="str">
        <f t="shared" ca="1" si="2"/>
        <v/>
      </c>
      <c r="K35" s="229" t="str">
        <f t="shared" ca="1" si="12"/>
        <v/>
      </c>
      <c r="L35" s="229" t="str">
        <f t="shared" ca="1" si="3"/>
        <v/>
      </c>
      <c r="M35" s="229" t="str">
        <f t="shared" ca="1" si="13"/>
        <v/>
      </c>
      <c r="N35" s="229" t="str">
        <f t="shared" ca="1" si="13"/>
        <v/>
      </c>
      <c r="O35" s="229" t="str">
        <f t="shared" ca="1" si="13"/>
        <v/>
      </c>
      <c r="P35" s="229" t="str">
        <f t="shared" ca="1" si="13"/>
        <v/>
      </c>
      <c r="Q35" s="229" t="str">
        <f t="shared" ca="1" si="5"/>
        <v/>
      </c>
      <c r="R35" s="234" t="str">
        <f t="shared" ca="1" si="6"/>
        <v/>
      </c>
      <c r="S35" s="234" t="str">
        <f t="shared" ca="1" si="7"/>
        <v/>
      </c>
      <c r="T35" s="231" t="str">
        <f t="shared" ca="1" si="8"/>
        <v/>
      </c>
      <c r="U35" s="229">
        <f>CleaningSheet!AH43</f>
        <v>0</v>
      </c>
      <c r="V35" s="229" t="e">
        <f t="shared" si="9"/>
        <v>#DIV/0!</v>
      </c>
      <c r="W35" s="229" t="str">
        <f t="shared" si="10"/>
        <v/>
      </c>
      <c r="X35" s="229"/>
    </row>
    <row r="36" spans="3:24" x14ac:dyDescent="0.2">
      <c r="C36" t="str">
        <f>IF($A$1&lt;COUNTIF($C$5:C35,"&lt;&gt;"),"",COUNTIF($C$5:C35,"&lt;&gt;"))</f>
        <v/>
      </c>
      <c r="D36" t="str">
        <f t="shared" ref="D36:K45" ca="1" si="14">IFERROR(INDIRECT("'"&amp;$B$6&amp;$C36&amp;"'!"&amp;D$4),"")</f>
        <v/>
      </c>
      <c r="E36" t="str">
        <f t="shared" ca="1" si="14"/>
        <v/>
      </c>
      <c r="F36" t="str">
        <f t="shared" ca="1" si="14"/>
        <v/>
      </c>
      <c r="G36" t="str">
        <f t="shared" ca="1" si="14"/>
        <v/>
      </c>
      <c r="H36" t="str">
        <f t="shared" ca="1" si="14"/>
        <v/>
      </c>
      <c r="I36" t="str">
        <f t="shared" ca="1" si="14"/>
        <v/>
      </c>
      <c r="J36" s="229" t="str">
        <f t="shared" ca="1" si="2"/>
        <v/>
      </c>
      <c r="K36" s="229" t="str">
        <f t="shared" ca="1" si="14"/>
        <v/>
      </c>
      <c r="L36" s="229" t="str">
        <f t="shared" ca="1" si="3"/>
        <v/>
      </c>
      <c r="M36" s="229" t="str">
        <f t="shared" ca="1" si="13"/>
        <v/>
      </c>
      <c r="N36" s="229" t="str">
        <f t="shared" ca="1" si="13"/>
        <v/>
      </c>
      <c r="O36" s="229" t="str">
        <f t="shared" ca="1" si="13"/>
        <v/>
      </c>
      <c r="P36" s="229" t="str">
        <f t="shared" ca="1" si="13"/>
        <v/>
      </c>
      <c r="Q36" s="229" t="str">
        <f t="shared" ca="1" si="5"/>
        <v/>
      </c>
      <c r="R36" s="234" t="str">
        <f t="shared" ca="1" si="6"/>
        <v/>
      </c>
      <c r="S36" s="234" t="str">
        <f t="shared" ca="1" si="7"/>
        <v/>
      </c>
      <c r="T36" s="231" t="str">
        <f t="shared" ca="1" si="8"/>
        <v/>
      </c>
      <c r="U36" s="229">
        <f>CleaningSheet!AH44</f>
        <v>0</v>
      </c>
      <c r="V36" s="229" t="e">
        <f t="shared" si="9"/>
        <v>#DIV/0!</v>
      </c>
      <c r="W36" s="229" t="str">
        <f t="shared" si="10"/>
        <v/>
      </c>
      <c r="X36" s="229"/>
    </row>
    <row r="37" spans="3:24" x14ac:dyDescent="0.2">
      <c r="C37" t="str">
        <f>IF($A$1&lt;COUNTIF($C$5:C36,"&lt;&gt;"),"",COUNTIF($C$5:C36,"&lt;&gt;"))</f>
        <v/>
      </c>
      <c r="D37" t="str">
        <f t="shared" ca="1" si="14"/>
        <v/>
      </c>
      <c r="E37" t="str">
        <f t="shared" ca="1" si="14"/>
        <v/>
      </c>
      <c r="F37" t="str">
        <f t="shared" ca="1" si="14"/>
        <v/>
      </c>
      <c r="G37" t="str">
        <f t="shared" ca="1" si="14"/>
        <v/>
      </c>
      <c r="H37" t="str">
        <f t="shared" ca="1" si="14"/>
        <v/>
      </c>
      <c r="I37" t="str">
        <f t="shared" ca="1" si="14"/>
        <v/>
      </c>
      <c r="J37" s="229" t="str">
        <f t="shared" ca="1" si="2"/>
        <v/>
      </c>
      <c r="K37" s="229" t="str">
        <f t="shared" ca="1" si="14"/>
        <v/>
      </c>
      <c r="L37" s="229" t="str">
        <f t="shared" ca="1" si="3"/>
        <v/>
      </c>
      <c r="M37" s="229" t="str">
        <f t="shared" ca="1" si="13"/>
        <v/>
      </c>
      <c r="N37" s="229" t="str">
        <f t="shared" ca="1" si="13"/>
        <v/>
      </c>
      <c r="O37" s="229" t="str">
        <f t="shared" ca="1" si="13"/>
        <v/>
      </c>
      <c r="P37" s="229" t="str">
        <f t="shared" ca="1" si="13"/>
        <v/>
      </c>
      <c r="Q37" s="229" t="str">
        <f t="shared" ca="1" si="5"/>
        <v/>
      </c>
      <c r="R37" s="234" t="str">
        <f t="shared" ca="1" si="6"/>
        <v/>
      </c>
      <c r="S37" s="234" t="str">
        <f t="shared" ca="1" si="7"/>
        <v/>
      </c>
      <c r="T37" s="231" t="str">
        <f t="shared" ca="1" si="8"/>
        <v/>
      </c>
      <c r="U37" s="229">
        <f>CleaningSheet!AH45</f>
        <v>0</v>
      </c>
      <c r="V37" s="229" t="e">
        <f t="shared" si="9"/>
        <v>#DIV/0!</v>
      </c>
      <c r="W37" s="229" t="str">
        <f t="shared" si="10"/>
        <v/>
      </c>
      <c r="X37" s="229"/>
    </row>
    <row r="38" spans="3:24" x14ac:dyDescent="0.2">
      <c r="C38" t="str">
        <f>IF($A$1&lt;COUNTIF($C$5:C37,"&lt;&gt;"),"",COUNTIF($C$5:C37,"&lt;&gt;"))</f>
        <v/>
      </c>
      <c r="D38" t="str">
        <f t="shared" ca="1" si="14"/>
        <v/>
      </c>
      <c r="E38" t="str">
        <f t="shared" ca="1" si="14"/>
        <v/>
      </c>
      <c r="F38" t="str">
        <f t="shared" ca="1" si="14"/>
        <v/>
      </c>
      <c r="G38" t="str">
        <f t="shared" ca="1" si="14"/>
        <v/>
      </c>
      <c r="H38" t="str">
        <f t="shared" ca="1" si="14"/>
        <v/>
      </c>
      <c r="I38" t="str">
        <f t="shared" ca="1" si="14"/>
        <v/>
      </c>
      <c r="J38" s="229" t="str">
        <f t="shared" ref="J38:J69" ca="1" si="15">IFERROR(K38/I38,"")</f>
        <v/>
      </c>
      <c r="K38" s="229" t="str">
        <f t="shared" ca="1" si="14"/>
        <v/>
      </c>
      <c r="L38" s="229" t="str">
        <f t="shared" ref="L38:L69" ca="1" si="16">IFERROR(N38-K38,"")</f>
        <v/>
      </c>
      <c r="M38" s="229" t="str">
        <f t="shared" ca="1" si="13"/>
        <v/>
      </c>
      <c r="N38" s="229" t="str">
        <f t="shared" ca="1" si="13"/>
        <v/>
      </c>
      <c r="O38" s="229" t="str">
        <f t="shared" ca="1" si="13"/>
        <v/>
      </c>
      <c r="P38" s="229" t="str">
        <f t="shared" ca="1" si="13"/>
        <v/>
      </c>
      <c r="Q38" s="229" t="str">
        <f t="shared" ref="Q38:Q69" ca="1" si="17">IF(SUM(N38:P38)=0,"",SUM(N38:P38))</f>
        <v/>
      </c>
      <c r="R38" s="234" t="str">
        <f t="shared" ref="R38:R101" ca="1" si="18">IFERROR(INDIRECT("'"&amp;$B$6&amp;$C38&amp;"'!"&amp;R$4),"")</f>
        <v/>
      </c>
      <c r="S38" s="234" t="str">
        <f t="shared" ref="S38:S69" ca="1" si="19">IFERROR(R38*$S$4/0.725,"")</f>
        <v/>
      </c>
      <c r="T38" s="231" t="str">
        <f t="shared" ref="T38:T69" ca="1" si="20">IFERROR(S38/SUM(N38:P38)*100,"")</f>
        <v/>
      </c>
      <c r="U38" s="229">
        <f>CleaningSheet!AH46</f>
        <v>0</v>
      </c>
      <c r="V38" s="229" t="e">
        <f t="shared" si="9"/>
        <v>#DIV/0!</v>
      </c>
      <c r="W38" s="229" t="str">
        <f t="shared" si="10"/>
        <v/>
      </c>
      <c r="X38" s="229"/>
    </row>
    <row r="39" spans="3:24" x14ac:dyDescent="0.2">
      <c r="C39" t="str">
        <f>IF($A$1&lt;COUNTIF($C$5:C38,"&lt;&gt;"),"",COUNTIF($C$5:C38,"&lt;&gt;"))</f>
        <v/>
      </c>
      <c r="D39" t="str">
        <f t="shared" ca="1" si="14"/>
        <v/>
      </c>
      <c r="E39" t="str">
        <f t="shared" ca="1" si="14"/>
        <v/>
      </c>
      <c r="F39" t="str">
        <f t="shared" ca="1" si="14"/>
        <v/>
      </c>
      <c r="G39" t="str">
        <f t="shared" ca="1" si="14"/>
        <v/>
      </c>
      <c r="H39" t="str">
        <f t="shared" ca="1" si="14"/>
        <v/>
      </c>
      <c r="I39" t="str">
        <f t="shared" ca="1" si="14"/>
        <v/>
      </c>
      <c r="J39" s="229" t="str">
        <f t="shared" ca="1" si="15"/>
        <v/>
      </c>
      <c r="K39" s="229" t="str">
        <f t="shared" ca="1" si="14"/>
        <v/>
      </c>
      <c r="L39" s="229" t="str">
        <f t="shared" ca="1" si="16"/>
        <v/>
      </c>
      <c r="M39" s="229" t="str">
        <f t="shared" ca="1" si="13"/>
        <v/>
      </c>
      <c r="N39" s="229" t="str">
        <f t="shared" ca="1" si="13"/>
        <v/>
      </c>
      <c r="O39" s="229" t="str">
        <f t="shared" ca="1" si="13"/>
        <v/>
      </c>
      <c r="P39" s="229" t="str">
        <f t="shared" ca="1" si="13"/>
        <v/>
      </c>
      <c r="Q39" s="229" t="str">
        <f t="shared" ca="1" si="17"/>
        <v/>
      </c>
      <c r="R39" s="234" t="str">
        <f t="shared" ca="1" si="18"/>
        <v/>
      </c>
      <c r="S39" s="234" t="str">
        <f t="shared" ca="1" si="19"/>
        <v/>
      </c>
      <c r="T39" s="231" t="str">
        <f t="shared" ca="1" si="20"/>
        <v/>
      </c>
      <c r="U39" s="229">
        <f>CleaningSheet!AH47</f>
        <v>0</v>
      </c>
      <c r="V39" s="229" t="e">
        <f t="shared" si="9"/>
        <v>#DIV/0!</v>
      </c>
      <c r="W39" s="229" t="str">
        <f t="shared" si="10"/>
        <v/>
      </c>
      <c r="X39" s="229"/>
    </row>
    <row r="40" spans="3:24" x14ac:dyDescent="0.2">
      <c r="C40" t="str">
        <f>IF($A$1&lt;COUNTIF($C$5:C39,"&lt;&gt;"),"",COUNTIF($C$5:C39,"&lt;&gt;"))</f>
        <v/>
      </c>
      <c r="D40" t="str">
        <f t="shared" ca="1" si="14"/>
        <v/>
      </c>
      <c r="E40" t="str">
        <f t="shared" ca="1" si="14"/>
        <v/>
      </c>
      <c r="F40" t="str">
        <f t="shared" ca="1" si="14"/>
        <v/>
      </c>
      <c r="G40" t="str">
        <f t="shared" ca="1" si="14"/>
        <v/>
      </c>
      <c r="H40" t="str">
        <f t="shared" ca="1" si="14"/>
        <v/>
      </c>
      <c r="I40" t="str">
        <f t="shared" ca="1" si="14"/>
        <v/>
      </c>
      <c r="J40" s="229" t="str">
        <f t="shared" ca="1" si="15"/>
        <v/>
      </c>
      <c r="K40" s="229" t="str">
        <f t="shared" ca="1" si="14"/>
        <v/>
      </c>
      <c r="L40" s="229" t="str">
        <f t="shared" ca="1" si="16"/>
        <v/>
      </c>
      <c r="M40" s="229" t="str">
        <f t="shared" ca="1" si="13"/>
        <v/>
      </c>
      <c r="N40" s="229" t="str">
        <f t="shared" ca="1" si="13"/>
        <v/>
      </c>
      <c r="O40" s="229" t="str">
        <f t="shared" ca="1" si="13"/>
        <v/>
      </c>
      <c r="P40" s="229" t="str">
        <f t="shared" ca="1" si="13"/>
        <v/>
      </c>
      <c r="Q40" s="229" t="str">
        <f t="shared" ca="1" si="17"/>
        <v/>
      </c>
      <c r="R40" s="234" t="str">
        <f t="shared" ca="1" si="18"/>
        <v/>
      </c>
      <c r="S40" s="234" t="str">
        <f t="shared" ca="1" si="19"/>
        <v/>
      </c>
      <c r="T40" s="231" t="str">
        <f t="shared" ca="1" si="20"/>
        <v/>
      </c>
      <c r="U40" s="229">
        <f>CleaningSheet!AH48</f>
        <v>0</v>
      </c>
      <c r="V40" s="229" t="e">
        <f t="shared" si="9"/>
        <v>#DIV/0!</v>
      </c>
      <c r="W40" s="229" t="str">
        <f t="shared" si="10"/>
        <v/>
      </c>
      <c r="X40" s="229"/>
    </row>
    <row r="41" spans="3:24" x14ac:dyDescent="0.2">
      <c r="C41" t="str">
        <f>IF($A$1&lt;COUNTIF($C$5:C40,"&lt;&gt;"),"",COUNTIF($C$5:C40,"&lt;&gt;"))</f>
        <v/>
      </c>
      <c r="D41" t="str">
        <f t="shared" ca="1" si="14"/>
        <v/>
      </c>
      <c r="E41" t="str">
        <f t="shared" ca="1" si="14"/>
        <v/>
      </c>
      <c r="F41" t="str">
        <f t="shared" ca="1" si="14"/>
        <v/>
      </c>
      <c r="G41" t="str">
        <f t="shared" ca="1" si="14"/>
        <v/>
      </c>
      <c r="H41" t="str">
        <f t="shared" ca="1" si="14"/>
        <v/>
      </c>
      <c r="I41" t="str">
        <f t="shared" ca="1" si="14"/>
        <v/>
      </c>
      <c r="J41" s="229" t="str">
        <f t="shared" ca="1" si="15"/>
        <v/>
      </c>
      <c r="K41" s="229" t="str">
        <f t="shared" ca="1" si="14"/>
        <v/>
      </c>
      <c r="L41" s="229" t="str">
        <f t="shared" ca="1" si="16"/>
        <v/>
      </c>
      <c r="M41" s="229" t="str">
        <f t="shared" ca="1" si="13"/>
        <v/>
      </c>
      <c r="N41" s="229" t="str">
        <f t="shared" ca="1" si="13"/>
        <v/>
      </c>
      <c r="O41" s="229" t="str">
        <f t="shared" ca="1" si="13"/>
        <v/>
      </c>
      <c r="P41" s="229" t="str">
        <f t="shared" ca="1" si="13"/>
        <v/>
      </c>
      <c r="Q41" s="229" t="str">
        <f t="shared" ca="1" si="17"/>
        <v/>
      </c>
      <c r="R41" s="234" t="str">
        <f t="shared" ca="1" si="18"/>
        <v/>
      </c>
      <c r="S41" s="234" t="str">
        <f t="shared" ca="1" si="19"/>
        <v/>
      </c>
      <c r="T41" s="231" t="str">
        <f t="shared" ca="1" si="20"/>
        <v/>
      </c>
      <c r="U41" s="229">
        <f>CleaningSheet!AH49</f>
        <v>0</v>
      </c>
      <c r="V41" s="229" t="e">
        <f t="shared" si="9"/>
        <v>#DIV/0!</v>
      </c>
      <c r="W41" s="229" t="str">
        <f t="shared" si="10"/>
        <v/>
      </c>
      <c r="X41" s="229"/>
    </row>
    <row r="42" spans="3:24" x14ac:dyDescent="0.2">
      <c r="C42" t="str">
        <f>IF($A$1&lt;COUNTIF($C$5:C41,"&lt;&gt;"),"",COUNTIF($C$5:C41,"&lt;&gt;"))</f>
        <v/>
      </c>
      <c r="D42" t="str">
        <f t="shared" ca="1" si="14"/>
        <v/>
      </c>
      <c r="E42" t="str">
        <f t="shared" ca="1" si="14"/>
        <v/>
      </c>
      <c r="F42" t="str">
        <f t="shared" ca="1" si="14"/>
        <v/>
      </c>
      <c r="G42" t="str">
        <f t="shared" ca="1" si="14"/>
        <v/>
      </c>
      <c r="H42" t="str">
        <f t="shared" ca="1" si="14"/>
        <v/>
      </c>
      <c r="I42" t="str">
        <f t="shared" ca="1" si="14"/>
        <v/>
      </c>
      <c r="J42" s="229" t="str">
        <f t="shared" ca="1" si="15"/>
        <v/>
      </c>
      <c r="K42" s="229" t="str">
        <f t="shared" ca="1" si="14"/>
        <v/>
      </c>
      <c r="L42" s="229" t="str">
        <f t="shared" ca="1" si="16"/>
        <v/>
      </c>
      <c r="M42" s="229" t="str">
        <f t="shared" ca="1" si="13"/>
        <v/>
      </c>
      <c r="N42" s="229" t="str">
        <f t="shared" ca="1" si="13"/>
        <v/>
      </c>
      <c r="O42" s="229" t="str">
        <f t="shared" ca="1" si="13"/>
        <v/>
      </c>
      <c r="P42" s="229" t="str">
        <f t="shared" ca="1" si="13"/>
        <v/>
      </c>
      <c r="Q42" s="229" t="str">
        <f t="shared" ca="1" si="17"/>
        <v/>
      </c>
      <c r="R42" s="234" t="str">
        <f t="shared" ca="1" si="18"/>
        <v/>
      </c>
      <c r="S42" s="234" t="str">
        <f t="shared" ca="1" si="19"/>
        <v/>
      </c>
      <c r="T42" s="231" t="str">
        <f t="shared" ca="1" si="20"/>
        <v/>
      </c>
      <c r="U42" s="229">
        <f>CleaningSheet!AH50</f>
        <v>0</v>
      </c>
      <c r="V42" s="229" t="e">
        <f t="shared" si="9"/>
        <v>#DIV/0!</v>
      </c>
      <c r="W42" s="229" t="str">
        <f t="shared" si="10"/>
        <v/>
      </c>
      <c r="X42" s="229"/>
    </row>
    <row r="43" spans="3:24" x14ac:dyDescent="0.2">
      <c r="C43" t="str">
        <f>IF($A$1&lt;COUNTIF($C$5:C42,"&lt;&gt;"),"",COUNTIF($C$5:C42,"&lt;&gt;"))</f>
        <v/>
      </c>
      <c r="D43" t="str">
        <f t="shared" ca="1" si="14"/>
        <v/>
      </c>
      <c r="E43" t="str">
        <f t="shared" ca="1" si="14"/>
        <v/>
      </c>
      <c r="F43" t="str">
        <f t="shared" ca="1" si="14"/>
        <v/>
      </c>
      <c r="G43" t="str">
        <f t="shared" ca="1" si="14"/>
        <v/>
      </c>
      <c r="H43" t="str">
        <f t="shared" ca="1" si="14"/>
        <v/>
      </c>
      <c r="I43" t="str">
        <f t="shared" ca="1" si="14"/>
        <v/>
      </c>
      <c r="J43" s="229" t="str">
        <f t="shared" ca="1" si="15"/>
        <v/>
      </c>
      <c r="K43" s="229" t="str">
        <f t="shared" ca="1" si="14"/>
        <v/>
      </c>
      <c r="L43" s="229" t="str">
        <f t="shared" ca="1" si="16"/>
        <v/>
      </c>
      <c r="M43" s="229" t="str">
        <f t="shared" ca="1" si="13"/>
        <v/>
      </c>
      <c r="N43" s="229" t="str">
        <f t="shared" ca="1" si="13"/>
        <v/>
      </c>
      <c r="O43" s="229" t="str">
        <f t="shared" ca="1" si="13"/>
        <v/>
      </c>
      <c r="P43" s="229" t="str">
        <f t="shared" ca="1" si="13"/>
        <v/>
      </c>
      <c r="Q43" s="229" t="str">
        <f t="shared" ca="1" si="17"/>
        <v/>
      </c>
      <c r="R43" s="234" t="str">
        <f t="shared" ca="1" si="18"/>
        <v/>
      </c>
      <c r="S43" s="234" t="str">
        <f t="shared" ca="1" si="19"/>
        <v/>
      </c>
      <c r="T43" s="231" t="str">
        <f t="shared" ca="1" si="20"/>
        <v/>
      </c>
      <c r="U43" s="229">
        <f>CleaningSheet!AH51</f>
        <v>0</v>
      </c>
      <c r="V43" s="229" t="e">
        <f t="shared" si="9"/>
        <v>#DIV/0!</v>
      </c>
      <c r="W43" s="229" t="str">
        <f t="shared" si="10"/>
        <v/>
      </c>
      <c r="X43" s="229"/>
    </row>
    <row r="44" spans="3:24" x14ac:dyDescent="0.2">
      <c r="C44" t="str">
        <f>IF($A$1&lt;COUNTIF($C$5:C43,"&lt;&gt;"),"",COUNTIF($C$5:C43,"&lt;&gt;"))</f>
        <v/>
      </c>
      <c r="D44" t="str">
        <f t="shared" ca="1" si="14"/>
        <v/>
      </c>
      <c r="E44" t="str">
        <f t="shared" ca="1" si="14"/>
        <v/>
      </c>
      <c r="F44" t="str">
        <f t="shared" ca="1" si="14"/>
        <v/>
      </c>
      <c r="G44" t="str">
        <f t="shared" ca="1" si="14"/>
        <v/>
      </c>
      <c r="H44" t="str">
        <f t="shared" ca="1" si="14"/>
        <v/>
      </c>
      <c r="I44" t="str">
        <f t="shared" ca="1" si="14"/>
        <v/>
      </c>
      <c r="J44" s="229" t="str">
        <f t="shared" ca="1" si="15"/>
        <v/>
      </c>
      <c r="K44" s="229" t="str">
        <f t="shared" ca="1" si="14"/>
        <v/>
      </c>
      <c r="L44" s="229" t="str">
        <f t="shared" ca="1" si="16"/>
        <v/>
      </c>
      <c r="M44" s="229" t="str">
        <f t="shared" ca="1" si="13"/>
        <v/>
      </c>
      <c r="N44" s="229" t="str">
        <f t="shared" ca="1" si="13"/>
        <v/>
      </c>
      <c r="O44" s="229" t="str">
        <f t="shared" ca="1" si="13"/>
        <v/>
      </c>
      <c r="P44" s="229" t="str">
        <f t="shared" ca="1" si="13"/>
        <v/>
      </c>
      <c r="Q44" s="229" t="str">
        <f t="shared" ca="1" si="17"/>
        <v/>
      </c>
      <c r="R44" s="234" t="str">
        <f t="shared" ca="1" si="18"/>
        <v/>
      </c>
      <c r="S44" s="234" t="str">
        <f t="shared" ca="1" si="19"/>
        <v/>
      </c>
      <c r="T44" s="231" t="str">
        <f t="shared" ca="1" si="20"/>
        <v/>
      </c>
      <c r="U44" s="229">
        <f>CleaningSheet!AH52</f>
        <v>0</v>
      </c>
      <c r="V44" s="229" t="e">
        <f t="shared" si="9"/>
        <v>#DIV/0!</v>
      </c>
      <c r="W44" s="229" t="str">
        <f t="shared" si="10"/>
        <v/>
      </c>
      <c r="X44" s="229"/>
    </row>
    <row r="45" spans="3:24" x14ac:dyDescent="0.2">
      <c r="C45" t="str">
        <f>IF($A$1&lt;COUNTIF($C$5:C44,"&lt;&gt;"),"",COUNTIF($C$5:C44,"&lt;&gt;"))</f>
        <v/>
      </c>
      <c r="D45" t="str">
        <f t="shared" ca="1" si="14"/>
        <v/>
      </c>
      <c r="E45" t="str">
        <f t="shared" ca="1" si="14"/>
        <v/>
      </c>
      <c r="F45" t="str">
        <f t="shared" ca="1" si="14"/>
        <v/>
      </c>
      <c r="G45" t="str">
        <f t="shared" ca="1" si="14"/>
        <v/>
      </c>
      <c r="H45" t="str">
        <f t="shared" ca="1" si="14"/>
        <v/>
      </c>
      <c r="I45" t="str">
        <f t="shared" ca="1" si="14"/>
        <v/>
      </c>
      <c r="J45" s="229" t="str">
        <f t="shared" ca="1" si="15"/>
        <v/>
      </c>
      <c r="K45" s="229" t="str">
        <f t="shared" ca="1" si="14"/>
        <v/>
      </c>
      <c r="L45" s="229" t="str">
        <f t="shared" ca="1" si="16"/>
        <v/>
      </c>
      <c r="M45" s="229" t="str">
        <f t="shared" ca="1" si="13"/>
        <v/>
      </c>
      <c r="N45" s="229" t="str">
        <f t="shared" ca="1" si="13"/>
        <v/>
      </c>
      <c r="O45" s="229" t="str">
        <f t="shared" ca="1" si="13"/>
        <v/>
      </c>
      <c r="P45" s="229" t="str">
        <f t="shared" ca="1" si="13"/>
        <v/>
      </c>
      <c r="Q45" s="229" t="str">
        <f t="shared" ca="1" si="17"/>
        <v/>
      </c>
      <c r="R45" s="234" t="str">
        <f t="shared" ca="1" si="18"/>
        <v/>
      </c>
      <c r="S45" s="234" t="str">
        <f t="shared" ca="1" si="19"/>
        <v/>
      </c>
      <c r="T45" s="231" t="str">
        <f t="shared" ca="1" si="20"/>
        <v/>
      </c>
      <c r="U45" s="229">
        <f>CleaningSheet!AH53</f>
        <v>0</v>
      </c>
      <c r="V45" s="229" t="e">
        <f t="shared" si="9"/>
        <v>#DIV/0!</v>
      </c>
      <c r="W45" s="229" t="str">
        <f t="shared" si="10"/>
        <v/>
      </c>
      <c r="X45" s="229"/>
    </row>
    <row r="46" spans="3:24" x14ac:dyDescent="0.2">
      <c r="C46" t="str">
        <f>IF($A$1&lt;COUNTIF($C$5:C45,"&lt;&gt;"),"",COUNTIF($C$5:C45,"&lt;&gt;"))</f>
        <v/>
      </c>
      <c r="D46" t="str">
        <f t="shared" ref="D46:K55" ca="1" si="21">IFERROR(INDIRECT("'"&amp;$B$6&amp;$C46&amp;"'!"&amp;D$4),"")</f>
        <v/>
      </c>
      <c r="E46" t="str">
        <f t="shared" ca="1" si="21"/>
        <v/>
      </c>
      <c r="F46" t="str">
        <f t="shared" ca="1" si="21"/>
        <v/>
      </c>
      <c r="G46" t="str">
        <f t="shared" ca="1" si="21"/>
        <v/>
      </c>
      <c r="H46" t="str">
        <f t="shared" ca="1" si="21"/>
        <v/>
      </c>
      <c r="I46" t="str">
        <f t="shared" ca="1" si="21"/>
        <v/>
      </c>
      <c r="J46" s="229" t="str">
        <f t="shared" ca="1" si="15"/>
        <v/>
      </c>
      <c r="K46" s="229" t="str">
        <f t="shared" ca="1" si="21"/>
        <v/>
      </c>
      <c r="L46" s="229" t="str">
        <f t="shared" ca="1" si="16"/>
        <v/>
      </c>
      <c r="M46" s="229" t="str">
        <f t="shared" ref="M46:P70" ca="1" si="22">IFERROR(INDIRECT("'"&amp;$B$6&amp;$C46&amp;"'!"&amp;M$4),"")</f>
        <v/>
      </c>
      <c r="N46" s="229" t="str">
        <f t="shared" ca="1" si="22"/>
        <v/>
      </c>
      <c r="O46" s="229" t="str">
        <f t="shared" ca="1" si="22"/>
        <v/>
      </c>
      <c r="P46" s="229" t="str">
        <f t="shared" ca="1" si="22"/>
        <v/>
      </c>
      <c r="Q46" s="229" t="str">
        <f t="shared" ca="1" si="17"/>
        <v/>
      </c>
      <c r="R46" s="234" t="str">
        <f t="shared" ca="1" si="18"/>
        <v/>
      </c>
      <c r="S46" s="234" t="str">
        <f t="shared" ca="1" si="19"/>
        <v/>
      </c>
      <c r="T46" s="231" t="str">
        <f t="shared" ca="1" si="20"/>
        <v/>
      </c>
      <c r="U46" s="229">
        <f>CleaningSheet!AH54</f>
        <v>0</v>
      </c>
      <c r="V46" s="229" t="e">
        <f t="shared" si="9"/>
        <v>#DIV/0!</v>
      </c>
      <c r="W46" s="229" t="str">
        <f t="shared" si="10"/>
        <v/>
      </c>
      <c r="X46" s="229"/>
    </row>
    <row r="47" spans="3:24" x14ac:dyDescent="0.2">
      <c r="C47" t="str">
        <f>IF($A$1&lt;COUNTIF($C$5:C46,"&lt;&gt;"),"",COUNTIF($C$5:C46,"&lt;&gt;"))</f>
        <v/>
      </c>
      <c r="D47" t="str">
        <f t="shared" ca="1" si="21"/>
        <v/>
      </c>
      <c r="E47" t="str">
        <f t="shared" ca="1" si="21"/>
        <v/>
      </c>
      <c r="F47" t="str">
        <f t="shared" ca="1" si="21"/>
        <v/>
      </c>
      <c r="G47" t="str">
        <f t="shared" ca="1" si="21"/>
        <v/>
      </c>
      <c r="H47" t="str">
        <f t="shared" ca="1" si="21"/>
        <v/>
      </c>
      <c r="I47" t="str">
        <f t="shared" ca="1" si="21"/>
        <v/>
      </c>
      <c r="J47" s="229" t="str">
        <f t="shared" ca="1" si="15"/>
        <v/>
      </c>
      <c r="K47" s="229" t="str">
        <f t="shared" ca="1" si="21"/>
        <v/>
      </c>
      <c r="L47" s="229" t="str">
        <f t="shared" ca="1" si="16"/>
        <v/>
      </c>
      <c r="M47" s="229" t="str">
        <f t="shared" ca="1" si="22"/>
        <v/>
      </c>
      <c r="N47" s="229" t="str">
        <f t="shared" ca="1" si="22"/>
        <v/>
      </c>
      <c r="O47" s="229" t="str">
        <f t="shared" ca="1" si="22"/>
        <v/>
      </c>
      <c r="P47" s="229" t="str">
        <f t="shared" ca="1" si="22"/>
        <v/>
      </c>
      <c r="Q47" s="229" t="str">
        <f t="shared" ca="1" si="17"/>
        <v/>
      </c>
      <c r="R47" s="234" t="str">
        <f t="shared" ca="1" si="18"/>
        <v/>
      </c>
      <c r="S47" s="234" t="str">
        <f t="shared" ca="1" si="19"/>
        <v/>
      </c>
      <c r="T47" s="231" t="str">
        <f t="shared" ca="1" si="20"/>
        <v/>
      </c>
      <c r="U47" s="229">
        <f>CleaningSheet!AH55</f>
        <v>0</v>
      </c>
      <c r="V47" s="229" t="e">
        <f t="shared" si="9"/>
        <v>#DIV/0!</v>
      </c>
      <c r="W47" s="229" t="str">
        <f t="shared" si="10"/>
        <v/>
      </c>
      <c r="X47" s="229"/>
    </row>
    <row r="48" spans="3:24" x14ac:dyDescent="0.2">
      <c r="C48" t="str">
        <f>IF($A$1&lt;COUNTIF($C$5:C47,"&lt;&gt;"),"",COUNTIF($C$5:C47,"&lt;&gt;"))</f>
        <v/>
      </c>
      <c r="D48" t="str">
        <f t="shared" ca="1" si="21"/>
        <v/>
      </c>
      <c r="E48" t="str">
        <f t="shared" ca="1" si="21"/>
        <v/>
      </c>
      <c r="F48" t="str">
        <f t="shared" ca="1" si="21"/>
        <v/>
      </c>
      <c r="G48" t="str">
        <f t="shared" ca="1" si="21"/>
        <v/>
      </c>
      <c r="H48" t="str">
        <f t="shared" ca="1" si="21"/>
        <v/>
      </c>
      <c r="I48" t="str">
        <f t="shared" ca="1" si="21"/>
        <v/>
      </c>
      <c r="J48" s="229" t="str">
        <f t="shared" ca="1" si="15"/>
        <v/>
      </c>
      <c r="K48" s="229" t="str">
        <f t="shared" ca="1" si="21"/>
        <v/>
      </c>
      <c r="L48" s="229" t="str">
        <f t="shared" ca="1" si="16"/>
        <v/>
      </c>
      <c r="M48" s="229" t="str">
        <f t="shared" ca="1" si="22"/>
        <v/>
      </c>
      <c r="N48" s="229" t="str">
        <f t="shared" ca="1" si="22"/>
        <v/>
      </c>
      <c r="O48" s="229" t="str">
        <f t="shared" ca="1" si="22"/>
        <v/>
      </c>
      <c r="P48" s="229" t="str">
        <f t="shared" ca="1" si="22"/>
        <v/>
      </c>
      <c r="Q48" s="229" t="str">
        <f t="shared" ca="1" si="17"/>
        <v/>
      </c>
      <c r="R48" s="234" t="str">
        <f t="shared" ca="1" si="18"/>
        <v/>
      </c>
      <c r="S48" s="234" t="str">
        <f t="shared" ca="1" si="19"/>
        <v/>
      </c>
      <c r="T48" s="231" t="str">
        <f t="shared" ca="1" si="20"/>
        <v/>
      </c>
      <c r="U48" s="229">
        <f>CleaningSheet!AH56</f>
        <v>0</v>
      </c>
      <c r="V48" s="229" t="e">
        <f t="shared" si="9"/>
        <v>#DIV/0!</v>
      </c>
      <c r="W48" s="229" t="str">
        <f t="shared" si="10"/>
        <v/>
      </c>
      <c r="X48" s="229"/>
    </row>
    <row r="49" spans="3:24" x14ac:dyDescent="0.2">
      <c r="C49" t="str">
        <f>IF($A$1&lt;COUNTIF($C$5:C48,"&lt;&gt;"),"",COUNTIF($C$5:C48,"&lt;&gt;"))</f>
        <v/>
      </c>
      <c r="D49" t="str">
        <f t="shared" ca="1" si="21"/>
        <v/>
      </c>
      <c r="E49" t="str">
        <f t="shared" ca="1" si="21"/>
        <v/>
      </c>
      <c r="F49" t="str">
        <f t="shared" ca="1" si="21"/>
        <v/>
      </c>
      <c r="G49" t="str">
        <f t="shared" ca="1" si="21"/>
        <v/>
      </c>
      <c r="H49" t="str">
        <f t="shared" ca="1" si="21"/>
        <v/>
      </c>
      <c r="I49" t="str">
        <f t="shared" ca="1" si="21"/>
        <v/>
      </c>
      <c r="J49" s="229" t="str">
        <f t="shared" ca="1" si="15"/>
        <v/>
      </c>
      <c r="K49" s="229" t="str">
        <f t="shared" ca="1" si="21"/>
        <v/>
      </c>
      <c r="L49" s="229" t="str">
        <f t="shared" ca="1" si="16"/>
        <v/>
      </c>
      <c r="M49" s="229" t="str">
        <f t="shared" ca="1" si="22"/>
        <v/>
      </c>
      <c r="N49" s="229" t="str">
        <f t="shared" ca="1" si="22"/>
        <v/>
      </c>
      <c r="O49" s="229" t="str">
        <f t="shared" ca="1" si="22"/>
        <v/>
      </c>
      <c r="P49" s="229" t="str">
        <f t="shared" ca="1" si="22"/>
        <v/>
      </c>
      <c r="Q49" s="229" t="str">
        <f t="shared" ca="1" si="17"/>
        <v/>
      </c>
      <c r="R49" s="234" t="str">
        <f t="shared" ca="1" si="18"/>
        <v/>
      </c>
      <c r="S49" s="234" t="str">
        <f t="shared" ca="1" si="19"/>
        <v/>
      </c>
      <c r="T49" s="231" t="str">
        <f t="shared" ca="1" si="20"/>
        <v/>
      </c>
      <c r="U49" s="229">
        <f>CleaningSheet!AH57</f>
        <v>0</v>
      </c>
      <c r="V49" s="229" t="e">
        <f t="shared" si="9"/>
        <v>#DIV/0!</v>
      </c>
      <c r="W49" s="229" t="str">
        <f t="shared" si="10"/>
        <v/>
      </c>
      <c r="X49" s="229"/>
    </row>
    <row r="50" spans="3:24" x14ac:dyDescent="0.2">
      <c r="C50" t="str">
        <f>IF($A$1&lt;COUNTIF($C$5:C49,"&lt;&gt;"),"",COUNTIF($C$5:C49,"&lt;&gt;"))</f>
        <v/>
      </c>
      <c r="D50" t="str">
        <f t="shared" ca="1" si="21"/>
        <v/>
      </c>
      <c r="E50" t="str">
        <f t="shared" ca="1" si="21"/>
        <v/>
      </c>
      <c r="F50" t="str">
        <f t="shared" ca="1" si="21"/>
        <v/>
      </c>
      <c r="G50" t="str">
        <f t="shared" ca="1" si="21"/>
        <v/>
      </c>
      <c r="H50" t="str">
        <f t="shared" ca="1" si="21"/>
        <v/>
      </c>
      <c r="I50" t="str">
        <f t="shared" ca="1" si="21"/>
        <v/>
      </c>
      <c r="J50" s="229" t="str">
        <f t="shared" ca="1" si="15"/>
        <v/>
      </c>
      <c r="K50" s="229" t="str">
        <f t="shared" ca="1" si="21"/>
        <v/>
      </c>
      <c r="L50" s="229" t="str">
        <f t="shared" ca="1" si="16"/>
        <v/>
      </c>
      <c r="M50" s="229" t="str">
        <f t="shared" ca="1" si="22"/>
        <v/>
      </c>
      <c r="N50" s="229" t="str">
        <f t="shared" ca="1" si="22"/>
        <v/>
      </c>
      <c r="O50" s="229" t="str">
        <f t="shared" ca="1" si="22"/>
        <v/>
      </c>
      <c r="P50" s="229" t="str">
        <f t="shared" ca="1" si="22"/>
        <v/>
      </c>
      <c r="Q50" s="229" t="str">
        <f t="shared" ca="1" si="17"/>
        <v/>
      </c>
      <c r="R50" s="234" t="str">
        <f t="shared" ca="1" si="18"/>
        <v/>
      </c>
      <c r="S50" s="234" t="str">
        <f t="shared" ca="1" si="19"/>
        <v/>
      </c>
      <c r="T50" s="231" t="str">
        <f t="shared" ca="1" si="20"/>
        <v/>
      </c>
      <c r="U50" s="229">
        <f>CleaningSheet!AH58</f>
        <v>0</v>
      </c>
      <c r="V50" s="229" t="e">
        <f t="shared" si="9"/>
        <v>#DIV/0!</v>
      </c>
      <c r="W50" s="229" t="str">
        <f t="shared" si="10"/>
        <v/>
      </c>
      <c r="X50" s="229"/>
    </row>
    <row r="51" spans="3:24" x14ac:dyDescent="0.2">
      <c r="C51" t="str">
        <f>IF($A$1&lt;COUNTIF($C$5:C50,"&lt;&gt;"),"",COUNTIF($C$5:C50,"&lt;&gt;"))</f>
        <v/>
      </c>
      <c r="D51" t="str">
        <f t="shared" ca="1" si="21"/>
        <v/>
      </c>
      <c r="E51" t="str">
        <f t="shared" ca="1" si="21"/>
        <v/>
      </c>
      <c r="F51" t="str">
        <f t="shared" ca="1" si="21"/>
        <v/>
      </c>
      <c r="G51" t="str">
        <f t="shared" ca="1" si="21"/>
        <v/>
      </c>
      <c r="H51" t="str">
        <f t="shared" ca="1" si="21"/>
        <v/>
      </c>
      <c r="I51" t="str">
        <f t="shared" ca="1" si="21"/>
        <v/>
      </c>
      <c r="J51" s="229" t="str">
        <f t="shared" ca="1" si="15"/>
        <v/>
      </c>
      <c r="K51" s="229" t="str">
        <f t="shared" ca="1" si="21"/>
        <v/>
      </c>
      <c r="L51" s="229" t="str">
        <f t="shared" ca="1" si="16"/>
        <v/>
      </c>
      <c r="M51" s="229" t="str">
        <f t="shared" ca="1" si="22"/>
        <v/>
      </c>
      <c r="N51" s="229" t="str">
        <f t="shared" ca="1" si="22"/>
        <v/>
      </c>
      <c r="O51" s="229" t="str">
        <f t="shared" ca="1" si="22"/>
        <v/>
      </c>
      <c r="P51" s="229" t="str">
        <f t="shared" ca="1" si="22"/>
        <v/>
      </c>
      <c r="Q51" s="229" t="str">
        <f t="shared" ca="1" si="17"/>
        <v/>
      </c>
      <c r="R51" s="234" t="str">
        <f t="shared" ca="1" si="18"/>
        <v/>
      </c>
      <c r="S51" s="234" t="str">
        <f t="shared" ca="1" si="19"/>
        <v/>
      </c>
      <c r="T51" s="231" t="str">
        <f t="shared" ca="1" si="20"/>
        <v/>
      </c>
      <c r="U51" s="229" t="str">
        <f ca="1">IF(T51="","",CleaningSheet!AH59)</f>
        <v/>
      </c>
      <c r="V51" s="229" t="str">
        <f ca="1">IFERROR(U51*V$4,"")</f>
        <v/>
      </c>
      <c r="W51" s="229" t="str">
        <f t="shared" ca="1" si="10"/>
        <v/>
      </c>
      <c r="X51" s="229"/>
    </row>
    <row r="52" spans="3:24" x14ac:dyDescent="0.2">
      <c r="C52" t="str">
        <f>IF($A$1&lt;COUNTIF($C$5:C51,"&lt;&gt;"),"",COUNTIF($C$5:C51,"&lt;&gt;"))</f>
        <v/>
      </c>
      <c r="D52" t="str">
        <f t="shared" ca="1" si="21"/>
        <v/>
      </c>
      <c r="E52" t="str">
        <f t="shared" ca="1" si="21"/>
        <v/>
      </c>
      <c r="F52" t="str">
        <f t="shared" ca="1" si="21"/>
        <v/>
      </c>
      <c r="G52" t="str">
        <f t="shared" ca="1" si="21"/>
        <v/>
      </c>
      <c r="H52" t="str">
        <f t="shared" ca="1" si="21"/>
        <v/>
      </c>
      <c r="I52" t="str">
        <f t="shared" ca="1" si="21"/>
        <v/>
      </c>
      <c r="J52" s="229" t="str">
        <f t="shared" ca="1" si="15"/>
        <v/>
      </c>
      <c r="K52" s="229" t="str">
        <f t="shared" ca="1" si="21"/>
        <v/>
      </c>
      <c r="L52" s="229" t="str">
        <f t="shared" ca="1" si="16"/>
        <v/>
      </c>
      <c r="M52" s="229" t="str">
        <f t="shared" ca="1" si="22"/>
        <v/>
      </c>
      <c r="N52" s="229" t="str">
        <f t="shared" ca="1" si="22"/>
        <v/>
      </c>
      <c r="O52" s="229" t="str">
        <f t="shared" ca="1" si="22"/>
        <v/>
      </c>
      <c r="P52" s="229" t="str">
        <f t="shared" ca="1" si="22"/>
        <v/>
      </c>
      <c r="Q52" s="229" t="str">
        <f t="shared" ca="1" si="17"/>
        <v/>
      </c>
      <c r="R52" s="234" t="str">
        <f t="shared" ca="1" si="18"/>
        <v/>
      </c>
      <c r="S52" s="234" t="str">
        <f t="shared" ca="1" si="19"/>
        <v/>
      </c>
      <c r="T52" s="231" t="str">
        <f t="shared" ca="1" si="20"/>
        <v/>
      </c>
      <c r="U52" s="229" t="str">
        <f ca="1">IF(T52="","",CleaningSheet!AH60)</f>
        <v/>
      </c>
      <c r="V52" s="229" t="str">
        <f t="shared" ref="V52:V70" ca="1" si="23">IFERROR(U52*V$4,"")</f>
        <v/>
      </c>
      <c r="W52" s="229" t="str">
        <f t="shared" ca="1" si="10"/>
        <v/>
      </c>
      <c r="X52" s="229"/>
    </row>
    <row r="53" spans="3:24" x14ac:dyDescent="0.2">
      <c r="C53" t="str">
        <f>IF($A$1&lt;COUNTIF($C$5:C52,"&lt;&gt;"),"",COUNTIF($C$5:C52,"&lt;&gt;"))</f>
        <v/>
      </c>
      <c r="D53" t="str">
        <f t="shared" ca="1" si="21"/>
        <v/>
      </c>
      <c r="E53" t="str">
        <f t="shared" ca="1" si="21"/>
        <v/>
      </c>
      <c r="F53" t="str">
        <f t="shared" ca="1" si="21"/>
        <v/>
      </c>
      <c r="G53" t="str">
        <f t="shared" ca="1" si="21"/>
        <v/>
      </c>
      <c r="H53" t="str">
        <f t="shared" ca="1" si="21"/>
        <v/>
      </c>
      <c r="I53" t="str">
        <f t="shared" ca="1" si="21"/>
        <v/>
      </c>
      <c r="J53" s="229" t="str">
        <f t="shared" ca="1" si="15"/>
        <v/>
      </c>
      <c r="K53" s="229" t="str">
        <f t="shared" ca="1" si="21"/>
        <v/>
      </c>
      <c r="L53" s="229" t="str">
        <f t="shared" ca="1" si="16"/>
        <v/>
      </c>
      <c r="M53" s="229" t="str">
        <f t="shared" ca="1" si="22"/>
        <v/>
      </c>
      <c r="N53" s="229" t="str">
        <f t="shared" ca="1" si="22"/>
        <v/>
      </c>
      <c r="O53" s="229" t="str">
        <f t="shared" ca="1" si="22"/>
        <v/>
      </c>
      <c r="P53" s="229" t="str">
        <f t="shared" ca="1" si="22"/>
        <v/>
      </c>
      <c r="Q53" s="229" t="str">
        <f t="shared" ca="1" si="17"/>
        <v/>
      </c>
      <c r="R53" s="234" t="str">
        <f t="shared" ca="1" si="18"/>
        <v/>
      </c>
      <c r="S53" s="234" t="str">
        <f t="shared" ca="1" si="19"/>
        <v/>
      </c>
      <c r="T53" s="231" t="str">
        <f t="shared" ca="1" si="20"/>
        <v/>
      </c>
      <c r="U53" s="229" t="str">
        <f ca="1">IF(T53="","",CleaningSheet!AH61)</f>
        <v/>
      </c>
      <c r="V53" s="229" t="str">
        <f t="shared" ca="1" si="23"/>
        <v/>
      </c>
      <c r="W53" s="229" t="str">
        <f t="shared" ca="1" si="10"/>
        <v/>
      </c>
      <c r="X53" s="229"/>
    </row>
    <row r="54" spans="3:24" x14ac:dyDescent="0.2">
      <c r="C54" t="str">
        <f>IF($A$1&lt;COUNTIF($C$5:C53,"&lt;&gt;"),"",COUNTIF($C$5:C53,"&lt;&gt;"))</f>
        <v/>
      </c>
      <c r="D54" t="str">
        <f t="shared" ca="1" si="21"/>
        <v/>
      </c>
      <c r="E54" t="str">
        <f t="shared" ca="1" si="21"/>
        <v/>
      </c>
      <c r="F54" t="str">
        <f t="shared" ca="1" si="21"/>
        <v/>
      </c>
      <c r="G54" t="str">
        <f t="shared" ca="1" si="21"/>
        <v/>
      </c>
      <c r="H54" t="str">
        <f t="shared" ca="1" si="21"/>
        <v/>
      </c>
      <c r="I54" t="str">
        <f t="shared" ca="1" si="21"/>
        <v/>
      </c>
      <c r="J54" s="229" t="str">
        <f t="shared" ca="1" si="15"/>
        <v/>
      </c>
      <c r="K54" s="229" t="str">
        <f t="shared" ca="1" si="21"/>
        <v/>
      </c>
      <c r="L54" s="229" t="str">
        <f t="shared" ca="1" si="16"/>
        <v/>
      </c>
      <c r="M54" s="229" t="str">
        <f t="shared" ca="1" si="22"/>
        <v/>
      </c>
      <c r="N54" s="229" t="str">
        <f t="shared" ca="1" si="22"/>
        <v/>
      </c>
      <c r="O54" s="229" t="str">
        <f t="shared" ca="1" si="22"/>
        <v/>
      </c>
      <c r="P54" s="229" t="str">
        <f t="shared" ca="1" si="22"/>
        <v/>
      </c>
      <c r="Q54" s="229" t="str">
        <f t="shared" ca="1" si="17"/>
        <v/>
      </c>
      <c r="R54" s="234" t="str">
        <f t="shared" ca="1" si="18"/>
        <v/>
      </c>
      <c r="S54" s="234" t="str">
        <f t="shared" ca="1" si="19"/>
        <v/>
      </c>
      <c r="T54" s="231" t="str">
        <f t="shared" ca="1" si="20"/>
        <v/>
      </c>
      <c r="U54" s="229" t="str">
        <f ca="1">IF(T54="","",CleaningSheet!AH62)</f>
        <v/>
      </c>
      <c r="V54" s="229" t="str">
        <f t="shared" ca="1" si="23"/>
        <v/>
      </c>
      <c r="W54" s="229" t="str">
        <f t="shared" ca="1" si="10"/>
        <v/>
      </c>
      <c r="X54" s="229"/>
    </row>
    <row r="55" spans="3:24" x14ac:dyDescent="0.2">
      <c r="C55" t="str">
        <f>IF($A$1&lt;COUNTIF($C$5:C54,"&lt;&gt;"),"",COUNTIF($C$5:C54,"&lt;&gt;"))</f>
        <v/>
      </c>
      <c r="D55" t="str">
        <f t="shared" ca="1" si="21"/>
        <v/>
      </c>
      <c r="E55" t="str">
        <f t="shared" ca="1" si="21"/>
        <v/>
      </c>
      <c r="F55" t="str">
        <f t="shared" ca="1" si="21"/>
        <v/>
      </c>
      <c r="G55" t="str">
        <f t="shared" ca="1" si="21"/>
        <v/>
      </c>
      <c r="H55" t="str">
        <f t="shared" ca="1" si="21"/>
        <v/>
      </c>
      <c r="I55" t="str">
        <f t="shared" ca="1" si="21"/>
        <v/>
      </c>
      <c r="J55" s="229" t="str">
        <f t="shared" ca="1" si="15"/>
        <v/>
      </c>
      <c r="K55" s="229" t="str">
        <f t="shared" ca="1" si="21"/>
        <v/>
      </c>
      <c r="L55" s="229" t="str">
        <f t="shared" ca="1" si="16"/>
        <v/>
      </c>
      <c r="M55" s="229" t="str">
        <f t="shared" ca="1" si="22"/>
        <v/>
      </c>
      <c r="N55" s="229" t="str">
        <f t="shared" ca="1" si="22"/>
        <v/>
      </c>
      <c r="O55" s="229" t="str">
        <f t="shared" ca="1" si="22"/>
        <v/>
      </c>
      <c r="P55" s="229" t="str">
        <f t="shared" ca="1" si="22"/>
        <v/>
      </c>
      <c r="Q55" s="229" t="str">
        <f t="shared" ca="1" si="17"/>
        <v/>
      </c>
      <c r="R55" s="234" t="str">
        <f t="shared" ca="1" si="18"/>
        <v/>
      </c>
      <c r="S55" s="234" t="str">
        <f t="shared" ca="1" si="19"/>
        <v/>
      </c>
      <c r="T55" s="231" t="str">
        <f t="shared" ca="1" si="20"/>
        <v/>
      </c>
      <c r="U55" s="229" t="str">
        <f ca="1">IF(T55="","",CleaningSheet!AH63)</f>
        <v/>
      </c>
      <c r="V55" s="229" t="str">
        <f t="shared" ca="1" si="23"/>
        <v/>
      </c>
      <c r="W55" s="229" t="str">
        <f t="shared" ca="1" si="10"/>
        <v/>
      </c>
      <c r="X55" s="229"/>
    </row>
    <row r="56" spans="3:24" x14ac:dyDescent="0.2">
      <c r="C56" t="str">
        <f>IF($A$1&lt;COUNTIF($C$5:C55,"&lt;&gt;"),"",COUNTIF($C$5:C55,"&lt;&gt;"))</f>
        <v/>
      </c>
      <c r="D56" t="str">
        <f t="shared" ref="D56:K69" ca="1" si="24">IFERROR(INDIRECT("'"&amp;$B$6&amp;$C56&amp;"'!"&amp;D$4),"")</f>
        <v/>
      </c>
      <c r="E56" t="str">
        <f t="shared" ca="1" si="24"/>
        <v/>
      </c>
      <c r="F56" t="str">
        <f t="shared" ca="1" si="24"/>
        <v/>
      </c>
      <c r="G56" t="str">
        <f t="shared" ca="1" si="24"/>
        <v/>
      </c>
      <c r="H56" t="str">
        <f t="shared" ca="1" si="24"/>
        <v/>
      </c>
      <c r="I56" t="str">
        <f t="shared" ca="1" si="24"/>
        <v/>
      </c>
      <c r="J56" s="229" t="str">
        <f t="shared" ca="1" si="15"/>
        <v/>
      </c>
      <c r="K56" s="229" t="str">
        <f t="shared" ca="1" si="24"/>
        <v/>
      </c>
      <c r="L56" s="229" t="str">
        <f t="shared" ca="1" si="16"/>
        <v/>
      </c>
      <c r="M56" s="229" t="str">
        <f t="shared" ca="1" si="22"/>
        <v/>
      </c>
      <c r="N56" s="229" t="str">
        <f t="shared" ca="1" si="22"/>
        <v/>
      </c>
      <c r="O56" s="229" t="str">
        <f t="shared" ca="1" si="22"/>
        <v/>
      </c>
      <c r="P56" s="229" t="str">
        <f t="shared" ca="1" si="22"/>
        <v/>
      </c>
      <c r="Q56" s="229" t="str">
        <f t="shared" ca="1" si="17"/>
        <v/>
      </c>
      <c r="R56" s="234" t="str">
        <f t="shared" ca="1" si="18"/>
        <v/>
      </c>
      <c r="S56" s="234" t="str">
        <f t="shared" ca="1" si="19"/>
        <v/>
      </c>
      <c r="T56" s="231" t="str">
        <f t="shared" ca="1" si="20"/>
        <v/>
      </c>
      <c r="U56" s="229" t="str">
        <f ca="1">IF(T56="","",CleaningSheet!AH64)</f>
        <v/>
      </c>
      <c r="V56" s="229" t="str">
        <f t="shared" ca="1" si="23"/>
        <v/>
      </c>
      <c r="W56" s="229" t="str">
        <f t="shared" ca="1" si="10"/>
        <v/>
      </c>
      <c r="X56" s="229"/>
    </row>
    <row r="57" spans="3:24" x14ac:dyDescent="0.2">
      <c r="C57" t="str">
        <f>IF($A$1&lt;COUNTIF($C$5:C56,"&lt;&gt;"),"",COUNTIF($C$5:C56,"&lt;&gt;"))</f>
        <v/>
      </c>
      <c r="D57" t="str">
        <f t="shared" ca="1" si="24"/>
        <v/>
      </c>
      <c r="E57" t="str">
        <f t="shared" ca="1" si="24"/>
        <v/>
      </c>
      <c r="F57" t="str">
        <f t="shared" ca="1" si="24"/>
        <v/>
      </c>
      <c r="G57" t="str">
        <f t="shared" ca="1" si="24"/>
        <v/>
      </c>
      <c r="H57" t="str">
        <f t="shared" ca="1" si="24"/>
        <v/>
      </c>
      <c r="I57" t="str">
        <f t="shared" ca="1" si="24"/>
        <v/>
      </c>
      <c r="J57" s="229" t="str">
        <f t="shared" ca="1" si="15"/>
        <v/>
      </c>
      <c r="K57" s="229" t="str">
        <f t="shared" ca="1" si="24"/>
        <v/>
      </c>
      <c r="L57" s="229" t="str">
        <f t="shared" ca="1" si="16"/>
        <v/>
      </c>
      <c r="M57" s="229" t="str">
        <f t="shared" ca="1" si="22"/>
        <v/>
      </c>
      <c r="N57" s="229" t="str">
        <f t="shared" ca="1" si="22"/>
        <v/>
      </c>
      <c r="O57" s="229" t="str">
        <f t="shared" ca="1" si="22"/>
        <v/>
      </c>
      <c r="P57" s="229" t="str">
        <f t="shared" ca="1" si="22"/>
        <v/>
      </c>
      <c r="Q57" s="229" t="str">
        <f t="shared" ca="1" si="17"/>
        <v/>
      </c>
      <c r="R57" s="234" t="str">
        <f t="shared" ca="1" si="18"/>
        <v/>
      </c>
      <c r="S57" s="234" t="str">
        <f t="shared" ca="1" si="19"/>
        <v/>
      </c>
      <c r="T57" s="231" t="str">
        <f t="shared" ca="1" si="20"/>
        <v/>
      </c>
      <c r="U57" s="229" t="str">
        <f ca="1">IF(T57="","",CleaningSheet!AH65)</f>
        <v/>
      </c>
      <c r="V57" s="229" t="str">
        <f t="shared" ca="1" si="23"/>
        <v/>
      </c>
      <c r="W57" s="229" t="str">
        <f t="shared" ca="1" si="10"/>
        <v/>
      </c>
      <c r="X57" s="229"/>
    </row>
    <row r="58" spans="3:24" x14ac:dyDescent="0.2">
      <c r="C58" t="str">
        <f>IF($A$1&lt;COUNTIF($C$5:C57,"&lt;&gt;"),"",COUNTIF($C$5:C57,"&lt;&gt;"))</f>
        <v/>
      </c>
      <c r="D58" t="str">
        <f t="shared" ca="1" si="24"/>
        <v/>
      </c>
      <c r="E58" t="str">
        <f t="shared" ca="1" si="24"/>
        <v/>
      </c>
      <c r="F58" t="str">
        <f t="shared" ca="1" si="24"/>
        <v/>
      </c>
      <c r="G58" t="str">
        <f t="shared" ca="1" si="24"/>
        <v/>
      </c>
      <c r="H58" t="str">
        <f t="shared" ca="1" si="24"/>
        <v/>
      </c>
      <c r="I58" t="str">
        <f t="shared" ca="1" si="24"/>
        <v/>
      </c>
      <c r="J58" s="229" t="str">
        <f t="shared" ca="1" si="15"/>
        <v/>
      </c>
      <c r="K58" s="229" t="str">
        <f t="shared" ca="1" si="24"/>
        <v/>
      </c>
      <c r="L58" s="229" t="str">
        <f t="shared" ca="1" si="16"/>
        <v/>
      </c>
      <c r="M58" s="229" t="str">
        <f t="shared" ca="1" si="22"/>
        <v/>
      </c>
      <c r="N58" s="229" t="str">
        <f t="shared" ca="1" si="22"/>
        <v/>
      </c>
      <c r="O58" s="229" t="str">
        <f t="shared" ca="1" si="22"/>
        <v/>
      </c>
      <c r="P58" s="229" t="str">
        <f t="shared" ca="1" si="22"/>
        <v/>
      </c>
      <c r="Q58" s="229" t="str">
        <f t="shared" ca="1" si="17"/>
        <v/>
      </c>
      <c r="R58" s="234" t="str">
        <f t="shared" ca="1" si="18"/>
        <v/>
      </c>
      <c r="S58" s="234" t="str">
        <f t="shared" ca="1" si="19"/>
        <v/>
      </c>
      <c r="T58" s="231" t="str">
        <f t="shared" ca="1" si="20"/>
        <v/>
      </c>
      <c r="U58" s="229" t="str">
        <f ca="1">IF(T58="","",CleaningSheet!AH66)</f>
        <v/>
      </c>
      <c r="V58" s="229" t="str">
        <f t="shared" ca="1" si="23"/>
        <v/>
      </c>
      <c r="W58" s="229" t="str">
        <f t="shared" ca="1" si="10"/>
        <v/>
      </c>
      <c r="X58" s="229"/>
    </row>
    <row r="59" spans="3:24" x14ac:dyDescent="0.2">
      <c r="C59" t="str">
        <f>IF($A$1&lt;COUNTIF($C$5:C58,"&lt;&gt;"),"",COUNTIF($C$5:C58,"&lt;&gt;"))</f>
        <v/>
      </c>
      <c r="D59" t="str">
        <f t="shared" ca="1" si="24"/>
        <v/>
      </c>
      <c r="E59" t="str">
        <f t="shared" ca="1" si="24"/>
        <v/>
      </c>
      <c r="F59" t="str">
        <f t="shared" ca="1" si="24"/>
        <v/>
      </c>
      <c r="G59" t="str">
        <f t="shared" ca="1" si="24"/>
        <v/>
      </c>
      <c r="H59" t="str">
        <f t="shared" ca="1" si="24"/>
        <v/>
      </c>
      <c r="I59" t="str">
        <f t="shared" ca="1" si="24"/>
        <v/>
      </c>
      <c r="J59" s="229" t="str">
        <f t="shared" ca="1" si="15"/>
        <v/>
      </c>
      <c r="K59" s="229" t="str">
        <f t="shared" ca="1" si="24"/>
        <v/>
      </c>
      <c r="L59" s="229" t="str">
        <f t="shared" ca="1" si="16"/>
        <v/>
      </c>
      <c r="M59" s="229" t="str">
        <f t="shared" ca="1" si="22"/>
        <v/>
      </c>
      <c r="N59" s="229" t="str">
        <f t="shared" ca="1" si="22"/>
        <v/>
      </c>
      <c r="O59" s="229" t="str">
        <f t="shared" ca="1" si="22"/>
        <v/>
      </c>
      <c r="P59" s="229" t="str">
        <f t="shared" ca="1" si="22"/>
        <v/>
      </c>
      <c r="Q59" s="229" t="str">
        <f t="shared" ca="1" si="17"/>
        <v/>
      </c>
      <c r="R59" s="234" t="str">
        <f t="shared" ca="1" si="18"/>
        <v/>
      </c>
      <c r="S59" s="234" t="str">
        <f t="shared" ca="1" si="19"/>
        <v/>
      </c>
      <c r="T59" s="231" t="str">
        <f t="shared" ca="1" si="20"/>
        <v/>
      </c>
      <c r="U59" s="229" t="str">
        <f ca="1">IF(T59="","",CleaningSheet!AH67)</f>
        <v/>
      </c>
      <c r="V59" s="229" t="str">
        <f t="shared" ca="1" si="23"/>
        <v/>
      </c>
      <c r="W59" s="229" t="str">
        <f t="shared" ca="1" si="10"/>
        <v/>
      </c>
      <c r="X59" s="229"/>
    </row>
    <row r="60" spans="3:24" x14ac:dyDescent="0.2">
      <c r="C60" t="str">
        <f>IF($A$1&lt;COUNTIF($C$5:C59,"&lt;&gt;"),"",COUNTIF($C$5:C59,"&lt;&gt;"))</f>
        <v/>
      </c>
      <c r="D60" t="str">
        <f t="shared" ca="1" si="24"/>
        <v/>
      </c>
      <c r="E60" t="str">
        <f t="shared" ca="1" si="24"/>
        <v/>
      </c>
      <c r="F60" t="str">
        <f t="shared" ca="1" si="24"/>
        <v/>
      </c>
      <c r="G60" t="str">
        <f t="shared" ca="1" si="24"/>
        <v/>
      </c>
      <c r="H60" t="str">
        <f t="shared" ca="1" si="24"/>
        <v/>
      </c>
      <c r="I60" t="str">
        <f t="shared" ca="1" si="24"/>
        <v/>
      </c>
      <c r="J60" s="229" t="str">
        <f t="shared" ca="1" si="15"/>
        <v/>
      </c>
      <c r="K60" s="229" t="str">
        <f t="shared" ca="1" si="24"/>
        <v/>
      </c>
      <c r="L60" s="229" t="str">
        <f t="shared" ca="1" si="16"/>
        <v/>
      </c>
      <c r="M60" s="229" t="str">
        <f t="shared" ca="1" si="22"/>
        <v/>
      </c>
      <c r="N60" s="229" t="str">
        <f t="shared" ca="1" si="22"/>
        <v/>
      </c>
      <c r="O60" s="229" t="str">
        <f t="shared" ca="1" si="22"/>
        <v/>
      </c>
      <c r="P60" s="229" t="str">
        <f t="shared" ca="1" si="22"/>
        <v/>
      </c>
      <c r="Q60" s="229" t="str">
        <f t="shared" ca="1" si="17"/>
        <v/>
      </c>
      <c r="R60" s="234" t="str">
        <f t="shared" ca="1" si="18"/>
        <v/>
      </c>
      <c r="S60" s="234" t="str">
        <f t="shared" ca="1" si="19"/>
        <v/>
      </c>
      <c r="T60" s="231" t="str">
        <f t="shared" ca="1" si="20"/>
        <v/>
      </c>
      <c r="U60" s="229" t="str">
        <f ca="1">IF(T60="","",CleaningSheet!AH68)</f>
        <v/>
      </c>
      <c r="V60" s="229" t="str">
        <f t="shared" ca="1" si="23"/>
        <v/>
      </c>
      <c r="W60" s="229" t="str">
        <f t="shared" ca="1" si="10"/>
        <v/>
      </c>
      <c r="X60" s="229"/>
    </row>
    <row r="61" spans="3:24" x14ac:dyDescent="0.2">
      <c r="C61" t="str">
        <f>IF($A$1&lt;COUNTIF($C$5:C60,"&lt;&gt;"),"",COUNTIF($C$5:C60,"&lt;&gt;"))</f>
        <v/>
      </c>
      <c r="D61" t="str">
        <f t="shared" ca="1" si="24"/>
        <v/>
      </c>
      <c r="E61" t="str">
        <f t="shared" ca="1" si="24"/>
        <v/>
      </c>
      <c r="F61" t="str">
        <f t="shared" ca="1" si="24"/>
        <v/>
      </c>
      <c r="G61" t="str">
        <f t="shared" ca="1" si="24"/>
        <v/>
      </c>
      <c r="H61" t="str">
        <f t="shared" ca="1" si="24"/>
        <v/>
      </c>
      <c r="I61" t="str">
        <f t="shared" ca="1" si="24"/>
        <v/>
      </c>
      <c r="J61" s="229" t="str">
        <f t="shared" ca="1" si="15"/>
        <v/>
      </c>
      <c r="K61" s="229" t="str">
        <f t="shared" ca="1" si="24"/>
        <v/>
      </c>
      <c r="L61" s="229" t="str">
        <f t="shared" ca="1" si="16"/>
        <v/>
      </c>
      <c r="M61" s="229" t="str">
        <f t="shared" ca="1" si="22"/>
        <v/>
      </c>
      <c r="N61" s="229" t="str">
        <f t="shared" ca="1" si="22"/>
        <v/>
      </c>
      <c r="O61" s="229" t="str">
        <f t="shared" ca="1" si="22"/>
        <v/>
      </c>
      <c r="P61" s="229" t="str">
        <f t="shared" ca="1" si="22"/>
        <v/>
      </c>
      <c r="Q61" s="229" t="str">
        <f t="shared" ca="1" si="17"/>
        <v/>
      </c>
      <c r="R61" s="234" t="str">
        <f t="shared" ca="1" si="18"/>
        <v/>
      </c>
      <c r="S61" s="234" t="str">
        <f t="shared" ca="1" si="19"/>
        <v/>
      </c>
      <c r="T61" s="231" t="str">
        <f t="shared" ca="1" si="20"/>
        <v/>
      </c>
      <c r="U61" s="229" t="str">
        <f ca="1">IF(T61="","",CleaningSheet!AH69)</f>
        <v/>
      </c>
      <c r="V61" s="229" t="str">
        <f t="shared" ca="1" si="23"/>
        <v/>
      </c>
      <c r="W61" s="229" t="str">
        <f t="shared" ca="1" si="10"/>
        <v/>
      </c>
      <c r="X61" s="229"/>
    </row>
    <row r="62" spans="3:24" x14ac:dyDescent="0.2">
      <c r="C62" t="str">
        <f>IF($A$1&lt;COUNTIF($C$5:C61,"&lt;&gt;"),"",COUNTIF($C$5:C61,"&lt;&gt;"))</f>
        <v/>
      </c>
      <c r="D62" t="str">
        <f t="shared" ca="1" si="24"/>
        <v/>
      </c>
      <c r="E62" t="str">
        <f t="shared" ca="1" si="24"/>
        <v/>
      </c>
      <c r="F62" t="str">
        <f t="shared" ca="1" si="24"/>
        <v/>
      </c>
      <c r="G62" t="str">
        <f t="shared" ca="1" si="24"/>
        <v/>
      </c>
      <c r="H62" t="str">
        <f t="shared" ca="1" si="24"/>
        <v/>
      </c>
      <c r="I62" t="str">
        <f t="shared" ca="1" si="24"/>
        <v/>
      </c>
      <c r="J62" s="229" t="str">
        <f t="shared" ca="1" si="15"/>
        <v/>
      </c>
      <c r="K62" s="229" t="str">
        <f t="shared" ca="1" si="24"/>
        <v/>
      </c>
      <c r="L62" s="229" t="str">
        <f t="shared" ca="1" si="16"/>
        <v/>
      </c>
      <c r="M62" s="229" t="str">
        <f t="shared" ca="1" si="22"/>
        <v/>
      </c>
      <c r="N62" s="229" t="str">
        <f t="shared" ca="1" si="22"/>
        <v/>
      </c>
      <c r="O62" s="229" t="str">
        <f t="shared" ca="1" si="22"/>
        <v/>
      </c>
      <c r="P62" s="229" t="str">
        <f t="shared" ca="1" si="22"/>
        <v/>
      </c>
      <c r="Q62" s="229" t="str">
        <f t="shared" ca="1" si="17"/>
        <v/>
      </c>
      <c r="R62" s="234" t="str">
        <f t="shared" ca="1" si="18"/>
        <v/>
      </c>
      <c r="S62" s="234" t="str">
        <f t="shared" ca="1" si="19"/>
        <v/>
      </c>
      <c r="T62" s="231" t="str">
        <f t="shared" ca="1" si="20"/>
        <v/>
      </c>
      <c r="U62" s="229" t="str">
        <f ca="1">IF(T62="","",CleaningSheet!AH70)</f>
        <v/>
      </c>
      <c r="V62" s="229" t="str">
        <f t="shared" ca="1" si="23"/>
        <v/>
      </c>
      <c r="W62" s="229" t="str">
        <f t="shared" ca="1" si="10"/>
        <v/>
      </c>
      <c r="X62" s="229"/>
    </row>
    <row r="63" spans="3:24" x14ac:dyDescent="0.2">
      <c r="C63" t="str">
        <f>IF($A$1&lt;COUNTIF($C$5:C62,"&lt;&gt;"),"",COUNTIF($C$5:C62,"&lt;&gt;"))</f>
        <v/>
      </c>
      <c r="D63" t="str">
        <f t="shared" ca="1" si="24"/>
        <v/>
      </c>
      <c r="E63" t="str">
        <f t="shared" ca="1" si="24"/>
        <v/>
      </c>
      <c r="F63" t="str">
        <f t="shared" ca="1" si="24"/>
        <v/>
      </c>
      <c r="G63" t="str">
        <f t="shared" ca="1" si="24"/>
        <v/>
      </c>
      <c r="H63" t="str">
        <f t="shared" ca="1" si="24"/>
        <v/>
      </c>
      <c r="I63" t="str">
        <f t="shared" ca="1" si="24"/>
        <v/>
      </c>
      <c r="J63" s="229" t="str">
        <f t="shared" ca="1" si="15"/>
        <v/>
      </c>
      <c r="K63" s="229" t="str">
        <f t="shared" ca="1" si="24"/>
        <v/>
      </c>
      <c r="L63" s="229" t="str">
        <f t="shared" ca="1" si="16"/>
        <v/>
      </c>
      <c r="M63" s="229" t="str">
        <f t="shared" ca="1" si="22"/>
        <v/>
      </c>
      <c r="N63" s="229" t="str">
        <f t="shared" ca="1" si="22"/>
        <v/>
      </c>
      <c r="O63" s="229" t="str">
        <f t="shared" ca="1" si="22"/>
        <v/>
      </c>
      <c r="P63" s="229" t="str">
        <f t="shared" ca="1" si="22"/>
        <v/>
      </c>
      <c r="Q63" s="229" t="str">
        <f t="shared" ca="1" si="17"/>
        <v/>
      </c>
      <c r="R63" s="234" t="str">
        <f t="shared" ca="1" si="18"/>
        <v/>
      </c>
      <c r="S63" s="234" t="str">
        <f t="shared" ca="1" si="19"/>
        <v/>
      </c>
      <c r="T63" s="231" t="str">
        <f t="shared" ca="1" si="20"/>
        <v/>
      </c>
      <c r="U63" s="229" t="str">
        <f ca="1">IF(T63="","",CleaningSheet!AH71)</f>
        <v/>
      </c>
      <c r="V63" s="229" t="str">
        <f t="shared" ca="1" si="23"/>
        <v/>
      </c>
      <c r="W63" s="229" t="str">
        <f t="shared" ca="1" si="10"/>
        <v/>
      </c>
      <c r="X63" s="229"/>
    </row>
    <row r="64" spans="3:24" x14ac:dyDescent="0.2">
      <c r="C64" t="str">
        <f>IF($A$1&lt;COUNTIF($C$5:C63,"&lt;&gt;"),"",COUNTIF($C$5:C63,"&lt;&gt;"))</f>
        <v/>
      </c>
      <c r="D64" t="str">
        <f t="shared" ca="1" si="24"/>
        <v/>
      </c>
      <c r="E64" t="str">
        <f t="shared" ca="1" si="24"/>
        <v/>
      </c>
      <c r="F64" t="str">
        <f t="shared" ca="1" si="24"/>
        <v/>
      </c>
      <c r="G64" t="str">
        <f t="shared" ca="1" si="24"/>
        <v/>
      </c>
      <c r="H64" t="str">
        <f t="shared" ca="1" si="24"/>
        <v/>
      </c>
      <c r="I64" t="str">
        <f t="shared" ca="1" si="24"/>
        <v/>
      </c>
      <c r="J64" s="229" t="str">
        <f t="shared" ca="1" si="15"/>
        <v/>
      </c>
      <c r="K64" s="229" t="str">
        <f t="shared" ca="1" si="24"/>
        <v/>
      </c>
      <c r="L64" s="229" t="str">
        <f t="shared" ca="1" si="16"/>
        <v/>
      </c>
      <c r="M64" s="229" t="str">
        <f t="shared" ca="1" si="22"/>
        <v/>
      </c>
      <c r="N64" s="229" t="str">
        <f t="shared" ca="1" si="22"/>
        <v/>
      </c>
      <c r="O64" s="229" t="str">
        <f t="shared" ca="1" si="22"/>
        <v/>
      </c>
      <c r="P64" s="229" t="str">
        <f t="shared" ca="1" si="22"/>
        <v/>
      </c>
      <c r="Q64" s="229" t="str">
        <f t="shared" ca="1" si="17"/>
        <v/>
      </c>
      <c r="R64" s="234" t="str">
        <f t="shared" ca="1" si="18"/>
        <v/>
      </c>
      <c r="S64" s="234" t="str">
        <f t="shared" ca="1" si="19"/>
        <v/>
      </c>
      <c r="T64" s="231" t="str">
        <f t="shared" ca="1" si="20"/>
        <v/>
      </c>
      <c r="U64" s="229" t="str">
        <f ca="1">IF(T64="","",CleaningSheet!AH72)</f>
        <v/>
      </c>
      <c r="V64" s="229" t="str">
        <f t="shared" ca="1" si="23"/>
        <v/>
      </c>
      <c r="W64" s="229" t="str">
        <f t="shared" ca="1" si="10"/>
        <v/>
      </c>
      <c r="X64" s="229"/>
    </row>
    <row r="65" spans="3:24" x14ac:dyDescent="0.2">
      <c r="C65" t="str">
        <f>IF($A$1&lt;COUNTIF($C$5:C64,"&lt;&gt;"),"",COUNTIF($C$5:C64,"&lt;&gt;"))</f>
        <v/>
      </c>
      <c r="D65" t="str">
        <f t="shared" ca="1" si="24"/>
        <v/>
      </c>
      <c r="E65" t="str">
        <f t="shared" ca="1" si="24"/>
        <v/>
      </c>
      <c r="F65" t="str">
        <f t="shared" ca="1" si="24"/>
        <v/>
      </c>
      <c r="G65" t="str">
        <f t="shared" ca="1" si="24"/>
        <v/>
      </c>
      <c r="H65" t="str">
        <f t="shared" ca="1" si="24"/>
        <v/>
      </c>
      <c r="I65" t="str">
        <f t="shared" ca="1" si="24"/>
        <v/>
      </c>
      <c r="J65" s="229" t="str">
        <f t="shared" ca="1" si="15"/>
        <v/>
      </c>
      <c r="K65" s="229" t="str">
        <f t="shared" ca="1" si="24"/>
        <v/>
      </c>
      <c r="L65" s="229" t="str">
        <f t="shared" ca="1" si="16"/>
        <v/>
      </c>
      <c r="M65" s="229" t="str">
        <f t="shared" ca="1" si="22"/>
        <v/>
      </c>
      <c r="N65" s="229" t="str">
        <f t="shared" ca="1" si="22"/>
        <v/>
      </c>
      <c r="O65" s="229" t="str">
        <f t="shared" ca="1" si="22"/>
        <v/>
      </c>
      <c r="P65" s="229" t="str">
        <f t="shared" ca="1" si="22"/>
        <v/>
      </c>
      <c r="Q65" s="229" t="str">
        <f t="shared" ca="1" si="17"/>
        <v/>
      </c>
      <c r="R65" s="234" t="str">
        <f t="shared" ca="1" si="18"/>
        <v/>
      </c>
      <c r="S65" s="234" t="str">
        <f t="shared" ca="1" si="19"/>
        <v/>
      </c>
      <c r="T65" s="231" t="str">
        <f t="shared" ca="1" si="20"/>
        <v/>
      </c>
      <c r="U65" s="229" t="str">
        <f ca="1">IF(T65="","",CleaningSheet!AH73)</f>
        <v/>
      </c>
      <c r="V65" s="229" t="str">
        <f t="shared" ca="1" si="23"/>
        <v/>
      </c>
      <c r="W65" s="229" t="str">
        <f t="shared" ca="1" si="10"/>
        <v/>
      </c>
      <c r="X65" s="229"/>
    </row>
    <row r="66" spans="3:24" x14ac:dyDescent="0.2">
      <c r="C66" t="str">
        <f>IF($A$1&lt;COUNTIF($C$5:C65,"&lt;&gt;"),"",COUNTIF($C$5:C65,"&lt;&gt;"))</f>
        <v/>
      </c>
      <c r="D66" t="str">
        <f t="shared" ca="1" si="24"/>
        <v/>
      </c>
      <c r="E66" t="str">
        <f t="shared" ca="1" si="24"/>
        <v/>
      </c>
      <c r="F66" t="str">
        <f t="shared" ca="1" si="24"/>
        <v/>
      </c>
      <c r="G66" t="str">
        <f t="shared" ca="1" si="24"/>
        <v/>
      </c>
      <c r="H66" t="str">
        <f t="shared" ca="1" si="24"/>
        <v/>
      </c>
      <c r="I66" t="str">
        <f t="shared" ca="1" si="24"/>
        <v/>
      </c>
      <c r="J66" s="229" t="str">
        <f t="shared" ca="1" si="15"/>
        <v/>
      </c>
      <c r="K66" s="229" t="str">
        <f t="shared" ca="1" si="24"/>
        <v/>
      </c>
      <c r="L66" s="229" t="str">
        <f t="shared" ca="1" si="16"/>
        <v/>
      </c>
      <c r="M66" s="229" t="str">
        <f t="shared" ca="1" si="22"/>
        <v/>
      </c>
      <c r="N66" s="229" t="str">
        <f t="shared" ca="1" si="22"/>
        <v/>
      </c>
      <c r="O66" s="229" t="str">
        <f t="shared" ca="1" si="22"/>
        <v/>
      </c>
      <c r="P66" s="229" t="str">
        <f t="shared" ca="1" si="22"/>
        <v/>
      </c>
      <c r="Q66" s="229" t="str">
        <f t="shared" ca="1" si="17"/>
        <v/>
      </c>
      <c r="R66" s="234" t="str">
        <f t="shared" ca="1" si="18"/>
        <v/>
      </c>
      <c r="S66" s="234" t="str">
        <f t="shared" ca="1" si="19"/>
        <v/>
      </c>
      <c r="T66" s="231" t="str">
        <f t="shared" ca="1" si="20"/>
        <v/>
      </c>
      <c r="U66" s="229" t="str">
        <f ca="1">IF(T66="","",CleaningSheet!AH74)</f>
        <v/>
      </c>
      <c r="V66" s="229" t="str">
        <f t="shared" ca="1" si="23"/>
        <v/>
      </c>
      <c r="W66" s="229" t="str">
        <f t="shared" ca="1" si="10"/>
        <v/>
      </c>
      <c r="X66" s="229"/>
    </row>
    <row r="67" spans="3:24" x14ac:dyDescent="0.2">
      <c r="C67" t="str">
        <f>IF($A$1&lt;COUNTIF($C$5:C66,"&lt;&gt;"),"",COUNTIF($C$5:C66,"&lt;&gt;"))</f>
        <v/>
      </c>
      <c r="D67" t="str">
        <f t="shared" ca="1" si="24"/>
        <v/>
      </c>
      <c r="E67" t="str">
        <f t="shared" ca="1" si="24"/>
        <v/>
      </c>
      <c r="F67" t="str">
        <f t="shared" ca="1" si="24"/>
        <v/>
      </c>
      <c r="G67" t="str">
        <f t="shared" ca="1" si="24"/>
        <v/>
      </c>
      <c r="H67" t="str">
        <f t="shared" ca="1" si="24"/>
        <v/>
      </c>
      <c r="I67" t="str">
        <f t="shared" ca="1" si="24"/>
        <v/>
      </c>
      <c r="J67" s="229" t="str">
        <f t="shared" ca="1" si="15"/>
        <v/>
      </c>
      <c r="K67" s="229" t="str">
        <f t="shared" ca="1" si="24"/>
        <v/>
      </c>
      <c r="L67" s="229" t="str">
        <f t="shared" ca="1" si="16"/>
        <v/>
      </c>
      <c r="M67" s="229" t="str">
        <f t="shared" ca="1" si="22"/>
        <v/>
      </c>
      <c r="N67" s="229" t="str">
        <f t="shared" ca="1" si="22"/>
        <v/>
      </c>
      <c r="O67" s="229" t="str">
        <f t="shared" ca="1" si="22"/>
        <v/>
      </c>
      <c r="P67" s="229" t="str">
        <f t="shared" ca="1" si="22"/>
        <v/>
      </c>
      <c r="Q67" s="229" t="str">
        <f t="shared" ca="1" si="17"/>
        <v/>
      </c>
      <c r="R67" s="234" t="str">
        <f t="shared" ca="1" si="18"/>
        <v/>
      </c>
      <c r="S67" s="234" t="str">
        <f t="shared" ca="1" si="19"/>
        <v/>
      </c>
      <c r="T67" s="231" t="str">
        <f t="shared" ca="1" si="20"/>
        <v/>
      </c>
      <c r="U67" s="229" t="str">
        <f ca="1">IF(T67="","",CleaningSheet!AH75)</f>
        <v/>
      </c>
      <c r="V67" s="229" t="str">
        <f t="shared" ca="1" si="23"/>
        <v/>
      </c>
      <c r="W67" s="229" t="str">
        <f t="shared" ca="1" si="10"/>
        <v/>
      </c>
      <c r="X67" s="229"/>
    </row>
    <row r="68" spans="3:24" x14ac:dyDescent="0.2">
      <c r="C68" t="str">
        <f>IF($A$1&lt;COUNTIF($C$5:C67,"&lt;&gt;"),"",COUNTIF($C$5:C67,"&lt;&gt;"))</f>
        <v/>
      </c>
      <c r="D68" t="str">
        <f t="shared" ca="1" si="24"/>
        <v/>
      </c>
      <c r="E68" t="str">
        <f t="shared" ca="1" si="24"/>
        <v/>
      </c>
      <c r="F68" t="str">
        <f t="shared" ca="1" si="24"/>
        <v/>
      </c>
      <c r="G68" t="str">
        <f t="shared" ca="1" si="24"/>
        <v/>
      </c>
      <c r="H68" t="str">
        <f t="shared" ca="1" si="24"/>
        <v/>
      </c>
      <c r="I68" t="str">
        <f t="shared" ca="1" si="24"/>
        <v/>
      </c>
      <c r="J68" s="229" t="str">
        <f t="shared" ca="1" si="15"/>
        <v/>
      </c>
      <c r="K68" s="229" t="str">
        <f t="shared" ca="1" si="24"/>
        <v/>
      </c>
      <c r="L68" s="229" t="str">
        <f t="shared" ca="1" si="16"/>
        <v/>
      </c>
      <c r="M68" s="229" t="str">
        <f t="shared" ca="1" si="22"/>
        <v/>
      </c>
      <c r="N68" s="229" t="str">
        <f t="shared" ca="1" si="22"/>
        <v/>
      </c>
      <c r="O68" s="229" t="str">
        <f t="shared" ca="1" si="22"/>
        <v/>
      </c>
      <c r="P68" s="229" t="str">
        <f t="shared" ca="1" si="22"/>
        <v/>
      </c>
      <c r="Q68" s="229" t="str">
        <f t="shared" ca="1" si="17"/>
        <v/>
      </c>
      <c r="R68" s="234" t="str">
        <f t="shared" ca="1" si="18"/>
        <v/>
      </c>
      <c r="S68" s="234" t="str">
        <f t="shared" ca="1" si="19"/>
        <v/>
      </c>
      <c r="T68" s="231" t="str">
        <f t="shared" ca="1" si="20"/>
        <v/>
      </c>
      <c r="U68" s="229" t="str">
        <f ca="1">IF(T68="","",CleaningSheet!AH76)</f>
        <v/>
      </c>
      <c r="V68" s="229" t="str">
        <f t="shared" ca="1" si="23"/>
        <v/>
      </c>
      <c r="W68" s="229" t="str">
        <f t="shared" ca="1" si="10"/>
        <v/>
      </c>
      <c r="X68" s="229"/>
    </row>
    <row r="69" spans="3:24" x14ac:dyDescent="0.2">
      <c r="C69" t="str">
        <f>IF($A$1&lt;COUNTIF($C$5:C68,"&lt;&gt;"),"",COUNTIF($C$5:C68,"&lt;&gt;"))</f>
        <v/>
      </c>
      <c r="D69" t="str">
        <f t="shared" ca="1" si="24"/>
        <v/>
      </c>
      <c r="E69" t="str">
        <f t="shared" ca="1" si="24"/>
        <v/>
      </c>
      <c r="F69" t="str">
        <f t="shared" ca="1" si="24"/>
        <v/>
      </c>
      <c r="G69" t="str">
        <f t="shared" ca="1" si="24"/>
        <v/>
      </c>
      <c r="H69" t="str">
        <f t="shared" ca="1" si="24"/>
        <v/>
      </c>
      <c r="I69" t="str">
        <f t="shared" ca="1" si="24"/>
        <v/>
      </c>
      <c r="J69" s="229" t="str">
        <f t="shared" ca="1" si="15"/>
        <v/>
      </c>
      <c r="K69" s="229" t="str">
        <f t="shared" ca="1" si="24"/>
        <v/>
      </c>
      <c r="L69" s="229" t="str">
        <f t="shared" ca="1" si="16"/>
        <v/>
      </c>
      <c r="M69" s="229" t="str">
        <f t="shared" ca="1" si="22"/>
        <v/>
      </c>
      <c r="N69" s="229" t="str">
        <f t="shared" ca="1" si="22"/>
        <v/>
      </c>
      <c r="O69" s="229" t="str">
        <f t="shared" ca="1" si="22"/>
        <v/>
      </c>
      <c r="P69" s="229" t="str">
        <f t="shared" ca="1" si="22"/>
        <v/>
      </c>
      <c r="Q69" s="229" t="str">
        <f t="shared" ca="1" si="17"/>
        <v/>
      </c>
      <c r="R69" s="234" t="str">
        <f t="shared" ca="1" si="18"/>
        <v/>
      </c>
      <c r="S69" s="234" t="str">
        <f t="shared" ca="1" si="19"/>
        <v/>
      </c>
      <c r="T69" s="231" t="str">
        <f t="shared" ca="1" si="20"/>
        <v/>
      </c>
      <c r="U69" s="229" t="str">
        <f ca="1">IF(T69="","",CleaningSheet!AH77)</f>
        <v/>
      </c>
      <c r="V69" s="229" t="str">
        <f t="shared" ca="1" si="23"/>
        <v/>
      </c>
      <c r="W69" s="229" t="str">
        <f t="shared" ca="1" si="10"/>
        <v/>
      </c>
      <c r="X69" s="229"/>
    </row>
    <row r="70" spans="3:24" x14ac:dyDescent="0.2">
      <c r="C70" t="str">
        <f>IF($A$1&lt;COUNTIF($C$5:C69,"&lt;&gt;"),"",COUNTIF($C$5:C69,"&lt;&gt;"))</f>
        <v/>
      </c>
      <c r="D70" t="str">
        <f ca="1">IFERROR(INDIRECT("'"&amp;$B$6&amp;$C70&amp;"'!"&amp;D$4),"")</f>
        <v/>
      </c>
      <c r="E70" t="str">
        <f t="shared" ref="E70:I85" ca="1" si="25">IFERROR(INDIRECT("'"&amp;$B$6&amp;$C70&amp;"'!"&amp;E$4),"")</f>
        <v/>
      </c>
      <c r="F70" t="str">
        <f ca="1">IFERROR(INDIRECT("'"&amp;$B$6&amp;$C70&amp;"'!"&amp;F$4),"")</f>
        <v/>
      </c>
      <c r="G70" t="str">
        <f ca="1">IFERROR(INDIRECT("'"&amp;$B$6&amp;$C70&amp;"'!"&amp;G$4),"")</f>
        <v/>
      </c>
      <c r="H70" t="str">
        <f ca="1">IFERROR(INDIRECT("'"&amp;$B$6&amp;$C70&amp;"'!"&amp;H$4),"")</f>
        <v/>
      </c>
      <c r="I70" t="str">
        <f ca="1">IFERROR(INDIRECT("'"&amp;$B$6&amp;$C70&amp;"'!"&amp;I$4),"")</f>
        <v/>
      </c>
      <c r="J70" s="229" t="str">
        <f ca="1">IFERROR(K70/I70,"")</f>
        <v/>
      </c>
      <c r="K70" s="229" t="str">
        <f ca="1">IFERROR(INDIRECT("'"&amp;$B$6&amp;$C70&amp;"'!"&amp;K$4),"")</f>
        <v/>
      </c>
      <c r="L70" s="229" t="str">
        <f ca="1">IFERROR(N70-K70,"")</f>
        <v/>
      </c>
      <c r="M70" s="229" t="str">
        <f t="shared" ca="1" si="22"/>
        <v/>
      </c>
      <c r="N70" s="229" t="str">
        <f t="shared" ca="1" si="22"/>
        <v/>
      </c>
      <c r="O70" s="229" t="str">
        <f t="shared" ca="1" si="22"/>
        <v/>
      </c>
      <c r="P70" s="229" t="str">
        <f t="shared" ca="1" si="22"/>
        <v/>
      </c>
      <c r="Q70" s="229" t="str">
        <f ca="1">IF(SUM(N70:P70)=0,"",SUM(N70:P70))</f>
        <v/>
      </c>
      <c r="R70" s="234" t="str">
        <f t="shared" ca="1" si="18"/>
        <v/>
      </c>
      <c r="S70" s="234" t="str">
        <f ca="1">IFERROR(R70*$S$4/0.725,"")</f>
        <v/>
      </c>
      <c r="T70" s="231" t="str">
        <f ca="1">IFERROR(S70/SUM(N70:P70)*100,"")</f>
        <v/>
      </c>
      <c r="U70" s="229" t="str">
        <f ca="1">IF(T70="","",CleaningSheet!AH78)</f>
        <v/>
      </c>
      <c r="V70" s="229" t="str">
        <f t="shared" ca="1" si="23"/>
        <v/>
      </c>
      <c r="W70" s="229" t="str">
        <f t="shared" ca="1" si="10"/>
        <v/>
      </c>
      <c r="X70" s="229"/>
    </row>
    <row r="71" spans="3:24" x14ac:dyDescent="0.2">
      <c r="C71" t="str">
        <f>IF($A$1&lt;COUNTIF($C$5:C70,"&lt;&gt;"),"",COUNTIF($C$5:C70,"&lt;&gt;"))</f>
        <v/>
      </c>
      <c r="D71" t="str">
        <f t="shared" ref="D71:I102" ca="1" si="26">IFERROR(INDIRECT("'"&amp;$B$6&amp;$C71&amp;"'!"&amp;D$4),"")</f>
        <v/>
      </c>
      <c r="E71" t="str">
        <f t="shared" ca="1" si="25"/>
        <v/>
      </c>
      <c r="F71" t="str">
        <f t="shared" ca="1" si="25"/>
        <v/>
      </c>
      <c r="G71" t="str">
        <f t="shared" ca="1" si="25"/>
        <v/>
      </c>
      <c r="H71" t="str">
        <f t="shared" ca="1" si="25"/>
        <v/>
      </c>
      <c r="I71" t="str">
        <f t="shared" ca="1" si="25"/>
        <v/>
      </c>
      <c r="J71" s="229" t="str">
        <f t="shared" ref="J71:J134" ca="1" si="27">IFERROR(K71/I71,"")</f>
        <v/>
      </c>
      <c r="K71" s="229" t="str">
        <f t="shared" ref="K71:K134" ca="1" si="28">IFERROR(INDIRECT("'"&amp;$B$6&amp;$C71&amp;"'!"&amp;K$4),"")</f>
        <v/>
      </c>
      <c r="L71" s="229" t="str">
        <f t="shared" ref="L71:L134" ca="1" si="29">IFERROR(N71-K71,"")</f>
        <v/>
      </c>
      <c r="M71" s="229" t="str">
        <f t="shared" ref="M71:P102" ca="1" si="30">IFERROR(INDIRECT("'"&amp;$B$6&amp;$C71&amp;"'!"&amp;M$4),"")</f>
        <v/>
      </c>
      <c r="N71" s="229" t="str">
        <f t="shared" ca="1" si="30"/>
        <v/>
      </c>
      <c r="O71" s="229" t="str">
        <f t="shared" ca="1" si="30"/>
        <v/>
      </c>
      <c r="P71" s="229" t="str">
        <f t="shared" ca="1" si="30"/>
        <v/>
      </c>
      <c r="Q71" s="229" t="str">
        <f t="shared" ref="Q71:Q134" ca="1" si="31">IF(SUM(N71:P71)=0,"",SUM(N71:P71))</f>
        <v/>
      </c>
      <c r="R71" s="234" t="str">
        <f t="shared" ca="1" si="18"/>
        <v/>
      </c>
      <c r="S71" s="234" t="str">
        <f t="shared" ref="S71:S134" ca="1" si="32">IFERROR(R71*$S$4/0.725,"")</f>
        <v/>
      </c>
      <c r="T71" s="231" t="str">
        <f t="shared" ref="T71:T134" ca="1" si="33">IFERROR(S71/SUM(N71:P71)*100,"")</f>
        <v/>
      </c>
      <c r="U71" s="229" t="str">
        <f ca="1">IF(T71="","",CleaningSheet!AH79)</f>
        <v/>
      </c>
      <c r="V71" s="229" t="str">
        <f t="shared" ref="V71:V134" ca="1" si="34">IFERROR(U71*V$4,"")</f>
        <v/>
      </c>
      <c r="W71" s="229" t="str">
        <f t="shared" ca="1" si="10"/>
        <v/>
      </c>
      <c r="X71" s="229"/>
    </row>
    <row r="72" spans="3:24" x14ac:dyDescent="0.2">
      <c r="C72" t="str">
        <f>IF($A$1&lt;COUNTIF($C$5:C71,"&lt;&gt;"),"",COUNTIF($C$5:C71,"&lt;&gt;"))</f>
        <v/>
      </c>
      <c r="D72" t="str">
        <f t="shared" ca="1" si="26"/>
        <v/>
      </c>
      <c r="E72" t="str">
        <f t="shared" ca="1" si="25"/>
        <v/>
      </c>
      <c r="F72" t="str">
        <f t="shared" ca="1" si="25"/>
        <v/>
      </c>
      <c r="G72" t="str">
        <f t="shared" ca="1" si="25"/>
        <v/>
      </c>
      <c r="H72" t="str">
        <f t="shared" ca="1" si="25"/>
        <v/>
      </c>
      <c r="I72" t="str">
        <f t="shared" ca="1" si="25"/>
        <v/>
      </c>
      <c r="J72" s="229" t="str">
        <f t="shared" ca="1" si="27"/>
        <v/>
      </c>
      <c r="K72" s="229" t="str">
        <f t="shared" ca="1" si="28"/>
        <v/>
      </c>
      <c r="L72" s="229" t="str">
        <f t="shared" ca="1" si="29"/>
        <v/>
      </c>
      <c r="M72" s="229" t="str">
        <f t="shared" ca="1" si="30"/>
        <v/>
      </c>
      <c r="N72" s="229" t="str">
        <f t="shared" ca="1" si="30"/>
        <v/>
      </c>
      <c r="O72" s="229" t="str">
        <f t="shared" ca="1" si="30"/>
        <v/>
      </c>
      <c r="P72" s="229" t="str">
        <f t="shared" ca="1" si="30"/>
        <v/>
      </c>
      <c r="Q72" s="229" t="str">
        <f t="shared" ca="1" si="31"/>
        <v/>
      </c>
      <c r="R72" s="234" t="str">
        <f t="shared" ca="1" si="18"/>
        <v/>
      </c>
      <c r="S72" s="234" t="str">
        <f t="shared" ca="1" si="32"/>
        <v/>
      </c>
      <c r="T72" s="231" t="str">
        <f t="shared" ca="1" si="33"/>
        <v/>
      </c>
      <c r="U72" s="229" t="str">
        <f ca="1">IF(T72="","",CleaningSheet!AH80)</f>
        <v/>
      </c>
      <c r="V72" s="229" t="str">
        <f t="shared" ca="1" si="34"/>
        <v/>
      </c>
      <c r="W72" s="229" t="str">
        <f t="shared" ref="W72:W135" ca="1" si="35">IFERROR(V72/0.725,"")</f>
        <v/>
      </c>
      <c r="X72" s="229"/>
    </row>
    <row r="73" spans="3:24" x14ac:dyDescent="0.2">
      <c r="C73" t="str">
        <f>IF($A$1&lt;COUNTIF($C$5:C72,"&lt;&gt;"),"",COUNTIF($C$5:C72,"&lt;&gt;"))</f>
        <v/>
      </c>
      <c r="D73" t="str">
        <f t="shared" ca="1" si="26"/>
        <v/>
      </c>
      <c r="E73" t="str">
        <f t="shared" ca="1" si="25"/>
        <v/>
      </c>
      <c r="F73" t="str">
        <f t="shared" ca="1" si="25"/>
        <v/>
      </c>
      <c r="G73" t="str">
        <f t="shared" ca="1" si="25"/>
        <v/>
      </c>
      <c r="H73" t="str">
        <f t="shared" ca="1" si="25"/>
        <v/>
      </c>
      <c r="I73" t="str">
        <f t="shared" ca="1" si="25"/>
        <v/>
      </c>
      <c r="J73" s="229" t="str">
        <f t="shared" ca="1" si="27"/>
        <v/>
      </c>
      <c r="K73" s="229" t="str">
        <f t="shared" ca="1" si="28"/>
        <v/>
      </c>
      <c r="L73" s="229" t="str">
        <f t="shared" ca="1" si="29"/>
        <v/>
      </c>
      <c r="M73" s="229" t="str">
        <f t="shared" ca="1" si="30"/>
        <v/>
      </c>
      <c r="N73" s="229" t="str">
        <f t="shared" ca="1" si="30"/>
        <v/>
      </c>
      <c r="O73" s="229" t="str">
        <f t="shared" ca="1" si="30"/>
        <v/>
      </c>
      <c r="P73" s="229" t="str">
        <f t="shared" ca="1" si="30"/>
        <v/>
      </c>
      <c r="Q73" s="229" t="str">
        <f t="shared" ca="1" si="31"/>
        <v/>
      </c>
      <c r="R73" s="234" t="str">
        <f t="shared" ca="1" si="18"/>
        <v/>
      </c>
      <c r="S73" s="234" t="str">
        <f t="shared" ca="1" si="32"/>
        <v/>
      </c>
      <c r="T73" s="231" t="str">
        <f t="shared" ca="1" si="33"/>
        <v/>
      </c>
      <c r="U73" s="229" t="str">
        <f ca="1">IF(T73="","",CleaningSheet!AH81)</f>
        <v/>
      </c>
      <c r="V73" s="229" t="str">
        <f t="shared" ca="1" si="34"/>
        <v/>
      </c>
      <c r="W73" s="229" t="str">
        <f t="shared" ca="1" si="35"/>
        <v/>
      </c>
      <c r="X73" s="229"/>
    </row>
    <row r="74" spans="3:24" x14ac:dyDescent="0.2">
      <c r="C74" t="str">
        <f>IF($A$1&lt;COUNTIF($C$5:C73,"&lt;&gt;"),"",COUNTIF($C$5:C73,"&lt;&gt;"))</f>
        <v/>
      </c>
      <c r="D74" t="str">
        <f t="shared" ca="1" si="26"/>
        <v/>
      </c>
      <c r="E74" t="str">
        <f t="shared" ca="1" si="25"/>
        <v/>
      </c>
      <c r="F74" t="str">
        <f t="shared" ca="1" si="25"/>
        <v/>
      </c>
      <c r="G74" t="str">
        <f t="shared" ca="1" si="25"/>
        <v/>
      </c>
      <c r="H74" t="str">
        <f t="shared" ca="1" si="25"/>
        <v/>
      </c>
      <c r="I74" t="str">
        <f t="shared" ca="1" si="25"/>
        <v/>
      </c>
      <c r="J74" s="229" t="str">
        <f t="shared" ca="1" si="27"/>
        <v/>
      </c>
      <c r="K74" s="229" t="str">
        <f t="shared" ca="1" si="28"/>
        <v/>
      </c>
      <c r="L74" s="229" t="str">
        <f t="shared" ca="1" si="29"/>
        <v/>
      </c>
      <c r="M74" s="229" t="str">
        <f t="shared" ca="1" si="30"/>
        <v/>
      </c>
      <c r="N74" s="229" t="str">
        <f t="shared" ca="1" si="30"/>
        <v/>
      </c>
      <c r="O74" s="229" t="str">
        <f t="shared" ca="1" si="30"/>
        <v/>
      </c>
      <c r="P74" s="229" t="str">
        <f t="shared" ca="1" si="30"/>
        <v/>
      </c>
      <c r="Q74" s="229" t="str">
        <f t="shared" ca="1" si="31"/>
        <v/>
      </c>
      <c r="R74" s="234" t="str">
        <f t="shared" ca="1" si="18"/>
        <v/>
      </c>
      <c r="S74" s="234" t="str">
        <f t="shared" ca="1" si="32"/>
        <v/>
      </c>
      <c r="T74" s="231" t="str">
        <f t="shared" ca="1" si="33"/>
        <v/>
      </c>
      <c r="U74" s="229" t="str">
        <f ca="1">IF(T74="","",CleaningSheet!AH82)</f>
        <v/>
      </c>
      <c r="V74" s="229" t="str">
        <f t="shared" ca="1" si="34"/>
        <v/>
      </c>
      <c r="W74" s="229" t="str">
        <f t="shared" ca="1" si="35"/>
        <v/>
      </c>
      <c r="X74" s="229"/>
    </row>
    <row r="75" spans="3:24" x14ac:dyDescent="0.2">
      <c r="C75" t="str">
        <f>IF($A$1&lt;COUNTIF($C$5:C74,"&lt;&gt;"),"",COUNTIF($C$5:C74,"&lt;&gt;"))</f>
        <v/>
      </c>
      <c r="D75" t="str">
        <f t="shared" ca="1" si="26"/>
        <v/>
      </c>
      <c r="E75" t="str">
        <f t="shared" ca="1" si="25"/>
        <v/>
      </c>
      <c r="F75" t="str">
        <f t="shared" ca="1" si="25"/>
        <v/>
      </c>
      <c r="G75" t="str">
        <f t="shared" ca="1" si="25"/>
        <v/>
      </c>
      <c r="H75" t="str">
        <f t="shared" ca="1" si="25"/>
        <v/>
      </c>
      <c r="I75" t="str">
        <f t="shared" ca="1" si="25"/>
        <v/>
      </c>
      <c r="J75" s="229" t="str">
        <f t="shared" ca="1" si="27"/>
        <v/>
      </c>
      <c r="K75" s="229" t="str">
        <f t="shared" ca="1" si="28"/>
        <v/>
      </c>
      <c r="L75" s="229" t="str">
        <f t="shared" ca="1" si="29"/>
        <v/>
      </c>
      <c r="M75" s="229" t="str">
        <f t="shared" ca="1" si="30"/>
        <v/>
      </c>
      <c r="N75" s="229" t="str">
        <f t="shared" ca="1" si="30"/>
        <v/>
      </c>
      <c r="O75" s="229" t="str">
        <f t="shared" ca="1" si="30"/>
        <v/>
      </c>
      <c r="P75" s="229" t="str">
        <f t="shared" ca="1" si="30"/>
        <v/>
      </c>
      <c r="Q75" s="229" t="str">
        <f t="shared" ca="1" si="31"/>
        <v/>
      </c>
      <c r="R75" s="234" t="str">
        <f t="shared" ca="1" si="18"/>
        <v/>
      </c>
      <c r="S75" s="234" t="str">
        <f t="shared" ca="1" si="32"/>
        <v/>
      </c>
      <c r="T75" s="231" t="str">
        <f t="shared" ca="1" si="33"/>
        <v/>
      </c>
      <c r="U75" s="229" t="str">
        <f ca="1">IF(T75="","",CleaningSheet!AH83)</f>
        <v/>
      </c>
      <c r="V75" s="229" t="str">
        <f t="shared" ca="1" si="34"/>
        <v/>
      </c>
      <c r="W75" s="229" t="str">
        <f t="shared" ca="1" si="35"/>
        <v/>
      </c>
      <c r="X75" s="229"/>
    </row>
    <row r="76" spans="3:24" x14ac:dyDescent="0.2">
      <c r="C76" t="str">
        <f>IF($A$1&lt;COUNTIF($C$5:C75,"&lt;&gt;"),"",COUNTIF($C$5:C75,"&lt;&gt;"))</f>
        <v/>
      </c>
      <c r="D76" t="str">
        <f t="shared" ca="1" si="26"/>
        <v/>
      </c>
      <c r="E76" t="str">
        <f t="shared" ca="1" si="25"/>
        <v/>
      </c>
      <c r="F76" t="str">
        <f t="shared" ca="1" si="25"/>
        <v/>
      </c>
      <c r="G76" t="str">
        <f t="shared" ca="1" si="25"/>
        <v/>
      </c>
      <c r="H76" t="str">
        <f t="shared" ca="1" si="25"/>
        <v/>
      </c>
      <c r="I76" t="str">
        <f t="shared" ca="1" si="25"/>
        <v/>
      </c>
      <c r="J76" s="229" t="str">
        <f t="shared" ca="1" si="27"/>
        <v/>
      </c>
      <c r="K76" s="229" t="str">
        <f t="shared" ca="1" si="28"/>
        <v/>
      </c>
      <c r="L76" s="229" t="str">
        <f t="shared" ca="1" si="29"/>
        <v/>
      </c>
      <c r="M76" s="229" t="str">
        <f t="shared" ca="1" si="30"/>
        <v/>
      </c>
      <c r="N76" s="229" t="str">
        <f t="shared" ca="1" si="30"/>
        <v/>
      </c>
      <c r="O76" s="229" t="str">
        <f t="shared" ca="1" si="30"/>
        <v/>
      </c>
      <c r="P76" s="229" t="str">
        <f t="shared" ca="1" si="30"/>
        <v/>
      </c>
      <c r="Q76" s="229" t="str">
        <f t="shared" ca="1" si="31"/>
        <v/>
      </c>
      <c r="R76" s="234" t="str">
        <f t="shared" ca="1" si="18"/>
        <v/>
      </c>
      <c r="S76" s="234" t="str">
        <f t="shared" ca="1" si="32"/>
        <v/>
      </c>
      <c r="T76" s="231" t="str">
        <f t="shared" ca="1" si="33"/>
        <v/>
      </c>
      <c r="U76" s="229" t="str">
        <f ca="1">IF(T76="","",CleaningSheet!AH84)</f>
        <v/>
      </c>
      <c r="V76" s="229" t="str">
        <f t="shared" ca="1" si="34"/>
        <v/>
      </c>
      <c r="W76" s="229" t="str">
        <f t="shared" ca="1" si="35"/>
        <v/>
      </c>
      <c r="X76" s="229"/>
    </row>
    <row r="77" spans="3:24" x14ac:dyDescent="0.2">
      <c r="C77" t="str">
        <f>IF($A$1&lt;COUNTIF($C$5:C76,"&lt;&gt;"),"",COUNTIF($C$5:C76,"&lt;&gt;"))</f>
        <v/>
      </c>
      <c r="D77" t="str">
        <f t="shared" ca="1" si="26"/>
        <v/>
      </c>
      <c r="E77" t="str">
        <f t="shared" ca="1" si="25"/>
        <v/>
      </c>
      <c r="F77" t="str">
        <f t="shared" ca="1" si="25"/>
        <v/>
      </c>
      <c r="G77" t="str">
        <f t="shared" ca="1" si="25"/>
        <v/>
      </c>
      <c r="H77" t="str">
        <f t="shared" ca="1" si="25"/>
        <v/>
      </c>
      <c r="I77" t="str">
        <f t="shared" ca="1" si="25"/>
        <v/>
      </c>
      <c r="J77" s="229" t="str">
        <f t="shared" ca="1" si="27"/>
        <v/>
      </c>
      <c r="K77" s="229" t="str">
        <f t="shared" ca="1" si="28"/>
        <v/>
      </c>
      <c r="L77" s="229" t="str">
        <f t="shared" ca="1" si="29"/>
        <v/>
      </c>
      <c r="M77" s="229" t="str">
        <f t="shared" ca="1" si="30"/>
        <v/>
      </c>
      <c r="N77" s="229" t="str">
        <f t="shared" ca="1" si="30"/>
        <v/>
      </c>
      <c r="O77" s="229" t="str">
        <f t="shared" ca="1" si="30"/>
        <v/>
      </c>
      <c r="P77" s="229" t="str">
        <f t="shared" ca="1" si="30"/>
        <v/>
      </c>
      <c r="Q77" s="229" t="str">
        <f t="shared" ca="1" si="31"/>
        <v/>
      </c>
      <c r="R77" s="234" t="str">
        <f t="shared" ca="1" si="18"/>
        <v/>
      </c>
      <c r="S77" s="234" t="str">
        <f t="shared" ca="1" si="32"/>
        <v/>
      </c>
      <c r="T77" s="231" t="str">
        <f t="shared" ca="1" si="33"/>
        <v/>
      </c>
      <c r="U77" s="229" t="str">
        <f ca="1">IF(T77="","",CleaningSheet!AH85)</f>
        <v/>
      </c>
      <c r="V77" s="229" t="str">
        <f t="shared" ca="1" si="34"/>
        <v/>
      </c>
      <c r="W77" s="229" t="str">
        <f t="shared" ca="1" si="35"/>
        <v/>
      </c>
      <c r="X77" s="229"/>
    </row>
    <row r="78" spans="3:24" x14ac:dyDescent="0.2">
      <c r="C78" t="str">
        <f>IF($A$1&lt;COUNTIF($C$5:C77,"&lt;&gt;"),"",COUNTIF($C$5:C77,"&lt;&gt;"))</f>
        <v/>
      </c>
      <c r="D78" t="str">
        <f t="shared" ca="1" si="26"/>
        <v/>
      </c>
      <c r="E78" t="str">
        <f t="shared" ca="1" si="25"/>
        <v/>
      </c>
      <c r="F78" t="str">
        <f t="shared" ca="1" si="25"/>
        <v/>
      </c>
      <c r="G78" t="str">
        <f t="shared" ca="1" si="25"/>
        <v/>
      </c>
      <c r="H78" t="str">
        <f t="shared" ca="1" si="25"/>
        <v/>
      </c>
      <c r="I78" t="str">
        <f t="shared" ca="1" si="25"/>
        <v/>
      </c>
      <c r="J78" s="229" t="str">
        <f t="shared" ca="1" si="27"/>
        <v/>
      </c>
      <c r="K78" s="229" t="str">
        <f t="shared" ca="1" si="28"/>
        <v/>
      </c>
      <c r="L78" s="229" t="str">
        <f t="shared" ca="1" si="29"/>
        <v/>
      </c>
      <c r="M78" s="229" t="str">
        <f t="shared" ca="1" si="30"/>
        <v/>
      </c>
      <c r="N78" s="229" t="str">
        <f t="shared" ca="1" si="30"/>
        <v/>
      </c>
      <c r="O78" s="229" t="str">
        <f t="shared" ca="1" si="30"/>
        <v/>
      </c>
      <c r="P78" s="229" t="str">
        <f t="shared" ca="1" si="30"/>
        <v/>
      </c>
      <c r="Q78" s="229" t="str">
        <f t="shared" ca="1" si="31"/>
        <v/>
      </c>
      <c r="R78" s="234" t="str">
        <f t="shared" ca="1" si="18"/>
        <v/>
      </c>
      <c r="S78" s="234" t="str">
        <f t="shared" ca="1" si="32"/>
        <v/>
      </c>
      <c r="T78" s="231" t="str">
        <f t="shared" ca="1" si="33"/>
        <v/>
      </c>
      <c r="U78" s="229" t="str">
        <f ca="1">IF(T78="","",CleaningSheet!AH86)</f>
        <v/>
      </c>
      <c r="V78" s="229" t="str">
        <f t="shared" ca="1" si="34"/>
        <v/>
      </c>
      <c r="W78" s="229" t="str">
        <f t="shared" ca="1" si="35"/>
        <v/>
      </c>
      <c r="X78" s="229"/>
    </row>
    <row r="79" spans="3:24" x14ac:dyDescent="0.2">
      <c r="C79" t="str">
        <f>IF($A$1&lt;COUNTIF($C$5:C78,"&lt;&gt;"),"",COUNTIF($C$5:C78,"&lt;&gt;"))</f>
        <v/>
      </c>
      <c r="D79" t="str">
        <f t="shared" ca="1" si="26"/>
        <v/>
      </c>
      <c r="E79" t="str">
        <f t="shared" ca="1" si="25"/>
        <v/>
      </c>
      <c r="F79" t="str">
        <f t="shared" ca="1" si="25"/>
        <v/>
      </c>
      <c r="G79" t="str">
        <f t="shared" ca="1" si="25"/>
        <v/>
      </c>
      <c r="H79" t="str">
        <f t="shared" ca="1" si="25"/>
        <v/>
      </c>
      <c r="I79" t="str">
        <f t="shared" ca="1" si="25"/>
        <v/>
      </c>
      <c r="J79" s="229" t="str">
        <f t="shared" ca="1" si="27"/>
        <v/>
      </c>
      <c r="K79" s="229" t="str">
        <f t="shared" ca="1" si="28"/>
        <v/>
      </c>
      <c r="L79" s="229" t="str">
        <f t="shared" ca="1" si="29"/>
        <v/>
      </c>
      <c r="M79" s="229" t="str">
        <f t="shared" ca="1" si="30"/>
        <v/>
      </c>
      <c r="N79" s="229" t="str">
        <f t="shared" ca="1" si="30"/>
        <v/>
      </c>
      <c r="O79" s="229" t="str">
        <f t="shared" ca="1" si="30"/>
        <v/>
      </c>
      <c r="P79" s="229" t="str">
        <f t="shared" ca="1" si="30"/>
        <v/>
      </c>
      <c r="Q79" s="229" t="str">
        <f t="shared" ca="1" si="31"/>
        <v/>
      </c>
      <c r="R79" s="234" t="str">
        <f t="shared" ca="1" si="18"/>
        <v/>
      </c>
      <c r="S79" s="234" t="str">
        <f t="shared" ca="1" si="32"/>
        <v/>
      </c>
      <c r="T79" s="231" t="str">
        <f t="shared" ca="1" si="33"/>
        <v/>
      </c>
      <c r="U79" s="229" t="str">
        <f ca="1">IF(T79="","",CleaningSheet!AH87)</f>
        <v/>
      </c>
      <c r="V79" s="229" t="str">
        <f t="shared" ca="1" si="34"/>
        <v/>
      </c>
      <c r="W79" s="229" t="str">
        <f t="shared" ca="1" si="35"/>
        <v/>
      </c>
      <c r="X79" s="229"/>
    </row>
    <row r="80" spans="3:24" x14ac:dyDescent="0.2">
      <c r="C80" t="str">
        <f>IF($A$1&lt;COUNTIF($C$5:C79,"&lt;&gt;"),"",COUNTIF($C$5:C79,"&lt;&gt;"))</f>
        <v/>
      </c>
      <c r="D80" t="str">
        <f t="shared" ca="1" si="26"/>
        <v/>
      </c>
      <c r="E80" t="str">
        <f t="shared" ca="1" si="25"/>
        <v/>
      </c>
      <c r="F80" t="str">
        <f t="shared" ca="1" si="25"/>
        <v/>
      </c>
      <c r="G80" t="str">
        <f t="shared" ca="1" si="25"/>
        <v/>
      </c>
      <c r="H80" t="str">
        <f t="shared" ca="1" si="25"/>
        <v/>
      </c>
      <c r="I80" t="str">
        <f t="shared" ca="1" si="25"/>
        <v/>
      </c>
      <c r="J80" s="229" t="str">
        <f t="shared" ca="1" si="27"/>
        <v/>
      </c>
      <c r="K80" s="229" t="str">
        <f t="shared" ca="1" si="28"/>
        <v/>
      </c>
      <c r="L80" s="229" t="str">
        <f t="shared" ca="1" si="29"/>
        <v/>
      </c>
      <c r="M80" s="229" t="str">
        <f t="shared" ca="1" si="30"/>
        <v/>
      </c>
      <c r="N80" s="229" t="str">
        <f t="shared" ca="1" si="30"/>
        <v/>
      </c>
      <c r="O80" s="229" t="str">
        <f t="shared" ca="1" si="30"/>
        <v/>
      </c>
      <c r="P80" s="229" t="str">
        <f t="shared" ca="1" si="30"/>
        <v/>
      </c>
      <c r="Q80" s="229" t="str">
        <f t="shared" ca="1" si="31"/>
        <v/>
      </c>
      <c r="R80" s="234" t="str">
        <f t="shared" ca="1" si="18"/>
        <v/>
      </c>
      <c r="S80" s="234" t="str">
        <f t="shared" ca="1" si="32"/>
        <v/>
      </c>
      <c r="T80" s="231" t="str">
        <f t="shared" ca="1" si="33"/>
        <v/>
      </c>
      <c r="U80" s="229" t="str">
        <f ca="1">IF(T80="","",CleaningSheet!AH88)</f>
        <v/>
      </c>
      <c r="V80" s="229" t="str">
        <f t="shared" ca="1" si="34"/>
        <v/>
      </c>
      <c r="W80" s="229" t="str">
        <f t="shared" ca="1" si="35"/>
        <v/>
      </c>
      <c r="X80" s="229"/>
    </row>
    <row r="81" spans="3:24" x14ac:dyDescent="0.2">
      <c r="C81" t="str">
        <f>IF($A$1&lt;COUNTIF($C$5:C80,"&lt;&gt;"),"",COUNTIF($C$5:C80,"&lt;&gt;"))</f>
        <v/>
      </c>
      <c r="D81" t="str">
        <f t="shared" ca="1" si="26"/>
        <v/>
      </c>
      <c r="E81" t="str">
        <f t="shared" ca="1" si="25"/>
        <v/>
      </c>
      <c r="F81" t="str">
        <f t="shared" ca="1" si="25"/>
        <v/>
      </c>
      <c r="G81" t="str">
        <f t="shared" ca="1" si="25"/>
        <v/>
      </c>
      <c r="H81" t="str">
        <f t="shared" ca="1" si="25"/>
        <v/>
      </c>
      <c r="I81" t="str">
        <f t="shared" ca="1" si="25"/>
        <v/>
      </c>
      <c r="J81" s="229" t="str">
        <f t="shared" ca="1" si="27"/>
        <v/>
      </c>
      <c r="K81" s="229" t="str">
        <f t="shared" ca="1" si="28"/>
        <v/>
      </c>
      <c r="L81" s="229" t="str">
        <f t="shared" ca="1" si="29"/>
        <v/>
      </c>
      <c r="M81" s="229" t="str">
        <f t="shared" ca="1" si="30"/>
        <v/>
      </c>
      <c r="N81" s="229" t="str">
        <f t="shared" ca="1" si="30"/>
        <v/>
      </c>
      <c r="O81" s="229" t="str">
        <f t="shared" ca="1" si="30"/>
        <v/>
      </c>
      <c r="P81" s="229" t="str">
        <f t="shared" ca="1" si="30"/>
        <v/>
      </c>
      <c r="Q81" s="229" t="str">
        <f t="shared" ca="1" si="31"/>
        <v/>
      </c>
      <c r="R81" s="234" t="str">
        <f t="shared" ca="1" si="18"/>
        <v/>
      </c>
      <c r="S81" s="234" t="str">
        <f t="shared" ca="1" si="32"/>
        <v/>
      </c>
      <c r="T81" s="231" t="str">
        <f t="shared" ca="1" si="33"/>
        <v/>
      </c>
      <c r="U81" s="229" t="str">
        <f ca="1">IF(T81="","",CleaningSheet!AH89)</f>
        <v/>
      </c>
      <c r="V81" s="229" t="str">
        <f t="shared" ca="1" si="34"/>
        <v/>
      </c>
      <c r="W81" s="229" t="str">
        <f t="shared" ca="1" si="35"/>
        <v/>
      </c>
      <c r="X81" s="229"/>
    </row>
    <row r="82" spans="3:24" x14ac:dyDescent="0.2">
      <c r="C82" t="str">
        <f>IF($A$1&lt;COUNTIF($C$5:C81,"&lt;&gt;"),"",COUNTIF($C$5:C81,"&lt;&gt;"))</f>
        <v/>
      </c>
      <c r="D82" t="str">
        <f t="shared" ca="1" si="26"/>
        <v/>
      </c>
      <c r="E82" t="str">
        <f t="shared" ca="1" si="25"/>
        <v/>
      </c>
      <c r="F82" t="str">
        <f t="shared" ca="1" si="25"/>
        <v/>
      </c>
      <c r="G82" t="str">
        <f t="shared" ca="1" si="25"/>
        <v/>
      </c>
      <c r="H82" t="str">
        <f t="shared" ca="1" si="25"/>
        <v/>
      </c>
      <c r="I82" t="str">
        <f t="shared" ca="1" si="25"/>
        <v/>
      </c>
      <c r="J82" s="229" t="str">
        <f t="shared" ca="1" si="27"/>
        <v/>
      </c>
      <c r="K82" s="229" t="str">
        <f t="shared" ca="1" si="28"/>
        <v/>
      </c>
      <c r="L82" s="229" t="str">
        <f t="shared" ca="1" si="29"/>
        <v/>
      </c>
      <c r="M82" s="229" t="str">
        <f t="shared" ca="1" si="30"/>
        <v/>
      </c>
      <c r="N82" s="229" t="str">
        <f t="shared" ca="1" si="30"/>
        <v/>
      </c>
      <c r="O82" s="229" t="str">
        <f t="shared" ca="1" si="30"/>
        <v/>
      </c>
      <c r="P82" s="229" t="str">
        <f t="shared" ca="1" si="30"/>
        <v/>
      </c>
      <c r="Q82" s="229" t="str">
        <f t="shared" ca="1" si="31"/>
        <v/>
      </c>
      <c r="R82" s="234" t="str">
        <f t="shared" ca="1" si="18"/>
        <v/>
      </c>
      <c r="S82" s="234" t="str">
        <f t="shared" ca="1" si="32"/>
        <v/>
      </c>
      <c r="T82" s="231" t="str">
        <f t="shared" ca="1" si="33"/>
        <v/>
      </c>
      <c r="U82" s="229" t="str">
        <f ca="1">IF(T82="","",CleaningSheet!AH90)</f>
        <v/>
      </c>
      <c r="V82" s="229" t="str">
        <f t="shared" ca="1" si="34"/>
        <v/>
      </c>
      <c r="W82" s="229" t="str">
        <f t="shared" ca="1" si="35"/>
        <v/>
      </c>
      <c r="X82" s="229"/>
    </row>
    <row r="83" spans="3:24" x14ac:dyDescent="0.2">
      <c r="C83" t="str">
        <f>IF($A$1&lt;COUNTIF($C$5:C82,"&lt;&gt;"),"",COUNTIF($C$5:C82,"&lt;&gt;"))</f>
        <v/>
      </c>
      <c r="D83" t="str">
        <f t="shared" ca="1" si="26"/>
        <v/>
      </c>
      <c r="E83" t="str">
        <f t="shared" ca="1" si="25"/>
        <v/>
      </c>
      <c r="F83" t="str">
        <f t="shared" ca="1" si="25"/>
        <v/>
      </c>
      <c r="G83" t="str">
        <f t="shared" ca="1" si="25"/>
        <v/>
      </c>
      <c r="H83" t="str">
        <f t="shared" ca="1" si="25"/>
        <v/>
      </c>
      <c r="I83" t="str">
        <f t="shared" ca="1" si="25"/>
        <v/>
      </c>
      <c r="J83" s="229" t="str">
        <f t="shared" ca="1" si="27"/>
        <v/>
      </c>
      <c r="K83" s="229" t="str">
        <f t="shared" ca="1" si="28"/>
        <v/>
      </c>
      <c r="L83" s="229" t="str">
        <f t="shared" ca="1" si="29"/>
        <v/>
      </c>
      <c r="M83" s="229" t="str">
        <f t="shared" ca="1" si="30"/>
        <v/>
      </c>
      <c r="N83" s="229" t="str">
        <f t="shared" ca="1" si="30"/>
        <v/>
      </c>
      <c r="O83" s="229" t="str">
        <f t="shared" ca="1" si="30"/>
        <v/>
      </c>
      <c r="P83" s="229" t="str">
        <f t="shared" ca="1" si="30"/>
        <v/>
      </c>
      <c r="Q83" s="229" t="str">
        <f t="shared" ca="1" si="31"/>
        <v/>
      </c>
      <c r="R83" s="234" t="str">
        <f t="shared" ca="1" si="18"/>
        <v/>
      </c>
      <c r="S83" s="234" t="str">
        <f t="shared" ca="1" si="32"/>
        <v/>
      </c>
      <c r="T83" s="231" t="str">
        <f t="shared" ca="1" si="33"/>
        <v/>
      </c>
      <c r="U83" s="229" t="str">
        <f ca="1">IF(T83="","",CleaningSheet!AH91)</f>
        <v/>
      </c>
      <c r="V83" s="229" t="str">
        <f t="shared" ca="1" si="34"/>
        <v/>
      </c>
      <c r="W83" s="229" t="str">
        <f t="shared" ca="1" si="35"/>
        <v/>
      </c>
      <c r="X83" s="229"/>
    </row>
    <row r="84" spans="3:24" x14ac:dyDescent="0.2">
      <c r="C84" t="str">
        <f>IF($A$1&lt;COUNTIF($C$5:C83,"&lt;&gt;"),"",COUNTIF($C$5:C83,"&lt;&gt;"))</f>
        <v/>
      </c>
      <c r="D84" t="str">
        <f t="shared" ca="1" si="26"/>
        <v/>
      </c>
      <c r="E84" t="str">
        <f t="shared" ca="1" si="25"/>
        <v/>
      </c>
      <c r="F84" t="str">
        <f t="shared" ca="1" si="25"/>
        <v/>
      </c>
      <c r="G84" t="str">
        <f t="shared" ca="1" si="25"/>
        <v/>
      </c>
      <c r="H84" t="str">
        <f t="shared" ca="1" si="25"/>
        <v/>
      </c>
      <c r="I84" t="str">
        <f t="shared" ca="1" si="25"/>
        <v/>
      </c>
      <c r="J84" s="229" t="str">
        <f t="shared" ca="1" si="27"/>
        <v/>
      </c>
      <c r="K84" s="229" t="str">
        <f t="shared" ca="1" si="28"/>
        <v/>
      </c>
      <c r="L84" s="229" t="str">
        <f t="shared" ca="1" si="29"/>
        <v/>
      </c>
      <c r="M84" s="229" t="str">
        <f t="shared" ca="1" si="30"/>
        <v/>
      </c>
      <c r="N84" s="229" t="str">
        <f t="shared" ca="1" si="30"/>
        <v/>
      </c>
      <c r="O84" s="229" t="str">
        <f t="shared" ca="1" si="30"/>
        <v/>
      </c>
      <c r="P84" s="229" t="str">
        <f t="shared" ca="1" si="30"/>
        <v/>
      </c>
      <c r="Q84" s="229" t="str">
        <f t="shared" ca="1" si="31"/>
        <v/>
      </c>
      <c r="R84" s="234" t="str">
        <f t="shared" ca="1" si="18"/>
        <v/>
      </c>
      <c r="S84" s="234" t="str">
        <f t="shared" ca="1" si="32"/>
        <v/>
      </c>
      <c r="T84" s="231" t="str">
        <f t="shared" ca="1" si="33"/>
        <v/>
      </c>
      <c r="U84" s="229" t="str">
        <f ca="1">IF(T84="","",CleaningSheet!AH92)</f>
        <v/>
      </c>
      <c r="V84" s="229" t="str">
        <f t="shared" ca="1" si="34"/>
        <v/>
      </c>
      <c r="W84" s="229" t="str">
        <f t="shared" ca="1" si="35"/>
        <v/>
      </c>
      <c r="X84" s="229"/>
    </row>
    <row r="85" spans="3:24" x14ac:dyDescent="0.2">
      <c r="C85" t="str">
        <f>IF($A$1&lt;COUNTIF($C$5:C84,"&lt;&gt;"),"",COUNTIF($C$5:C84,"&lt;&gt;"))</f>
        <v/>
      </c>
      <c r="D85" t="str">
        <f t="shared" ca="1" si="26"/>
        <v/>
      </c>
      <c r="E85" t="str">
        <f t="shared" ca="1" si="25"/>
        <v/>
      </c>
      <c r="F85" t="str">
        <f t="shared" ca="1" si="25"/>
        <v/>
      </c>
      <c r="G85" t="str">
        <f t="shared" ca="1" si="25"/>
        <v/>
      </c>
      <c r="H85" t="str">
        <f t="shared" ca="1" si="25"/>
        <v/>
      </c>
      <c r="I85" t="str">
        <f t="shared" ca="1" si="25"/>
        <v/>
      </c>
      <c r="J85" s="229" t="str">
        <f t="shared" ca="1" si="27"/>
        <v/>
      </c>
      <c r="K85" s="229" t="str">
        <f t="shared" ca="1" si="28"/>
        <v/>
      </c>
      <c r="L85" s="229" t="str">
        <f t="shared" ca="1" si="29"/>
        <v/>
      </c>
      <c r="M85" s="229" t="str">
        <f t="shared" ca="1" si="30"/>
        <v/>
      </c>
      <c r="N85" s="229" t="str">
        <f t="shared" ca="1" si="30"/>
        <v/>
      </c>
      <c r="O85" s="229" t="str">
        <f t="shared" ca="1" si="30"/>
        <v/>
      </c>
      <c r="P85" s="229" t="str">
        <f t="shared" ca="1" si="30"/>
        <v/>
      </c>
      <c r="Q85" s="229" t="str">
        <f t="shared" ca="1" si="31"/>
        <v/>
      </c>
      <c r="R85" s="234" t="str">
        <f t="shared" ca="1" si="18"/>
        <v/>
      </c>
      <c r="S85" s="234" t="str">
        <f t="shared" ca="1" si="32"/>
        <v/>
      </c>
      <c r="T85" s="231" t="str">
        <f t="shared" ca="1" si="33"/>
        <v/>
      </c>
      <c r="U85" s="229" t="str">
        <f ca="1">IF(T85="","",CleaningSheet!AH93)</f>
        <v/>
      </c>
      <c r="V85" s="229" t="str">
        <f t="shared" ca="1" si="34"/>
        <v/>
      </c>
      <c r="W85" s="229" t="str">
        <f t="shared" ca="1" si="35"/>
        <v/>
      </c>
      <c r="X85" s="229"/>
    </row>
    <row r="86" spans="3:24" x14ac:dyDescent="0.2">
      <c r="C86" t="str">
        <f>IF($A$1&lt;COUNTIF($C$5:C85,"&lt;&gt;"),"",COUNTIF($C$5:C85,"&lt;&gt;"))</f>
        <v/>
      </c>
      <c r="D86" t="str">
        <f t="shared" ca="1" si="26"/>
        <v/>
      </c>
      <c r="E86" t="str">
        <f t="shared" ca="1" si="26"/>
        <v/>
      </c>
      <c r="F86" t="str">
        <f t="shared" ca="1" si="26"/>
        <v/>
      </c>
      <c r="G86" t="str">
        <f t="shared" ca="1" si="26"/>
        <v/>
      </c>
      <c r="H86" t="str">
        <f t="shared" ca="1" si="26"/>
        <v/>
      </c>
      <c r="I86" t="str">
        <f t="shared" ca="1" si="26"/>
        <v/>
      </c>
      <c r="J86" s="229" t="str">
        <f t="shared" ca="1" si="27"/>
        <v/>
      </c>
      <c r="K86" s="229" t="str">
        <f t="shared" ca="1" si="28"/>
        <v/>
      </c>
      <c r="L86" s="229" t="str">
        <f t="shared" ca="1" si="29"/>
        <v/>
      </c>
      <c r="M86" s="229" t="str">
        <f t="shared" ca="1" si="30"/>
        <v/>
      </c>
      <c r="N86" s="229" t="str">
        <f t="shared" ca="1" si="30"/>
        <v/>
      </c>
      <c r="O86" s="229" t="str">
        <f t="shared" ca="1" si="30"/>
        <v/>
      </c>
      <c r="P86" s="229" t="str">
        <f t="shared" ca="1" si="30"/>
        <v/>
      </c>
      <c r="Q86" s="229" t="str">
        <f t="shared" ca="1" si="31"/>
        <v/>
      </c>
      <c r="R86" s="234" t="str">
        <f t="shared" ca="1" si="18"/>
        <v/>
      </c>
      <c r="S86" s="234" t="str">
        <f t="shared" ca="1" si="32"/>
        <v/>
      </c>
      <c r="T86" s="231" t="str">
        <f t="shared" ca="1" si="33"/>
        <v/>
      </c>
      <c r="U86" s="229" t="str">
        <f ca="1">IF(T86="","",CleaningSheet!AH94)</f>
        <v/>
      </c>
      <c r="V86" s="229" t="str">
        <f t="shared" ca="1" si="34"/>
        <v/>
      </c>
      <c r="W86" s="229" t="str">
        <f t="shared" ca="1" si="35"/>
        <v/>
      </c>
      <c r="X86" s="229"/>
    </row>
    <row r="87" spans="3:24" x14ac:dyDescent="0.2">
      <c r="C87" t="str">
        <f>IF($A$1&lt;COUNTIF($C$5:C86,"&lt;&gt;"),"",COUNTIF($C$5:C86,"&lt;&gt;"))</f>
        <v/>
      </c>
      <c r="D87" t="str">
        <f t="shared" ca="1" si="26"/>
        <v/>
      </c>
      <c r="E87" t="str">
        <f t="shared" ca="1" si="26"/>
        <v/>
      </c>
      <c r="F87" t="str">
        <f t="shared" ca="1" si="26"/>
        <v/>
      </c>
      <c r="G87" t="str">
        <f t="shared" ca="1" si="26"/>
        <v/>
      </c>
      <c r="H87" t="str">
        <f t="shared" ca="1" si="26"/>
        <v/>
      </c>
      <c r="I87" t="str">
        <f t="shared" ca="1" si="26"/>
        <v/>
      </c>
      <c r="J87" s="229" t="str">
        <f t="shared" ca="1" si="27"/>
        <v/>
      </c>
      <c r="K87" s="229" t="str">
        <f t="shared" ca="1" si="28"/>
        <v/>
      </c>
      <c r="L87" s="229" t="str">
        <f t="shared" ca="1" si="29"/>
        <v/>
      </c>
      <c r="M87" s="229" t="str">
        <f t="shared" ca="1" si="30"/>
        <v/>
      </c>
      <c r="N87" s="229" t="str">
        <f t="shared" ca="1" si="30"/>
        <v/>
      </c>
      <c r="O87" s="229" t="str">
        <f t="shared" ca="1" si="30"/>
        <v/>
      </c>
      <c r="P87" s="229" t="str">
        <f t="shared" ca="1" si="30"/>
        <v/>
      </c>
      <c r="Q87" s="229" t="str">
        <f t="shared" ca="1" si="31"/>
        <v/>
      </c>
      <c r="R87" s="234" t="str">
        <f t="shared" ca="1" si="18"/>
        <v/>
      </c>
      <c r="S87" s="234" t="str">
        <f t="shared" ca="1" si="32"/>
        <v/>
      </c>
      <c r="T87" s="231" t="str">
        <f t="shared" ca="1" si="33"/>
        <v/>
      </c>
      <c r="U87" s="229" t="str">
        <f ca="1">IF(T87="","",CleaningSheet!AH95)</f>
        <v/>
      </c>
      <c r="V87" s="229" t="str">
        <f t="shared" ca="1" si="34"/>
        <v/>
      </c>
      <c r="W87" s="229" t="str">
        <f t="shared" ca="1" si="35"/>
        <v/>
      </c>
      <c r="X87" s="229"/>
    </row>
    <row r="88" spans="3:24" x14ac:dyDescent="0.2">
      <c r="C88" t="str">
        <f>IF($A$1&lt;COUNTIF($C$5:C87,"&lt;&gt;"),"",COUNTIF($C$5:C87,"&lt;&gt;"))</f>
        <v/>
      </c>
      <c r="D88" t="str">
        <f t="shared" ca="1" si="26"/>
        <v/>
      </c>
      <c r="E88" t="str">
        <f t="shared" ca="1" si="26"/>
        <v/>
      </c>
      <c r="F88" t="str">
        <f t="shared" ca="1" si="26"/>
        <v/>
      </c>
      <c r="G88" t="str">
        <f t="shared" ca="1" si="26"/>
        <v/>
      </c>
      <c r="H88" t="str">
        <f t="shared" ca="1" si="26"/>
        <v/>
      </c>
      <c r="I88" t="str">
        <f t="shared" ca="1" si="26"/>
        <v/>
      </c>
      <c r="J88" s="229" t="str">
        <f t="shared" ca="1" si="27"/>
        <v/>
      </c>
      <c r="K88" s="229" t="str">
        <f t="shared" ca="1" si="28"/>
        <v/>
      </c>
      <c r="L88" s="229" t="str">
        <f t="shared" ca="1" si="29"/>
        <v/>
      </c>
      <c r="M88" s="229" t="str">
        <f t="shared" ca="1" si="30"/>
        <v/>
      </c>
      <c r="N88" s="229" t="str">
        <f t="shared" ca="1" si="30"/>
        <v/>
      </c>
      <c r="O88" s="229" t="str">
        <f t="shared" ca="1" si="30"/>
        <v/>
      </c>
      <c r="P88" s="229" t="str">
        <f t="shared" ca="1" si="30"/>
        <v/>
      </c>
      <c r="Q88" s="229" t="str">
        <f t="shared" ca="1" si="31"/>
        <v/>
      </c>
      <c r="R88" s="234" t="str">
        <f t="shared" ca="1" si="18"/>
        <v/>
      </c>
      <c r="S88" s="234" t="str">
        <f t="shared" ca="1" si="32"/>
        <v/>
      </c>
      <c r="T88" s="231" t="str">
        <f t="shared" ca="1" si="33"/>
        <v/>
      </c>
      <c r="U88" s="229" t="str">
        <f ca="1">IF(T88="","",CleaningSheet!AH96)</f>
        <v/>
      </c>
      <c r="V88" s="229" t="str">
        <f t="shared" ca="1" si="34"/>
        <v/>
      </c>
      <c r="W88" s="229" t="str">
        <f t="shared" ca="1" si="35"/>
        <v/>
      </c>
      <c r="X88" s="229"/>
    </row>
    <row r="89" spans="3:24" x14ac:dyDescent="0.2">
      <c r="C89" t="str">
        <f>IF($A$1&lt;COUNTIF($C$5:C88,"&lt;&gt;"),"",COUNTIF($C$5:C88,"&lt;&gt;"))</f>
        <v/>
      </c>
      <c r="D89" t="str">
        <f t="shared" ca="1" si="26"/>
        <v/>
      </c>
      <c r="E89" t="str">
        <f t="shared" ca="1" si="26"/>
        <v/>
      </c>
      <c r="F89" t="str">
        <f t="shared" ca="1" si="26"/>
        <v/>
      </c>
      <c r="G89" t="str">
        <f t="shared" ca="1" si="26"/>
        <v/>
      </c>
      <c r="H89" t="str">
        <f t="shared" ca="1" si="26"/>
        <v/>
      </c>
      <c r="I89" t="str">
        <f t="shared" ca="1" si="26"/>
        <v/>
      </c>
      <c r="J89" s="229" t="str">
        <f t="shared" ca="1" si="27"/>
        <v/>
      </c>
      <c r="K89" s="229" t="str">
        <f t="shared" ca="1" si="28"/>
        <v/>
      </c>
      <c r="L89" s="229" t="str">
        <f t="shared" ca="1" si="29"/>
        <v/>
      </c>
      <c r="M89" s="229" t="str">
        <f t="shared" ca="1" si="30"/>
        <v/>
      </c>
      <c r="N89" s="229" t="str">
        <f t="shared" ca="1" si="30"/>
        <v/>
      </c>
      <c r="O89" s="229" t="str">
        <f t="shared" ca="1" si="30"/>
        <v/>
      </c>
      <c r="P89" s="229" t="str">
        <f t="shared" ca="1" si="30"/>
        <v/>
      </c>
      <c r="Q89" s="229" t="str">
        <f t="shared" ca="1" si="31"/>
        <v/>
      </c>
      <c r="R89" s="234" t="str">
        <f t="shared" ca="1" si="18"/>
        <v/>
      </c>
      <c r="S89" s="234" t="str">
        <f t="shared" ca="1" si="32"/>
        <v/>
      </c>
      <c r="T89" s="231" t="str">
        <f t="shared" ca="1" si="33"/>
        <v/>
      </c>
      <c r="U89" s="229" t="str">
        <f ca="1">IF(T89="","",CleaningSheet!AH97)</f>
        <v/>
      </c>
      <c r="V89" s="229" t="str">
        <f t="shared" ca="1" si="34"/>
        <v/>
      </c>
      <c r="W89" s="229" t="str">
        <f t="shared" ca="1" si="35"/>
        <v/>
      </c>
      <c r="X89" s="229"/>
    </row>
    <row r="90" spans="3:24" x14ac:dyDescent="0.2">
      <c r="C90" t="str">
        <f>IF($A$1&lt;COUNTIF($C$5:C89,"&lt;&gt;"),"",COUNTIF($C$5:C89,"&lt;&gt;"))</f>
        <v/>
      </c>
      <c r="D90" t="str">
        <f t="shared" ca="1" si="26"/>
        <v/>
      </c>
      <c r="E90" t="str">
        <f t="shared" ca="1" si="26"/>
        <v/>
      </c>
      <c r="F90" t="str">
        <f t="shared" ca="1" si="26"/>
        <v/>
      </c>
      <c r="G90" t="str">
        <f t="shared" ca="1" si="26"/>
        <v/>
      </c>
      <c r="H90" t="str">
        <f t="shared" ca="1" si="26"/>
        <v/>
      </c>
      <c r="I90" t="str">
        <f t="shared" ca="1" si="26"/>
        <v/>
      </c>
      <c r="J90" s="229" t="str">
        <f t="shared" ca="1" si="27"/>
        <v/>
      </c>
      <c r="K90" s="229" t="str">
        <f t="shared" ca="1" si="28"/>
        <v/>
      </c>
      <c r="L90" s="229" t="str">
        <f t="shared" ca="1" si="29"/>
        <v/>
      </c>
      <c r="M90" s="229" t="str">
        <f t="shared" ca="1" si="30"/>
        <v/>
      </c>
      <c r="N90" s="229" t="str">
        <f t="shared" ca="1" si="30"/>
        <v/>
      </c>
      <c r="O90" s="229" t="str">
        <f t="shared" ca="1" si="30"/>
        <v/>
      </c>
      <c r="P90" s="229" t="str">
        <f t="shared" ca="1" si="30"/>
        <v/>
      </c>
      <c r="Q90" s="229" t="str">
        <f t="shared" ca="1" si="31"/>
        <v/>
      </c>
      <c r="R90" s="234" t="str">
        <f t="shared" ca="1" si="18"/>
        <v/>
      </c>
      <c r="S90" s="234" t="str">
        <f t="shared" ca="1" si="32"/>
        <v/>
      </c>
      <c r="T90" s="231" t="str">
        <f t="shared" ca="1" si="33"/>
        <v/>
      </c>
      <c r="U90" s="234" t="str">
        <f ca="1">IF(T90="","",CleaningSheet!AH98)</f>
        <v/>
      </c>
      <c r="V90" t="str">
        <f t="shared" ca="1" si="34"/>
        <v/>
      </c>
      <c r="W90" s="229" t="str">
        <f t="shared" ca="1" si="35"/>
        <v/>
      </c>
    </row>
    <row r="91" spans="3:24" x14ac:dyDescent="0.2">
      <c r="C91" t="str">
        <f>IF($A$1&lt;COUNTIF($C$5:C90,"&lt;&gt;"),"",COUNTIF($C$5:C90,"&lt;&gt;"))</f>
        <v/>
      </c>
      <c r="D91" t="str">
        <f t="shared" ca="1" si="26"/>
        <v/>
      </c>
      <c r="E91" t="str">
        <f t="shared" ca="1" si="26"/>
        <v/>
      </c>
      <c r="F91" t="str">
        <f t="shared" ca="1" si="26"/>
        <v/>
      </c>
      <c r="G91" t="str">
        <f t="shared" ca="1" si="26"/>
        <v/>
      </c>
      <c r="H91" t="str">
        <f t="shared" ca="1" si="26"/>
        <v/>
      </c>
      <c r="I91" t="str">
        <f t="shared" ca="1" si="26"/>
        <v/>
      </c>
      <c r="J91" s="229" t="str">
        <f t="shared" ca="1" si="27"/>
        <v/>
      </c>
      <c r="K91" s="229" t="str">
        <f t="shared" ca="1" si="28"/>
        <v/>
      </c>
      <c r="L91" s="229" t="str">
        <f t="shared" ca="1" si="29"/>
        <v/>
      </c>
      <c r="M91" s="229" t="str">
        <f t="shared" ca="1" si="30"/>
        <v/>
      </c>
      <c r="N91" s="229" t="str">
        <f t="shared" ca="1" si="30"/>
        <v/>
      </c>
      <c r="O91" s="229" t="str">
        <f t="shared" ca="1" si="30"/>
        <v/>
      </c>
      <c r="P91" s="229" t="str">
        <f t="shared" ca="1" si="30"/>
        <v/>
      </c>
      <c r="Q91" s="229" t="str">
        <f t="shared" ca="1" si="31"/>
        <v/>
      </c>
      <c r="R91" s="234" t="str">
        <f t="shared" ca="1" si="18"/>
        <v/>
      </c>
      <c r="S91" s="234" t="str">
        <f t="shared" ca="1" si="32"/>
        <v/>
      </c>
      <c r="T91" s="231" t="str">
        <f t="shared" ca="1" si="33"/>
        <v/>
      </c>
      <c r="U91" s="234" t="str">
        <f ca="1">IF(T91="","",CleaningSheet!AH99)</f>
        <v/>
      </c>
      <c r="V91" t="str">
        <f t="shared" ca="1" si="34"/>
        <v/>
      </c>
      <c r="W91" s="229" t="str">
        <f t="shared" ca="1" si="35"/>
        <v/>
      </c>
    </row>
    <row r="92" spans="3:24" x14ac:dyDescent="0.2">
      <c r="C92" t="str">
        <f>IF($A$1&lt;COUNTIF($C$5:C91,"&lt;&gt;"),"",COUNTIF($C$5:C91,"&lt;&gt;"))</f>
        <v/>
      </c>
      <c r="D92" t="str">
        <f t="shared" ca="1" si="26"/>
        <v/>
      </c>
      <c r="E92" t="str">
        <f t="shared" ca="1" si="26"/>
        <v/>
      </c>
      <c r="F92" t="str">
        <f t="shared" ca="1" si="26"/>
        <v/>
      </c>
      <c r="G92" t="str">
        <f t="shared" ca="1" si="26"/>
        <v/>
      </c>
      <c r="H92" t="str">
        <f t="shared" ca="1" si="26"/>
        <v/>
      </c>
      <c r="I92" t="str">
        <f t="shared" ca="1" si="26"/>
        <v/>
      </c>
      <c r="J92" s="229" t="str">
        <f t="shared" ca="1" si="27"/>
        <v/>
      </c>
      <c r="K92" s="229" t="str">
        <f t="shared" ca="1" si="28"/>
        <v/>
      </c>
      <c r="L92" s="229" t="str">
        <f t="shared" ca="1" si="29"/>
        <v/>
      </c>
      <c r="M92" s="229" t="str">
        <f t="shared" ca="1" si="30"/>
        <v/>
      </c>
      <c r="N92" s="229" t="str">
        <f t="shared" ca="1" si="30"/>
        <v/>
      </c>
      <c r="O92" s="229" t="str">
        <f t="shared" ca="1" si="30"/>
        <v/>
      </c>
      <c r="P92" s="229" t="str">
        <f t="shared" ca="1" si="30"/>
        <v/>
      </c>
      <c r="Q92" s="229" t="str">
        <f t="shared" ca="1" si="31"/>
        <v/>
      </c>
      <c r="R92" s="234" t="str">
        <f t="shared" ca="1" si="18"/>
        <v/>
      </c>
      <c r="S92" s="234" t="str">
        <f t="shared" ca="1" si="32"/>
        <v/>
      </c>
      <c r="T92" s="231" t="str">
        <f t="shared" ca="1" si="33"/>
        <v/>
      </c>
      <c r="U92" s="234" t="str">
        <f ca="1">IF(T92="","",CleaningSheet!AH100)</f>
        <v/>
      </c>
      <c r="V92" t="str">
        <f t="shared" ca="1" si="34"/>
        <v/>
      </c>
      <c r="W92" s="229" t="str">
        <f t="shared" ca="1" si="35"/>
        <v/>
      </c>
    </row>
    <row r="93" spans="3:24" x14ac:dyDescent="0.2">
      <c r="C93" t="str">
        <f>IF($A$1&lt;COUNTIF($C$5:C92,"&lt;&gt;"),"",COUNTIF($C$5:C92,"&lt;&gt;"))</f>
        <v/>
      </c>
      <c r="D93" t="str">
        <f t="shared" ca="1" si="26"/>
        <v/>
      </c>
      <c r="E93" t="str">
        <f t="shared" ca="1" si="26"/>
        <v/>
      </c>
      <c r="F93" t="str">
        <f t="shared" ca="1" si="26"/>
        <v/>
      </c>
      <c r="G93" t="str">
        <f t="shared" ca="1" si="26"/>
        <v/>
      </c>
      <c r="H93" t="str">
        <f t="shared" ca="1" si="26"/>
        <v/>
      </c>
      <c r="I93" t="str">
        <f t="shared" ca="1" si="26"/>
        <v/>
      </c>
      <c r="J93" s="229" t="str">
        <f t="shared" ca="1" si="27"/>
        <v/>
      </c>
      <c r="K93" s="229" t="str">
        <f t="shared" ca="1" si="28"/>
        <v/>
      </c>
      <c r="L93" s="229" t="str">
        <f t="shared" ca="1" si="29"/>
        <v/>
      </c>
      <c r="M93" s="229" t="str">
        <f t="shared" ca="1" si="30"/>
        <v/>
      </c>
      <c r="N93" s="229" t="str">
        <f t="shared" ca="1" si="30"/>
        <v/>
      </c>
      <c r="O93" s="229" t="str">
        <f t="shared" ca="1" si="30"/>
        <v/>
      </c>
      <c r="P93" s="229" t="str">
        <f t="shared" ca="1" si="30"/>
        <v/>
      </c>
      <c r="Q93" s="229" t="str">
        <f t="shared" ca="1" si="31"/>
        <v/>
      </c>
      <c r="R93" s="234" t="str">
        <f t="shared" ca="1" si="18"/>
        <v/>
      </c>
      <c r="S93" s="234" t="str">
        <f t="shared" ca="1" si="32"/>
        <v/>
      </c>
      <c r="T93" s="231" t="str">
        <f t="shared" ca="1" si="33"/>
        <v/>
      </c>
      <c r="U93" s="234" t="str">
        <f ca="1">IF(T93="","",CleaningSheet!AH101)</f>
        <v/>
      </c>
      <c r="V93" t="str">
        <f t="shared" ca="1" si="34"/>
        <v/>
      </c>
      <c r="W93" s="229" t="str">
        <f t="shared" ca="1" si="35"/>
        <v/>
      </c>
    </row>
    <row r="94" spans="3:24" x14ac:dyDescent="0.2">
      <c r="C94" t="str">
        <f>IF($A$1&lt;COUNTIF($C$5:C93,"&lt;&gt;"),"",COUNTIF($C$5:C93,"&lt;&gt;"))</f>
        <v/>
      </c>
      <c r="D94" t="str">
        <f t="shared" ca="1" si="26"/>
        <v/>
      </c>
      <c r="E94" t="str">
        <f t="shared" ca="1" si="26"/>
        <v/>
      </c>
      <c r="F94" t="str">
        <f t="shared" ca="1" si="26"/>
        <v/>
      </c>
      <c r="G94" t="str">
        <f t="shared" ca="1" si="26"/>
        <v/>
      </c>
      <c r="H94" t="str">
        <f t="shared" ca="1" si="26"/>
        <v/>
      </c>
      <c r="I94" t="str">
        <f t="shared" ca="1" si="26"/>
        <v/>
      </c>
      <c r="J94" s="229" t="str">
        <f t="shared" ca="1" si="27"/>
        <v/>
      </c>
      <c r="K94" s="229" t="str">
        <f t="shared" ca="1" si="28"/>
        <v/>
      </c>
      <c r="L94" s="229" t="str">
        <f t="shared" ca="1" si="29"/>
        <v/>
      </c>
      <c r="M94" s="229" t="str">
        <f t="shared" ca="1" si="30"/>
        <v/>
      </c>
      <c r="N94" s="229" t="str">
        <f t="shared" ca="1" si="30"/>
        <v/>
      </c>
      <c r="O94" s="229" t="str">
        <f t="shared" ca="1" si="30"/>
        <v/>
      </c>
      <c r="P94" s="229" t="str">
        <f t="shared" ca="1" si="30"/>
        <v/>
      </c>
      <c r="Q94" s="229" t="str">
        <f t="shared" ca="1" si="31"/>
        <v/>
      </c>
      <c r="R94" s="234" t="str">
        <f t="shared" ca="1" si="18"/>
        <v/>
      </c>
      <c r="S94" s="234" t="str">
        <f t="shared" ca="1" si="32"/>
        <v/>
      </c>
      <c r="T94" s="231" t="str">
        <f t="shared" ca="1" si="33"/>
        <v/>
      </c>
      <c r="U94" s="234" t="str">
        <f ca="1">IF(T94="","",CleaningSheet!AH102)</f>
        <v/>
      </c>
      <c r="V94" t="str">
        <f t="shared" ca="1" si="34"/>
        <v/>
      </c>
      <c r="W94" s="229" t="str">
        <f t="shared" ca="1" si="35"/>
        <v/>
      </c>
    </row>
    <row r="95" spans="3:24" x14ac:dyDescent="0.2">
      <c r="C95" t="str">
        <f>IF($A$1&lt;COUNTIF($C$5:C94,"&lt;&gt;"),"",COUNTIF($C$5:C94,"&lt;&gt;"))</f>
        <v/>
      </c>
      <c r="D95" t="str">
        <f t="shared" ca="1" si="26"/>
        <v/>
      </c>
      <c r="E95" t="str">
        <f t="shared" ca="1" si="26"/>
        <v/>
      </c>
      <c r="F95" t="str">
        <f t="shared" ca="1" si="26"/>
        <v/>
      </c>
      <c r="G95" t="str">
        <f t="shared" ca="1" si="26"/>
        <v/>
      </c>
      <c r="H95" t="str">
        <f t="shared" ca="1" si="26"/>
        <v/>
      </c>
      <c r="I95" t="str">
        <f t="shared" ca="1" si="26"/>
        <v/>
      </c>
      <c r="J95" s="229" t="str">
        <f t="shared" ca="1" si="27"/>
        <v/>
      </c>
      <c r="K95" s="229" t="str">
        <f t="shared" ca="1" si="28"/>
        <v/>
      </c>
      <c r="L95" s="229" t="str">
        <f t="shared" ca="1" si="29"/>
        <v/>
      </c>
      <c r="M95" s="229" t="str">
        <f t="shared" ca="1" si="30"/>
        <v/>
      </c>
      <c r="N95" s="229" t="str">
        <f t="shared" ca="1" si="30"/>
        <v/>
      </c>
      <c r="O95" s="229" t="str">
        <f t="shared" ca="1" si="30"/>
        <v/>
      </c>
      <c r="P95" s="229" t="str">
        <f t="shared" ca="1" si="30"/>
        <v/>
      </c>
      <c r="Q95" s="229" t="str">
        <f t="shared" ca="1" si="31"/>
        <v/>
      </c>
      <c r="R95" s="234" t="str">
        <f t="shared" ca="1" si="18"/>
        <v/>
      </c>
      <c r="S95" s="234" t="str">
        <f t="shared" ca="1" si="32"/>
        <v/>
      </c>
      <c r="T95" s="231" t="str">
        <f t="shared" ca="1" si="33"/>
        <v/>
      </c>
      <c r="U95" s="234" t="str">
        <f ca="1">IF(T95="","",CleaningSheet!AH103)</f>
        <v/>
      </c>
      <c r="V95" t="str">
        <f t="shared" ca="1" si="34"/>
        <v/>
      </c>
      <c r="W95" s="229" t="str">
        <f t="shared" ca="1" si="35"/>
        <v/>
      </c>
    </row>
    <row r="96" spans="3:24" x14ac:dyDescent="0.2">
      <c r="C96" t="str">
        <f>IF($A$1&lt;COUNTIF($C$5:C95,"&lt;&gt;"),"",COUNTIF($C$5:C95,"&lt;&gt;"))</f>
        <v/>
      </c>
      <c r="D96" t="str">
        <f t="shared" ca="1" si="26"/>
        <v/>
      </c>
      <c r="E96" t="str">
        <f t="shared" ca="1" si="26"/>
        <v/>
      </c>
      <c r="F96" t="str">
        <f t="shared" ca="1" si="26"/>
        <v/>
      </c>
      <c r="G96" t="str">
        <f t="shared" ca="1" si="26"/>
        <v/>
      </c>
      <c r="H96" t="str">
        <f t="shared" ca="1" si="26"/>
        <v/>
      </c>
      <c r="I96" t="str">
        <f t="shared" ca="1" si="26"/>
        <v/>
      </c>
      <c r="J96" s="229" t="str">
        <f t="shared" ca="1" si="27"/>
        <v/>
      </c>
      <c r="K96" s="229" t="str">
        <f t="shared" ca="1" si="28"/>
        <v/>
      </c>
      <c r="L96" s="229" t="str">
        <f t="shared" ca="1" si="29"/>
        <v/>
      </c>
      <c r="M96" s="229" t="str">
        <f t="shared" ca="1" si="30"/>
        <v/>
      </c>
      <c r="N96" s="229" t="str">
        <f t="shared" ca="1" si="30"/>
        <v/>
      </c>
      <c r="O96" s="229" t="str">
        <f t="shared" ca="1" si="30"/>
        <v/>
      </c>
      <c r="P96" s="229" t="str">
        <f t="shared" ca="1" si="30"/>
        <v/>
      </c>
      <c r="Q96" s="229" t="str">
        <f t="shared" ca="1" si="31"/>
        <v/>
      </c>
      <c r="R96" s="234" t="str">
        <f t="shared" ca="1" si="18"/>
        <v/>
      </c>
      <c r="S96" s="234" t="str">
        <f t="shared" ca="1" si="32"/>
        <v/>
      </c>
      <c r="T96" s="231" t="str">
        <f t="shared" ca="1" si="33"/>
        <v/>
      </c>
      <c r="U96" s="234" t="str">
        <f ca="1">IF(T96="","",CleaningSheet!AH104)</f>
        <v/>
      </c>
      <c r="V96" t="str">
        <f t="shared" ca="1" si="34"/>
        <v/>
      </c>
      <c r="W96" s="229" t="str">
        <f t="shared" ca="1" si="35"/>
        <v/>
      </c>
    </row>
    <row r="97" spans="3:23" x14ac:dyDescent="0.2">
      <c r="C97" t="str">
        <f>IF($A$1&lt;COUNTIF($C$5:C96,"&lt;&gt;"),"",COUNTIF($C$5:C96,"&lt;&gt;"))</f>
        <v/>
      </c>
      <c r="D97" t="str">
        <f t="shared" ca="1" si="26"/>
        <v/>
      </c>
      <c r="E97" t="str">
        <f t="shared" ca="1" si="26"/>
        <v/>
      </c>
      <c r="F97" t="str">
        <f t="shared" ca="1" si="26"/>
        <v/>
      </c>
      <c r="G97" t="str">
        <f t="shared" ca="1" si="26"/>
        <v/>
      </c>
      <c r="H97" t="str">
        <f t="shared" ca="1" si="26"/>
        <v/>
      </c>
      <c r="I97" t="str">
        <f t="shared" ca="1" si="26"/>
        <v/>
      </c>
      <c r="J97" s="229" t="str">
        <f t="shared" ca="1" si="27"/>
        <v/>
      </c>
      <c r="K97" s="229" t="str">
        <f t="shared" ca="1" si="28"/>
        <v/>
      </c>
      <c r="L97" s="229" t="str">
        <f t="shared" ca="1" si="29"/>
        <v/>
      </c>
      <c r="M97" s="229" t="str">
        <f t="shared" ca="1" si="30"/>
        <v/>
      </c>
      <c r="N97" s="229" t="str">
        <f t="shared" ca="1" si="30"/>
        <v/>
      </c>
      <c r="O97" s="229" t="str">
        <f t="shared" ca="1" si="30"/>
        <v/>
      </c>
      <c r="P97" s="229" t="str">
        <f t="shared" ca="1" si="30"/>
        <v/>
      </c>
      <c r="Q97" s="229" t="str">
        <f t="shared" ca="1" si="31"/>
        <v/>
      </c>
      <c r="R97" s="234" t="str">
        <f t="shared" ca="1" si="18"/>
        <v/>
      </c>
      <c r="S97" s="234" t="str">
        <f t="shared" ca="1" si="32"/>
        <v/>
      </c>
      <c r="T97" s="231" t="str">
        <f t="shared" ca="1" si="33"/>
        <v/>
      </c>
      <c r="U97" s="234" t="str">
        <f ca="1">IF(T97="","",CleaningSheet!AH105)</f>
        <v/>
      </c>
      <c r="V97" t="str">
        <f t="shared" ca="1" si="34"/>
        <v/>
      </c>
      <c r="W97" s="229" t="str">
        <f t="shared" ca="1" si="35"/>
        <v/>
      </c>
    </row>
    <row r="98" spans="3:23" x14ac:dyDescent="0.2">
      <c r="C98" t="str">
        <f>IF($A$1&lt;COUNTIF($C$5:C97,"&lt;&gt;"),"",COUNTIF($C$5:C97,"&lt;&gt;"))</f>
        <v/>
      </c>
      <c r="D98" t="str">
        <f t="shared" ca="1" si="26"/>
        <v/>
      </c>
      <c r="E98" t="str">
        <f t="shared" ca="1" si="26"/>
        <v/>
      </c>
      <c r="F98" t="str">
        <f t="shared" ca="1" si="26"/>
        <v/>
      </c>
      <c r="G98" t="str">
        <f t="shared" ca="1" si="26"/>
        <v/>
      </c>
      <c r="H98" t="str">
        <f t="shared" ca="1" si="26"/>
        <v/>
      </c>
      <c r="I98" t="str">
        <f t="shared" ca="1" si="26"/>
        <v/>
      </c>
      <c r="J98" s="229" t="str">
        <f t="shared" ca="1" si="27"/>
        <v/>
      </c>
      <c r="K98" s="229" t="str">
        <f t="shared" ca="1" si="28"/>
        <v/>
      </c>
      <c r="L98" s="229" t="str">
        <f t="shared" ca="1" si="29"/>
        <v/>
      </c>
      <c r="M98" s="229" t="str">
        <f t="shared" ca="1" si="30"/>
        <v/>
      </c>
      <c r="N98" s="229" t="str">
        <f t="shared" ca="1" si="30"/>
        <v/>
      </c>
      <c r="O98" s="229" t="str">
        <f t="shared" ca="1" si="30"/>
        <v/>
      </c>
      <c r="P98" s="229" t="str">
        <f t="shared" ca="1" si="30"/>
        <v/>
      </c>
      <c r="Q98" s="229" t="str">
        <f t="shared" ca="1" si="31"/>
        <v/>
      </c>
      <c r="R98" s="234" t="str">
        <f t="shared" ca="1" si="18"/>
        <v/>
      </c>
      <c r="S98" s="234" t="str">
        <f t="shared" ca="1" si="32"/>
        <v/>
      </c>
      <c r="T98" s="231" t="str">
        <f t="shared" ca="1" si="33"/>
        <v/>
      </c>
      <c r="U98" s="234" t="str">
        <f ca="1">IF(T98="","",CleaningSheet!AH106)</f>
        <v/>
      </c>
      <c r="V98" t="str">
        <f t="shared" ca="1" si="34"/>
        <v/>
      </c>
      <c r="W98" s="229" t="str">
        <f t="shared" ca="1" si="35"/>
        <v/>
      </c>
    </row>
    <row r="99" spans="3:23" x14ac:dyDescent="0.2">
      <c r="C99" t="str">
        <f>IF($A$1&lt;COUNTIF($C$5:C98,"&lt;&gt;"),"",COUNTIF($C$5:C98,"&lt;&gt;"))</f>
        <v/>
      </c>
      <c r="D99" t="str">
        <f t="shared" ca="1" si="26"/>
        <v/>
      </c>
      <c r="E99" t="str">
        <f t="shared" ca="1" si="26"/>
        <v/>
      </c>
      <c r="F99" t="str">
        <f t="shared" ca="1" si="26"/>
        <v/>
      </c>
      <c r="G99" t="str">
        <f t="shared" ca="1" si="26"/>
        <v/>
      </c>
      <c r="H99" t="str">
        <f t="shared" ca="1" si="26"/>
        <v/>
      </c>
      <c r="I99" t="str">
        <f t="shared" ca="1" si="26"/>
        <v/>
      </c>
      <c r="J99" s="229" t="str">
        <f t="shared" ca="1" si="27"/>
        <v/>
      </c>
      <c r="K99" s="229" t="str">
        <f t="shared" ca="1" si="28"/>
        <v/>
      </c>
      <c r="L99" s="229" t="str">
        <f t="shared" ca="1" si="29"/>
        <v/>
      </c>
      <c r="M99" s="229" t="str">
        <f t="shared" ca="1" si="30"/>
        <v/>
      </c>
      <c r="N99" s="229" t="str">
        <f t="shared" ca="1" si="30"/>
        <v/>
      </c>
      <c r="O99" s="229" t="str">
        <f t="shared" ca="1" si="30"/>
        <v/>
      </c>
      <c r="P99" s="229" t="str">
        <f t="shared" ca="1" si="30"/>
        <v/>
      </c>
      <c r="Q99" s="229" t="str">
        <f t="shared" ca="1" si="31"/>
        <v/>
      </c>
      <c r="R99" s="234" t="str">
        <f t="shared" ca="1" si="18"/>
        <v/>
      </c>
      <c r="S99" s="234" t="str">
        <f t="shared" ca="1" si="32"/>
        <v/>
      </c>
      <c r="T99" s="231" t="str">
        <f t="shared" ca="1" si="33"/>
        <v/>
      </c>
      <c r="U99" s="234" t="str">
        <f ca="1">IF(T99="","",CleaningSheet!AH107)</f>
        <v/>
      </c>
      <c r="V99" t="str">
        <f t="shared" ca="1" si="34"/>
        <v/>
      </c>
      <c r="W99" s="229" t="str">
        <f t="shared" ca="1" si="35"/>
        <v/>
      </c>
    </row>
    <row r="100" spans="3:23" x14ac:dyDescent="0.2">
      <c r="C100" t="str">
        <f>IF($A$1&lt;COUNTIF($C$5:C99,"&lt;&gt;"),"",COUNTIF($C$5:C99,"&lt;&gt;"))</f>
        <v/>
      </c>
      <c r="D100" t="str">
        <f t="shared" ca="1" si="26"/>
        <v/>
      </c>
      <c r="E100" t="str">
        <f t="shared" ca="1" si="26"/>
        <v/>
      </c>
      <c r="F100" t="str">
        <f t="shared" ca="1" si="26"/>
        <v/>
      </c>
      <c r="G100" t="str">
        <f t="shared" ca="1" si="26"/>
        <v/>
      </c>
      <c r="H100" t="str">
        <f t="shared" ca="1" si="26"/>
        <v/>
      </c>
      <c r="I100" t="str">
        <f t="shared" ca="1" si="26"/>
        <v/>
      </c>
      <c r="J100" s="229" t="str">
        <f t="shared" ca="1" si="27"/>
        <v/>
      </c>
      <c r="K100" s="229" t="str">
        <f t="shared" ca="1" si="28"/>
        <v/>
      </c>
      <c r="L100" s="229" t="str">
        <f t="shared" ca="1" si="29"/>
        <v/>
      </c>
      <c r="M100" s="229" t="str">
        <f t="shared" ca="1" si="30"/>
        <v/>
      </c>
      <c r="N100" s="229" t="str">
        <f t="shared" ca="1" si="30"/>
        <v/>
      </c>
      <c r="O100" s="229" t="str">
        <f t="shared" ca="1" si="30"/>
        <v/>
      </c>
      <c r="P100" s="229" t="str">
        <f t="shared" ca="1" si="30"/>
        <v/>
      </c>
      <c r="Q100" s="229" t="str">
        <f t="shared" ca="1" si="31"/>
        <v/>
      </c>
      <c r="R100" s="234" t="str">
        <f t="shared" ca="1" si="18"/>
        <v/>
      </c>
      <c r="S100" s="234" t="str">
        <f t="shared" ca="1" si="32"/>
        <v/>
      </c>
      <c r="T100" s="231" t="str">
        <f t="shared" ca="1" si="33"/>
        <v/>
      </c>
      <c r="U100" s="234" t="str">
        <f ca="1">IF(T100="","",CleaningSheet!AH108)</f>
        <v/>
      </c>
      <c r="V100" t="str">
        <f t="shared" ca="1" si="34"/>
        <v/>
      </c>
      <c r="W100" s="229" t="str">
        <f t="shared" ca="1" si="35"/>
        <v/>
      </c>
    </row>
    <row r="101" spans="3:23" x14ac:dyDescent="0.2">
      <c r="C101" t="str">
        <f>IF($A$1&lt;COUNTIF($C$5:C100,"&lt;&gt;"),"",COUNTIF($C$5:C100,"&lt;&gt;"))</f>
        <v/>
      </c>
      <c r="D101" t="str">
        <f t="shared" ca="1" si="26"/>
        <v/>
      </c>
      <c r="E101" t="str">
        <f t="shared" ca="1" si="26"/>
        <v/>
      </c>
      <c r="F101" t="str">
        <f t="shared" ca="1" si="26"/>
        <v/>
      </c>
      <c r="G101" t="str">
        <f t="shared" ca="1" si="26"/>
        <v/>
      </c>
      <c r="H101" t="str">
        <f t="shared" ca="1" si="26"/>
        <v/>
      </c>
      <c r="I101" t="str">
        <f t="shared" ca="1" si="26"/>
        <v/>
      </c>
      <c r="J101" s="229" t="str">
        <f t="shared" ca="1" si="27"/>
        <v/>
      </c>
      <c r="K101" s="229" t="str">
        <f t="shared" ca="1" si="28"/>
        <v/>
      </c>
      <c r="L101" s="229" t="str">
        <f t="shared" ca="1" si="29"/>
        <v/>
      </c>
      <c r="M101" s="229" t="str">
        <f t="shared" ca="1" si="30"/>
        <v/>
      </c>
      <c r="N101" s="229" t="str">
        <f t="shared" ca="1" si="30"/>
        <v/>
      </c>
      <c r="O101" s="229" t="str">
        <f t="shared" ca="1" si="30"/>
        <v/>
      </c>
      <c r="P101" s="229" t="str">
        <f t="shared" ca="1" si="30"/>
        <v/>
      </c>
      <c r="Q101" s="229" t="str">
        <f t="shared" ca="1" si="31"/>
        <v/>
      </c>
      <c r="R101" s="234" t="str">
        <f t="shared" ca="1" si="18"/>
        <v/>
      </c>
      <c r="S101" s="234" t="str">
        <f t="shared" ca="1" si="32"/>
        <v/>
      </c>
      <c r="T101" s="231" t="str">
        <f t="shared" ca="1" si="33"/>
        <v/>
      </c>
      <c r="U101" s="234" t="str">
        <f ca="1">IF(T101="","",CleaningSheet!AH109)</f>
        <v/>
      </c>
      <c r="V101" t="str">
        <f t="shared" ca="1" si="34"/>
        <v/>
      </c>
      <c r="W101" s="229" t="str">
        <f t="shared" ca="1" si="35"/>
        <v/>
      </c>
    </row>
    <row r="102" spans="3:23" x14ac:dyDescent="0.2">
      <c r="C102" t="str">
        <f>IF($A$1&lt;COUNTIF($C$5:C101,"&lt;&gt;"),"",COUNTIF($C$5:C101,"&lt;&gt;"))</f>
        <v/>
      </c>
      <c r="D102" t="str">
        <f t="shared" ca="1" si="26"/>
        <v/>
      </c>
      <c r="E102" t="str">
        <f t="shared" ca="1" si="26"/>
        <v/>
      </c>
      <c r="F102" t="str">
        <f t="shared" ca="1" si="26"/>
        <v/>
      </c>
      <c r="G102" t="str">
        <f t="shared" ca="1" si="26"/>
        <v/>
      </c>
      <c r="H102" t="str">
        <f t="shared" ca="1" si="26"/>
        <v/>
      </c>
      <c r="I102" t="str">
        <f t="shared" ca="1" si="26"/>
        <v/>
      </c>
      <c r="J102" s="229" t="str">
        <f t="shared" ca="1" si="27"/>
        <v/>
      </c>
      <c r="K102" s="229" t="str">
        <f t="shared" ca="1" si="28"/>
        <v/>
      </c>
      <c r="L102" s="229" t="str">
        <f t="shared" ca="1" si="29"/>
        <v/>
      </c>
      <c r="M102" s="229" t="str">
        <f t="shared" ca="1" si="30"/>
        <v/>
      </c>
      <c r="N102" s="229" t="str">
        <f t="shared" ca="1" si="30"/>
        <v/>
      </c>
      <c r="O102" s="229" t="str">
        <f t="shared" ca="1" si="30"/>
        <v/>
      </c>
      <c r="P102" s="229" t="str">
        <f t="shared" ca="1" si="30"/>
        <v/>
      </c>
      <c r="Q102" s="229" t="str">
        <f t="shared" ca="1" si="31"/>
        <v/>
      </c>
      <c r="R102" s="234" t="str">
        <f t="shared" ref="R102:R165" ca="1" si="36">IFERROR(INDIRECT("'"&amp;$B$6&amp;$C102&amp;"'!"&amp;R$4),"")</f>
        <v/>
      </c>
      <c r="S102" s="234" t="str">
        <f t="shared" ca="1" si="32"/>
        <v/>
      </c>
      <c r="T102" s="231" t="str">
        <f t="shared" ca="1" si="33"/>
        <v/>
      </c>
      <c r="U102" s="234" t="str">
        <f ca="1">IF(T102="","",CleaningSheet!AH110)</f>
        <v/>
      </c>
      <c r="V102" t="str">
        <f t="shared" ca="1" si="34"/>
        <v/>
      </c>
      <c r="W102" s="229" t="str">
        <f t="shared" ca="1" si="35"/>
        <v/>
      </c>
    </row>
    <row r="103" spans="3:23" x14ac:dyDescent="0.2">
      <c r="C103" t="str">
        <f>IF($A$1&lt;COUNTIF($C$5:C102,"&lt;&gt;"),"",COUNTIF($C$5:C102,"&lt;&gt;"))</f>
        <v/>
      </c>
      <c r="D103" t="str">
        <f t="shared" ref="D103:I134" ca="1" si="37">IFERROR(INDIRECT("'"&amp;$B$6&amp;$C103&amp;"'!"&amp;D$4),"")</f>
        <v/>
      </c>
      <c r="E103" t="str">
        <f t="shared" ca="1" si="37"/>
        <v/>
      </c>
      <c r="F103" t="str">
        <f t="shared" ca="1" si="37"/>
        <v/>
      </c>
      <c r="G103" t="str">
        <f t="shared" ca="1" si="37"/>
        <v/>
      </c>
      <c r="H103" t="str">
        <f t="shared" ca="1" si="37"/>
        <v/>
      </c>
      <c r="I103" t="str">
        <f t="shared" ca="1" si="37"/>
        <v/>
      </c>
      <c r="J103" s="229" t="str">
        <f t="shared" ca="1" si="27"/>
        <v/>
      </c>
      <c r="K103" s="229" t="str">
        <f t="shared" ca="1" si="28"/>
        <v/>
      </c>
      <c r="L103" s="229" t="str">
        <f t="shared" ca="1" si="29"/>
        <v/>
      </c>
      <c r="M103" s="229" t="str">
        <f t="shared" ref="M103:P134" ca="1" si="38">IFERROR(INDIRECT("'"&amp;$B$6&amp;$C103&amp;"'!"&amp;M$4),"")</f>
        <v/>
      </c>
      <c r="N103" s="229" t="str">
        <f t="shared" ca="1" si="38"/>
        <v/>
      </c>
      <c r="O103" s="229" t="str">
        <f t="shared" ca="1" si="38"/>
        <v/>
      </c>
      <c r="P103" s="229" t="str">
        <f t="shared" ca="1" si="38"/>
        <v/>
      </c>
      <c r="Q103" s="229" t="str">
        <f t="shared" ca="1" si="31"/>
        <v/>
      </c>
      <c r="R103" s="234" t="str">
        <f t="shared" ca="1" si="36"/>
        <v/>
      </c>
      <c r="S103" s="234" t="str">
        <f t="shared" ca="1" si="32"/>
        <v/>
      </c>
      <c r="T103" s="231" t="str">
        <f t="shared" ca="1" si="33"/>
        <v/>
      </c>
      <c r="U103" s="234" t="str">
        <f ca="1">IF(T103="","",CleaningSheet!AH111)</f>
        <v/>
      </c>
      <c r="V103" t="str">
        <f t="shared" ca="1" si="34"/>
        <v/>
      </c>
      <c r="W103" s="229" t="str">
        <f t="shared" ca="1" si="35"/>
        <v/>
      </c>
    </row>
    <row r="104" spans="3:23" x14ac:dyDescent="0.2">
      <c r="C104" t="str">
        <f>IF($A$1&lt;COUNTIF($C$5:C103,"&lt;&gt;"),"",COUNTIF($C$5:C103,"&lt;&gt;"))</f>
        <v/>
      </c>
      <c r="D104" t="str">
        <f t="shared" ca="1" si="37"/>
        <v/>
      </c>
      <c r="E104" t="str">
        <f t="shared" ca="1" si="37"/>
        <v/>
      </c>
      <c r="F104" t="str">
        <f t="shared" ca="1" si="37"/>
        <v/>
      </c>
      <c r="G104" t="str">
        <f t="shared" ca="1" si="37"/>
        <v/>
      </c>
      <c r="H104" t="str">
        <f t="shared" ca="1" si="37"/>
        <v/>
      </c>
      <c r="I104" t="str">
        <f t="shared" ca="1" si="37"/>
        <v/>
      </c>
      <c r="J104" s="229" t="str">
        <f t="shared" ca="1" si="27"/>
        <v/>
      </c>
      <c r="K104" s="229" t="str">
        <f t="shared" ca="1" si="28"/>
        <v/>
      </c>
      <c r="L104" s="229" t="str">
        <f t="shared" ca="1" si="29"/>
        <v/>
      </c>
      <c r="M104" s="229" t="str">
        <f t="shared" ca="1" si="38"/>
        <v/>
      </c>
      <c r="N104" s="229" t="str">
        <f t="shared" ca="1" si="38"/>
        <v/>
      </c>
      <c r="O104" s="229" t="str">
        <f t="shared" ca="1" si="38"/>
        <v/>
      </c>
      <c r="P104" s="229" t="str">
        <f t="shared" ca="1" si="38"/>
        <v/>
      </c>
      <c r="Q104" s="229" t="str">
        <f t="shared" ca="1" si="31"/>
        <v/>
      </c>
      <c r="R104" s="234" t="str">
        <f t="shared" ca="1" si="36"/>
        <v/>
      </c>
      <c r="S104" s="234" t="str">
        <f t="shared" ca="1" si="32"/>
        <v/>
      </c>
      <c r="T104" s="231" t="str">
        <f t="shared" ca="1" si="33"/>
        <v/>
      </c>
      <c r="U104" s="234" t="str">
        <f ca="1">IF(T104="","",CleaningSheet!AH112)</f>
        <v/>
      </c>
      <c r="V104" t="str">
        <f t="shared" ca="1" si="34"/>
        <v/>
      </c>
      <c r="W104" s="229" t="str">
        <f t="shared" ca="1" si="35"/>
        <v/>
      </c>
    </row>
    <row r="105" spans="3:23" x14ac:dyDescent="0.2">
      <c r="C105" t="str">
        <f>IF($A$1&lt;COUNTIF($C$5:C104,"&lt;&gt;"),"",COUNTIF($C$5:C104,"&lt;&gt;"))</f>
        <v/>
      </c>
      <c r="D105" t="str">
        <f t="shared" ca="1" si="37"/>
        <v/>
      </c>
      <c r="E105" t="str">
        <f t="shared" ca="1" si="37"/>
        <v/>
      </c>
      <c r="F105" t="str">
        <f t="shared" ca="1" si="37"/>
        <v/>
      </c>
      <c r="G105" t="str">
        <f t="shared" ca="1" si="37"/>
        <v/>
      </c>
      <c r="H105" t="str">
        <f t="shared" ca="1" si="37"/>
        <v/>
      </c>
      <c r="I105" t="str">
        <f t="shared" ca="1" si="37"/>
        <v/>
      </c>
      <c r="J105" s="229" t="str">
        <f t="shared" ca="1" si="27"/>
        <v/>
      </c>
      <c r="K105" s="229" t="str">
        <f t="shared" ca="1" si="28"/>
        <v/>
      </c>
      <c r="L105" s="229" t="str">
        <f t="shared" ca="1" si="29"/>
        <v/>
      </c>
      <c r="M105" s="229" t="str">
        <f t="shared" ca="1" si="38"/>
        <v/>
      </c>
      <c r="N105" s="229" t="str">
        <f t="shared" ca="1" si="38"/>
        <v/>
      </c>
      <c r="O105" s="229" t="str">
        <f t="shared" ca="1" si="38"/>
        <v/>
      </c>
      <c r="P105" s="229" t="str">
        <f t="shared" ca="1" si="38"/>
        <v/>
      </c>
      <c r="Q105" s="229" t="str">
        <f t="shared" ca="1" si="31"/>
        <v/>
      </c>
      <c r="R105" s="234" t="str">
        <f t="shared" ca="1" si="36"/>
        <v/>
      </c>
      <c r="S105" s="234" t="str">
        <f t="shared" ca="1" si="32"/>
        <v/>
      </c>
      <c r="T105" s="231" t="str">
        <f t="shared" ca="1" si="33"/>
        <v/>
      </c>
      <c r="U105" s="234" t="str">
        <f ca="1">IF(T105="","",CleaningSheet!AH113)</f>
        <v/>
      </c>
      <c r="V105" t="str">
        <f t="shared" ca="1" si="34"/>
        <v/>
      </c>
      <c r="W105" s="229" t="str">
        <f t="shared" ca="1" si="35"/>
        <v/>
      </c>
    </row>
    <row r="106" spans="3:23" x14ac:dyDescent="0.2">
      <c r="C106" t="str">
        <f>IF($A$1&lt;COUNTIF($C$5:C105,"&lt;&gt;"),"",COUNTIF($C$5:C105,"&lt;&gt;"))</f>
        <v/>
      </c>
      <c r="D106" t="str">
        <f t="shared" ca="1" si="37"/>
        <v/>
      </c>
      <c r="E106" t="str">
        <f t="shared" ca="1" si="37"/>
        <v/>
      </c>
      <c r="F106" t="str">
        <f t="shared" ca="1" si="37"/>
        <v/>
      </c>
      <c r="G106" t="str">
        <f t="shared" ca="1" si="37"/>
        <v/>
      </c>
      <c r="H106" t="str">
        <f t="shared" ca="1" si="37"/>
        <v/>
      </c>
      <c r="I106" t="str">
        <f t="shared" ca="1" si="37"/>
        <v/>
      </c>
      <c r="J106" s="229" t="str">
        <f t="shared" ca="1" si="27"/>
        <v/>
      </c>
      <c r="K106" s="229" t="str">
        <f t="shared" ca="1" si="28"/>
        <v/>
      </c>
      <c r="L106" s="229" t="str">
        <f t="shared" ca="1" si="29"/>
        <v/>
      </c>
      <c r="M106" s="229" t="str">
        <f t="shared" ca="1" si="38"/>
        <v/>
      </c>
      <c r="N106" s="229" t="str">
        <f t="shared" ca="1" si="38"/>
        <v/>
      </c>
      <c r="O106" s="229" t="str">
        <f t="shared" ca="1" si="38"/>
        <v/>
      </c>
      <c r="P106" s="229" t="str">
        <f t="shared" ca="1" si="38"/>
        <v/>
      </c>
      <c r="Q106" s="229" t="str">
        <f t="shared" ca="1" si="31"/>
        <v/>
      </c>
      <c r="R106" s="234" t="str">
        <f t="shared" ca="1" si="36"/>
        <v/>
      </c>
      <c r="S106" s="234" t="str">
        <f t="shared" ca="1" si="32"/>
        <v/>
      </c>
      <c r="T106" s="231" t="str">
        <f t="shared" ca="1" si="33"/>
        <v/>
      </c>
      <c r="U106" s="234" t="str">
        <f ca="1">IF(T106="","",CleaningSheet!AH114)</f>
        <v/>
      </c>
      <c r="V106" t="str">
        <f t="shared" ca="1" si="34"/>
        <v/>
      </c>
      <c r="W106" s="229" t="str">
        <f t="shared" ca="1" si="35"/>
        <v/>
      </c>
    </row>
    <row r="107" spans="3:23" x14ac:dyDescent="0.2">
      <c r="C107" t="str">
        <f>IF($A$1&lt;COUNTIF($C$5:C106,"&lt;&gt;"),"",COUNTIF($C$5:C106,"&lt;&gt;"))</f>
        <v/>
      </c>
      <c r="D107" t="str">
        <f t="shared" ca="1" si="37"/>
        <v/>
      </c>
      <c r="E107" t="str">
        <f t="shared" ca="1" si="37"/>
        <v/>
      </c>
      <c r="F107" t="str">
        <f t="shared" ca="1" si="37"/>
        <v/>
      </c>
      <c r="G107" t="str">
        <f t="shared" ca="1" si="37"/>
        <v/>
      </c>
      <c r="H107" t="str">
        <f t="shared" ca="1" si="37"/>
        <v/>
      </c>
      <c r="I107" t="str">
        <f t="shared" ca="1" si="37"/>
        <v/>
      </c>
      <c r="J107" s="229" t="str">
        <f t="shared" ca="1" si="27"/>
        <v/>
      </c>
      <c r="K107" s="229" t="str">
        <f t="shared" ca="1" si="28"/>
        <v/>
      </c>
      <c r="L107" s="229" t="str">
        <f t="shared" ca="1" si="29"/>
        <v/>
      </c>
      <c r="M107" s="229" t="str">
        <f t="shared" ca="1" si="38"/>
        <v/>
      </c>
      <c r="N107" s="229" t="str">
        <f t="shared" ca="1" si="38"/>
        <v/>
      </c>
      <c r="O107" s="229" t="str">
        <f t="shared" ca="1" si="38"/>
        <v/>
      </c>
      <c r="P107" s="229" t="str">
        <f t="shared" ca="1" si="38"/>
        <v/>
      </c>
      <c r="Q107" s="229" t="str">
        <f t="shared" ca="1" si="31"/>
        <v/>
      </c>
      <c r="R107" s="234" t="str">
        <f t="shared" ca="1" si="36"/>
        <v/>
      </c>
      <c r="S107" s="234" t="str">
        <f t="shared" ca="1" si="32"/>
        <v/>
      </c>
      <c r="T107" s="231" t="str">
        <f t="shared" ca="1" si="33"/>
        <v/>
      </c>
      <c r="U107" s="234" t="str">
        <f ca="1">IF(T107="","",CleaningSheet!AH115)</f>
        <v/>
      </c>
      <c r="V107" t="str">
        <f t="shared" ca="1" si="34"/>
        <v/>
      </c>
      <c r="W107" s="229" t="str">
        <f t="shared" ca="1" si="35"/>
        <v/>
      </c>
    </row>
    <row r="108" spans="3:23" x14ac:dyDescent="0.2">
      <c r="C108" t="str">
        <f>IF($A$1&lt;COUNTIF($C$5:C107,"&lt;&gt;"),"",COUNTIF($C$5:C107,"&lt;&gt;"))</f>
        <v/>
      </c>
      <c r="D108" t="str">
        <f t="shared" ca="1" si="37"/>
        <v/>
      </c>
      <c r="E108" t="str">
        <f t="shared" ca="1" si="37"/>
        <v/>
      </c>
      <c r="F108" t="str">
        <f t="shared" ca="1" si="37"/>
        <v/>
      </c>
      <c r="G108" t="str">
        <f t="shared" ca="1" si="37"/>
        <v/>
      </c>
      <c r="H108" t="str">
        <f t="shared" ca="1" si="37"/>
        <v/>
      </c>
      <c r="I108" t="str">
        <f t="shared" ca="1" si="37"/>
        <v/>
      </c>
      <c r="J108" s="229" t="str">
        <f t="shared" ca="1" si="27"/>
        <v/>
      </c>
      <c r="K108" s="229" t="str">
        <f t="shared" ca="1" si="28"/>
        <v/>
      </c>
      <c r="L108" s="229" t="str">
        <f t="shared" ca="1" si="29"/>
        <v/>
      </c>
      <c r="M108" s="229" t="str">
        <f t="shared" ca="1" si="38"/>
        <v/>
      </c>
      <c r="N108" s="229" t="str">
        <f t="shared" ca="1" si="38"/>
        <v/>
      </c>
      <c r="O108" s="229" t="str">
        <f t="shared" ca="1" si="38"/>
        <v/>
      </c>
      <c r="P108" s="229" t="str">
        <f t="shared" ca="1" si="38"/>
        <v/>
      </c>
      <c r="Q108" s="229" t="str">
        <f t="shared" ca="1" si="31"/>
        <v/>
      </c>
      <c r="R108" s="234" t="str">
        <f t="shared" ca="1" si="36"/>
        <v/>
      </c>
      <c r="S108" s="234" t="str">
        <f t="shared" ca="1" si="32"/>
        <v/>
      </c>
      <c r="T108" s="231" t="str">
        <f t="shared" ca="1" si="33"/>
        <v/>
      </c>
      <c r="U108" s="234" t="str">
        <f ca="1">IF(T108="","",CleaningSheet!AH116)</f>
        <v/>
      </c>
      <c r="V108" t="str">
        <f t="shared" ca="1" si="34"/>
        <v/>
      </c>
      <c r="W108" s="229" t="str">
        <f t="shared" ca="1" si="35"/>
        <v/>
      </c>
    </row>
    <row r="109" spans="3:23" x14ac:dyDescent="0.2">
      <c r="C109" t="str">
        <f>IF($A$1&lt;COUNTIF($C$5:C108,"&lt;&gt;"),"",COUNTIF($C$5:C108,"&lt;&gt;"))</f>
        <v/>
      </c>
      <c r="D109" t="str">
        <f t="shared" ca="1" si="37"/>
        <v/>
      </c>
      <c r="E109" t="str">
        <f t="shared" ca="1" si="37"/>
        <v/>
      </c>
      <c r="F109" t="str">
        <f t="shared" ca="1" si="37"/>
        <v/>
      </c>
      <c r="G109" t="str">
        <f t="shared" ca="1" si="37"/>
        <v/>
      </c>
      <c r="H109" t="str">
        <f t="shared" ca="1" si="37"/>
        <v/>
      </c>
      <c r="I109" t="str">
        <f t="shared" ca="1" si="37"/>
        <v/>
      </c>
      <c r="J109" s="229" t="str">
        <f t="shared" ca="1" si="27"/>
        <v/>
      </c>
      <c r="K109" s="229" t="str">
        <f t="shared" ca="1" si="28"/>
        <v/>
      </c>
      <c r="L109" s="229" t="str">
        <f t="shared" ca="1" si="29"/>
        <v/>
      </c>
      <c r="M109" s="229" t="str">
        <f t="shared" ca="1" si="38"/>
        <v/>
      </c>
      <c r="N109" s="229" t="str">
        <f t="shared" ca="1" si="38"/>
        <v/>
      </c>
      <c r="O109" s="229" t="str">
        <f t="shared" ca="1" si="38"/>
        <v/>
      </c>
      <c r="P109" s="229" t="str">
        <f t="shared" ca="1" si="38"/>
        <v/>
      </c>
      <c r="Q109" s="229" t="str">
        <f t="shared" ca="1" si="31"/>
        <v/>
      </c>
      <c r="R109" s="234" t="str">
        <f t="shared" ca="1" si="36"/>
        <v/>
      </c>
      <c r="S109" s="234" t="str">
        <f t="shared" ca="1" si="32"/>
        <v/>
      </c>
      <c r="T109" s="231" t="str">
        <f t="shared" ca="1" si="33"/>
        <v/>
      </c>
      <c r="U109" s="234" t="str">
        <f ca="1">IF(T109="","",CleaningSheet!AH117)</f>
        <v/>
      </c>
      <c r="V109" t="str">
        <f t="shared" ca="1" si="34"/>
        <v/>
      </c>
      <c r="W109" s="229" t="str">
        <f t="shared" ca="1" si="35"/>
        <v/>
      </c>
    </row>
    <row r="110" spans="3:23" x14ac:dyDescent="0.2">
      <c r="C110" t="str">
        <f>IF($A$1&lt;COUNTIF($C$5:C109,"&lt;&gt;"),"",COUNTIF($C$5:C109,"&lt;&gt;"))</f>
        <v/>
      </c>
      <c r="D110" t="str">
        <f t="shared" ca="1" si="37"/>
        <v/>
      </c>
      <c r="E110" t="str">
        <f t="shared" ca="1" si="37"/>
        <v/>
      </c>
      <c r="F110" t="str">
        <f t="shared" ca="1" si="37"/>
        <v/>
      </c>
      <c r="G110" t="str">
        <f t="shared" ca="1" si="37"/>
        <v/>
      </c>
      <c r="H110" t="str">
        <f t="shared" ca="1" si="37"/>
        <v/>
      </c>
      <c r="I110" t="str">
        <f t="shared" ca="1" si="37"/>
        <v/>
      </c>
      <c r="J110" s="229" t="str">
        <f t="shared" ca="1" si="27"/>
        <v/>
      </c>
      <c r="K110" s="229" t="str">
        <f t="shared" ca="1" si="28"/>
        <v/>
      </c>
      <c r="L110" s="229" t="str">
        <f t="shared" ca="1" si="29"/>
        <v/>
      </c>
      <c r="M110" s="229" t="str">
        <f t="shared" ca="1" si="38"/>
        <v/>
      </c>
      <c r="N110" s="229" t="str">
        <f t="shared" ca="1" si="38"/>
        <v/>
      </c>
      <c r="O110" s="229" t="str">
        <f t="shared" ca="1" si="38"/>
        <v/>
      </c>
      <c r="P110" s="229" t="str">
        <f t="shared" ca="1" si="38"/>
        <v/>
      </c>
      <c r="Q110" s="229" t="str">
        <f t="shared" ca="1" si="31"/>
        <v/>
      </c>
      <c r="R110" s="234" t="str">
        <f t="shared" ca="1" si="36"/>
        <v/>
      </c>
      <c r="S110" s="234" t="str">
        <f t="shared" ca="1" si="32"/>
        <v/>
      </c>
      <c r="T110" s="231" t="str">
        <f t="shared" ca="1" si="33"/>
        <v/>
      </c>
      <c r="U110" s="234" t="str">
        <f ca="1">IF(T110="","",CleaningSheet!AH118)</f>
        <v/>
      </c>
      <c r="V110" t="str">
        <f t="shared" ca="1" si="34"/>
        <v/>
      </c>
      <c r="W110" s="229" t="str">
        <f t="shared" ca="1" si="35"/>
        <v/>
      </c>
    </row>
    <row r="111" spans="3:23" x14ac:dyDescent="0.2">
      <c r="C111" t="str">
        <f>IF($A$1&lt;COUNTIF($C$5:C110,"&lt;&gt;"),"",COUNTIF($C$5:C110,"&lt;&gt;"))</f>
        <v/>
      </c>
      <c r="D111" t="str">
        <f t="shared" ca="1" si="37"/>
        <v/>
      </c>
      <c r="E111" t="str">
        <f t="shared" ca="1" si="37"/>
        <v/>
      </c>
      <c r="F111" t="str">
        <f t="shared" ca="1" si="37"/>
        <v/>
      </c>
      <c r="G111" t="str">
        <f t="shared" ca="1" si="37"/>
        <v/>
      </c>
      <c r="H111" t="str">
        <f t="shared" ca="1" si="37"/>
        <v/>
      </c>
      <c r="I111" t="str">
        <f t="shared" ca="1" si="37"/>
        <v/>
      </c>
      <c r="J111" s="229" t="str">
        <f t="shared" ca="1" si="27"/>
        <v/>
      </c>
      <c r="K111" s="229" t="str">
        <f t="shared" ca="1" si="28"/>
        <v/>
      </c>
      <c r="L111" s="229" t="str">
        <f t="shared" ca="1" si="29"/>
        <v/>
      </c>
      <c r="M111" s="229" t="str">
        <f t="shared" ca="1" si="38"/>
        <v/>
      </c>
      <c r="N111" s="229" t="str">
        <f t="shared" ca="1" si="38"/>
        <v/>
      </c>
      <c r="O111" s="229" t="str">
        <f t="shared" ca="1" si="38"/>
        <v/>
      </c>
      <c r="P111" s="229" t="str">
        <f t="shared" ca="1" si="38"/>
        <v/>
      </c>
      <c r="Q111" s="229" t="str">
        <f t="shared" ca="1" si="31"/>
        <v/>
      </c>
      <c r="R111" s="234" t="str">
        <f t="shared" ca="1" si="36"/>
        <v/>
      </c>
      <c r="S111" s="234" t="str">
        <f t="shared" ca="1" si="32"/>
        <v/>
      </c>
      <c r="T111" s="231" t="str">
        <f t="shared" ca="1" si="33"/>
        <v/>
      </c>
      <c r="U111" s="234" t="str">
        <f ca="1">IF(T111="","",CleaningSheet!AH119)</f>
        <v/>
      </c>
      <c r="V111" t="str">
        <f t="shared" ca="1" si="34"/>
        <v/>
      </c>
      <c r="W111" s="229" t="str">
        <f t="shared" ca="1" si="35"/>
        <v/>
      </c>
    </row>
    <row r="112" spans="3:23" x14ac:dyDescent="0.2">
      <c r="C112" t="str">
        <f>IF($A$1&lt;COUNTIF($C$5:C111,"&lt;&gt;"),"",COUNTIF($C$5:C111,"&lt;&gt;"))</f>
        <v/>
      </c>
      <c r="D112" t="str">
        <f t="shared" ca="1" si="37"/>
        <v/>
      </c>
      <c r="E112" t="str">
        <f t="shared" ca="1" si="37"/>
        <v/>
      </c>
      <c r="F112" t="str">
        <f t="shared" ca="1" si="37"/>
        <v/>
      </c>
      <c r="G112" t="str">
        <f t="shared" ca="1" si="37"/>
        <v/>
      </c>
      <c r="H112" t="str">
        <f t="shared" ca="1" si="37"/>
        <v/>
      </c>
      <c r="I112" t="str">
        <f t="shared" ca="1" si="37"/>
        <v/>
      </c>
      <c r="J112" s="229" t="str">
        <f t="shared" ca="1" si="27"/>
        <v/>
      </c>
      <c r="K112" s="229" t="str">
        <f t="shared" ca="1" si="28"/>
        <v/>
      </c>
      <c r="L112" s="229" t="str">
        <f t="shared" ca="1" si="29"/>
        <v/>
      </c>
      <c r="M112" s="229" t="str">
        <f t="shared" ca="1" si="38"/>
        <v/>
      </c>
      <c r="N112" s="229" t="str">
        <f t="shared" ca="1" si="38"/>
        <v/>
      </c>
      <c r="O112" s="229" t="str">
        <f t="shared" ca="1" si="38"/>
        <v/>
      </c>
      <c r="P112" s="229" t="str">
        <f t="shared" ca="1" si="38"/>
        <v/>
      </c>
      <c r="Q112" s="229" t="str">
        <f t="shared" ca="1" si="31"/>
        <v/>
      </c>
      <c r="R112" s="234" t="str">
        <f t="shared" ca="1" si="36"/>
        <v/>
      </c>
      <c r="S112" s="234" t="str">
        <f t="shared" ca="1" si="32"/>
        <v/>
      </c>
      <c r="T112" s="231" t="str">
        <f t="shared" ca="1" si="33"/>
        <v/>
      </c>
      <c r="U112" s="234" t="str">
        <f ca="1">IF(T112="","",CleaningSheet!AH120)</f>
        <v/>
      </c>
      <c r="V112" t="str">
        <f t="shared" ca="1" si="34"/>
        <v/>
      </c>
      <c r="W112" s="229" t="str">
        <f t="shared" ca="1" si="35"/>
        <v/>
      </c>
    </row>
    <row r="113" spans="3:23" x14ac:dyDescent="0.2">
      <c r="C113" t="str">
        <f>IF($A$1&lt;COUNTIF($C$5:C112,"&lt;&gt;"),"",COUNTIF($C$5:C112,"&lt;&gt;"))</f>
        <v/>
      </c>
      <c r="D113" t="str">
        <f t="shared" ca="1" si="37"/>
        <v/>
      </c>
      <c r="E113" t="str">
        <f t="shared" ca="1" si="37"/>
        <v/>
      </c>
      <c r="F113" t="str">
        <f t="shared" ca="1" si="37"/>
        <v/>
      </c>
      <c r="G113" t="str">
        <f t="shared" ca="1" si="37"/>
        <v/>
      </c>
      <c r="H113" t="str">
        <f t="shared" ca="1" si="37"/>
        <v/>
      </c>
      <c r="I113" t="str">
        <f t="shared" ca="1" si="37"/>
        <v/>
      </c>
      <c r="J113" s="229" t="str">
        <f t="shared" ca="1" si="27"/>
        <v/>
      </c>
      <c r="K113" s="229" t="str">
        <f t="shared" ca="1" si="28"/>
        <v/>
      </c>
      <c r="L113" s="229" t="str">
        <f t="shared" ca="1" si="29"/>
        <v/>
      </c>
      <c r="M113" s="229" t="str">
        <f t="shared" ca="1" si="38"/>
        <v/>
      </c>
      <c r="N113" s="229" t="str">
        <f t="shared" ca="1" si="38"/>
        <v/>
      </c>
      <c r="O113" s="229" t="str">
        <f t="shared" ca="1" si="38"/>
        <v/>
      </c>
      <c r="P113" s="229" t="str">
        <f t="shared" ca="1" si="38"/>
        <v/>
      </c>
      <c r="Q113" s="229" t="str">
        <f t="shared" ca="1" si="31"/>
        <v/>
      </c>
      <c r="R113" s="234" t="str">
        <f t="shared" ca="1" si="36"/>
        <v/>
      </c>
      <c r="S113" s="234" t="str">
        <f t="shared" ca="1" si="32"/>
        <v/>
      </c>
      <c r="T113" s="231" t="str">
        <f t="shared" ca="1" si="33"/>
        <v/>
      </c>
      <c r="U113" s="234" t="str">
        <f ca="1">IF(T113="","",CleaningSheet!AH121)</f>
        <v/>
      </c>
      <c r="V113" t="str">
        <f t="shared" ca="1" si="34"/>
        <v/>
      </c>
      <c r="W113" s="229" t="str">
        <f t="shared" ca="1" si="35"/>
        <v/>
      </c>
    </row>
    <row r="114" spans="3:23" x14ac:dyDescent="0.2">
      <c r="C114" t="str">
        <f>IF($A$1&lt;COUNTIF($C$5:C113,"&lt;&gt;"),"",COUNTIF($C$5:C113,"&lt;&gt;"))</f>
        <v/>
      </c>
      <c r="D114" t="str">
        <f t="shared" ca="1" si="37"/>
        <v/>
      </c>
      <c r="E114" t="str">
        <f t="shared" ca="1" si="37"/>
        <v/>
      </c>
      <c r="F114" t="str">
        <f t="shared" ca="1" si="37"/>
        <v/>
      </c>
      <c r="G114" t="str">
        <f t="shared" ca="1" si="37"/>
        <v/>
      </c>
      <c r="H114" t="str">
        <f t="shared" ca="1" si="37"/>
        <v/>
      </c>
      <c r="I114" t="str">
        <f t="shared" ca="1" si="37"/>
        <v/>
      </c>
      <c r="J114" s="229" t="str">
        <f t="shared" ca="1" si="27"/>
        <v/>
      </c>
      <c r="K114" s="229" t="str">
        <f t="shared" ca="1" si="28"/>
        <v/>
      </c>
      <c r="L114" s="229" t="str">
        <f t="shared" ca="1" si="29"/>
        <v/>
      </c>
      <c r="M114" s="229" t="str">
        <f t="shared" ca="1" si="38"/>
        <v/>
      </c>
      <c r="N114" s="229" t="str">
        <f t="shared" ca="1" si="38"/>
        <v/>
      </c>
      <c r="O114" s="229" t="str">
        <f t="shared" ca="1" si="38"/>
        <v/>
      </c>
      <c r="P114" s="229" t="str">
        <f t="shared" ca="1" si="38"/>
        <v/>
      </c>
      <c r="Q114" s="229" t="str">
        <f t="shared" ca="1" si="31"/>
        <v/>
      </c>
      <c r="R114" s="234" t="str">
        <f t="shared" ca="1" si="36"/>
        <v/>
      </c>
      <c r="S114" s="234" t="str">
        <f t="shared" ca="1" si="32"/>
        <v/>
      </c>
      <c r="T114" s="231" t="str">
        <f t="shared" ca="1" si="33"/>
        <v/>
      </c>
      <c r="U114" s="234" t="str">
        <f ca="1">IF(T114="","",CleaningSheet!AH122)</f>
        <v/>
      </c>
      <c r="V114" t="str">
        <f t="shared" ca="1" si="34"/>
        <v/>
      </c>
      <c r="W114" s="229" t="str">
        <f t="shared" ca="1" si="35"/>
        <v/>
      </c>
    </row>
    <row r="115" spans="3:23" x14ac:dyDescent="0.2">
      <c r="C115" t="str">
        <f>IF($A$1&lt;COUNTIF($C$5:C114,"&lt;&gt;"),"",COUNTIF($C$5:C114,"&lt;&gt;"))</f>
        <v/>
      </c>
      <c r="D115" t="str">
        <f t="shared" ca="1" si="37"/>
        <v/>
      </c>
      <c r="E115" t="str">
        <f t="shared" ca="1" si="37"/>
        <v/>
      </c>
      <c r="F115" t="str">
        <f t="shared" ca="1" si="37"/>
        <v/>
      </c>
      <c r="G115" t="str">
        <f t="shared" ca="1" si="37"/>
        <v/>
      </c>
      <c r="H115" t="str">
        <f t="shared" ca="1" si="37"/>
        <v/>
      </c>
      <c r="I115" t="str">
        <f t="shared" ca="1" si="37"/>
        <v/>
      </c>
      <c r="J115" s="229" t="str">
        <f t="shared" ca="1" si="27"/>
        <v/>
      </c>
      <c r="K115" s="229" t="str">
        <f t="shared" ca="1" si="28"/>
        <v/>
      </c>
      <c r="L115" s="229" t="str">
        <f t="shared" ca="1" si="29"/>
        <v/>
      </c>
      <c r="M115" s="229" t="str">
        <f t="shared" ca="1" si="38"/>
        <v/>
      </c>
      <c r="N115" s="229" t="str">
        <f t="shared" ca="1" si="38"/>
        <v/>
      </c>
      <c r="O115" s="229" t="str">
        <f t="shared" ca="1" si="38"/>
        <v/>
      </c>
      <c r="P115" s="229" t="str">
        <f t="shared" ca="1" si="38"/>
        <v/>
      </c>
      <c r="Q115" s="229" t="str">
        <f t="shared" ca="1" si="31"/>
        <v/>
      </c>
      <c r="R115" s="234" t="str">
        <f t="shared" ca="1" si="36"/>
        <v/>
      </c>
      <c r="S115" s="234" t="str">
        <f t="shared" ca="1" si="32"/>
        <v/>
      </c>
      <c r="T115" s="231" t="str">
        <f t="shared" ca="1" si="33"/>
        <v/>
      </c>
      <c r="U115" s="234" t="str">
        <f ca="1">IF(T115="","",CleaningSheet!AH123)</f>
        <v/>
      </c>
      <c r="V115" t="str">
        <f t="shared" ca="1" si="34"/>
        <v/>
      </c>
      <c r="W115" s="229" t="str">
        <f t="shared" ca="1" si="35"/>
        <v/>
      </c>
    </row>
    <row r="116" spans="3:23" x14ac:dyDescent="0.2">
      <c r="C116" t="str">
        <f>IF($A$1&lt;COUNTIF($C$5:C115,"&lt;&gt;"),"",COUNTIF($C$5:C115,"&lt;&gt;"))</f>
        <v/>
      </c>
      <c r="D116" t="str">
        <f t="shared" ca="1" si="37"/>
        <v/>
      </c>
      <c r="E116" t="str">
        <f t="shared" ca="1" si="37"/>
        <v/>
      </c>
      <c r="F116" t="str">
        <f t="shared" ca="1" si="37"/>
        <v/>
      </c>
      <c r="G116" t="str">
        <f t="shared" ca="1" si="37"/>
        <v/>
      </c>
      <c r="H116" t="str">
        <f t="shared" ca="1" si="37"/>
        <v/>
      </c>
      <c r="I116" t="str">
        <f t="shared" ca="1" si="37"/>
        <v/>
      </c>
      <c r="J116" s="229" t="str">
        <f t="shared" ca="1" si="27"/>
        <v/>
      </c>
      <c r="K116" s="229" t="str">
        <f t="shared" ca="1" si="28"/>
        <v/>
      </c>
      <c r="L116" s="229" t="str">
        <f t="shared" ca="1" si="29"/>
        <v/>
      </c>
      <c r="M116" s="229" t="str">
        <f t="shared" ca="1" si="38"/>
        <v/>
      </c>
      <c r="N116" s="229" t="str">
        <f t="shared" ca="1" si="38"/>
        <v/>
      </c>
      <c r="O116" s="229" t="str">
        <f t="shared" ca="1" si="38"/>
        <v/>
      </c>
      <c r="P116" s="229" t="str">
        <f t="shared" ca="1" si="38"/>
        <v/>
      </c>
      <c r="Q116" s="229" t="str">
        <f t="shared" ca="1" si="31"/>
        <v/>
      </c>
      <c r="R116" s="234" t="str">
        <f t="shared" ca="1" si="36"/>
        <v/>
      </c>
      <c r="S116" s="234" t="str">
        <f t="shared" ca="1" si="32"/>
        <v/>
      </c>
      <c r="T116" s="231" t="str">
        <f t="shared" ca="1" si="33"/>
        <v/>
      </c>
      <c r="U116" s="234" t="str">
        <f ca="1">IF(T116="","",CleaningSheet!AH124)</f>
        <v/>
      </c>
      <c r="V116" t="str">
        <f t="shared" ca="1" si="34"/>
        <v/>
      </c>
      <c r="W116" s="229" t="str">
        <f t="shared" ca="1" si="35"/>
        <v/>
      </c>
    </row>
    <row r="117" spans="3:23" x14ac:dyDescent="0.2">
      <c r="C117" t="str">
        <f>IF($A$1&lt;COUNTIF($C$5:C116,"&lt;&gt;"),"",COUNTIF($C$5:C116,"&lt;&gt;"))</f>
        <v/>
      </c>
      <c r="D117" t="str">
        <f t="shared" ca="1" si="37"/>
        <v/>
      </c>
      <c r="E117" t="str">
        <f t="shared" ca="1" si="37"/>
        <v/>
      </c>
      <c r="F117" t="str">
        <f t="shared" ca="1" si="37"/>
        <v/>
      </c>
      <c r="G117" t="str">
        <f t="shared" ca="1" si="37"/>
        <v/>
      </c>
      <c r="H117" t="str">
        <f t="shared" ca="1" si="37"/>
        <v/>
      </c>
      <c r="I117" t="str">
        <f t="shared" ca="1" si="37"/>
        <v/>
      </c>
      <c r="J117" s="229" t="str">
        <f t="shared" ca="1" si="27"/>
        <v/>
      </c>
      <c r="K117" s="229" t="str">
        <f t="shared" ca="1" si="28"/>
        <v/>
      </c>
      <c r="L117" s="229" t="str">
        <f t="shared" ca="1" si="29"/>
        <v/>
      </c>
      <c r="M117" s="229" t="str">
        <f t="shared" ca="1" si="38"/>
        <v/>
      </c>
      <c r="N117" s="229" t="str">
        <f t="shared" ca="1" si="38"/>
        <v/>
      </c>
      <c r="O117" s="229" t="str">
        <f t="shared" ca="1" si="38"/>
        <v/>
      </c>
      <c r="P117" s="229" t="str">
        <f t="shared" ca="1" si="38"/>
        <v/>
      </c>
      <c r="Q117" s="229" t="str">
        <f t="shared" ca="1" si="31"/>
        <v/>
      </c>
      <c r="R117" s="234" t="str">
        <f t="shared" ca="1" si="36"/>
        <v/>
      </c>
      <c r="S117" s="234" t="str">
        <f t="shared" ca="1" si="32"/>
        <v/>
      </c>
      <c r="T117" s="231" t="str">
        <f t="shared" ca="1" si="33"/>
        <v/>
      </c>
      <c r="U117" s="234" t="str">
        <f ca="1">IF(T117="","",CleaningSheet!AH125)</f>
        <v/>
      </c>
      <c r="V117" t="str">
        <f t="shared" ca="1" si="34"/>
        <v/>
      </c>
      <c r="W117" s="229" t="str">
        <f t="shared" ca="1" si="35"/>
        <v/>
      </c>
    </row>
    <row r="118" spans="3:23" x14ac:dyDescent="0.2">
      <c r="C118" t="str">
        <f>IF($A$1&lt;COUNTIF($C$5:C117,"&lt;&gt;"),"",COUNTIF($C$5:C117,"&lt;&gt;"))</f>
        <v/>
      </c>
      <c r="D118" t="str">
        <f t="shared" ca="1" si="37"/>
        <v/>
      </c>
      <c r="E118" t="str">
        <f t="shared" ca="1" si="37"/>
        <v/>
      </c>
      <c r="F118" t="str">
        <f t="shared" ca="1" si="37"/>
        <v/>
      </c>
      <c r="G118" t="str">
        <f t="shared" ca="1" si="37"/>
        <v/>
      </c>
      <c r="H118" t="str">
        <f t="shared" ca="1" si="37"/>
        <v/>
      </c>
      <c r="I118" t="str">
        <f t="shared" ca="1" si="37"/>
        <v/>
      </c>
      <c r="J118" s="229" t="str">
        <f t="shared" ca="1" si="27"/>
        <v/>
      </c>
      <c r="K118" s="229" t="str">
        <f t="shared" ca="1" si="28"/>
        <v/>
      </c>
      <c r="L118" s="229" t="str">
        <f t="shared" ca="1" si="29"/>
        <v/>
      </c>
      <c r="M118" s="229" t="str">
        <f t="shared" ca="1" si="38"/>
        <v/>
      </c>
      <c r="N118" s="229" t="str">
        <f t="shared" ca="1" si="38"/>
        <v/>
      </c>
      <c r="O118" s="229" t="str">
        <f t="shared" ca="1" si="38"/>
        <v/>
      </c>
      <c r="P118" s="229" t="str">
        <f t="shared" ca="1" si="38"/>
        <v/>
      </c>
      <c r="Q118" s="229" t="str">
        <f t="shared" ca="1" si="31"/>
        <v/>
      </c>
      <c r="R118" s="234" t="str">
        <f t="shared" ca="1" si="36"/>
        <v/>
      </c>
      <c r="S118" s="234" t="str">
        <f t="shared" ca="1" si="32"/>
        <v/>
      </c>
      <c r="T118" s="231" t="str">
        <f t="shared" ca="1" si="33"/>
        <v/>
      </c>
      <c r="U118" s="234" t="str">
        <f ca="1">IF(T118="","",CleaningSheet!AH126)</f>
        <v/>
      </c>
      <c r="V118" t="str">
        <f t="shared" ca="1" si="34"/>
        <v/>
      </c>
      <c r="W118" s="229" t="str">
        <f t="shared" ca="1" si="35"/>
        <v/>
      </c>
    </row>
    <row r="119" spans="3:23" x14ac:dyDescent="0.2">
      <c r="C119" t="str">
        <f>IF($A$1&lt;COUNTIF($C$5:C118,"&lt;&gt;"),"",COUNTIF($C$5:C118,"&lt;&gt;"))</f>
        <v/>
      </c>
      <c r="D119" t="str">
        <f t="shared" ca="1" si="37"/>
        <v/>
      </c>
      <c r="E119" t="str">
        <f t="shared" ca="1" si="37"/>
        <v/>
      </c>
      <c r="F119" t="str">
        <f t="shared" ca="1" si="37"/>
        <v/>
      </c>
      <c r="G119" t="str">
        <f t="shared" ca="1" si="37"/>
        <v/>
      </c>
      <c r="H119" t="str">
        <f t="shared" ca="1" si="37"/>
        <v/>
      </c>
      <c r="I119" t="str">
        <f t="shared" ca="1" si="37"/>
        <v/>
      </c>
      <c r="J119" s="229" t="str">
        <f t="shared" ca="1" si="27"/>
        <v/>
      </c>
      <c r="K119" s="229" t="str">
        <f t="shared" ca="1" si="28"/>
        <v/>
      </c>
      <c r="L119" s="229" t="str">
        <f t="shared" ca="1" si="29"/>
        <v/>
      </c>
      <c r="M119" s="229" t="str">
        <f t="shared" ca="1" si="38"/>
        <v/>
      </c>
      <c r="N119" s="229" t="str">
        <f t="shared" ca="1" si="38"/>
        <v/>
      </c>
      <c r="O119" s="229" t="str">
        <f t="shared" ca="1" si="38"/>
        <v/>
      </c>
      <c r="P119" s="229" t="str">
        <f t="shared" ca="1" si="38"/>
        <v/>
      </c>
      <c r="Q119" s="229" t="str">
        <f t="shared" ca="1" si="31"/>
        <v/>
      </c>
      <c r="R119" s="234" t="str">
        <f t="shared" ca="1" si="36"/>
        <v/>
      </c>
      <c r="S119" s="234" t="str">
        <f t="shared" ca="1" si="32"/>
        <v/>
      </c>
      <c r="T119" s="231" t="str">
        <f t="shared" ca="1" si="33"/>
        <v/>
      </c>
      <c r="U119" s="234" t="str">
        <f ca="1">IF(T119="","",CleaningSheet!AH127)</f>
        <v/>
      </c>
      <c r="V119" t="str">
        <f t="shared" ca="1" si="34"/>
        <v/>
      </c>
      <c r="W119" s="229" t="str">
        <f t="shared" ca="1" si="35"/>
        <v/>
      </c>
    </row>
    <row r="120" spans="3:23" x14ac:dyDescent="0.2">
      <c r="C120" t="str">
        <f>IF($A$1&lt;COUNTIF($C$5:C119,"&lt;&gt;"),"",COUNTIF($C$5:C119,"&lt;&gt;"))</f>
        <v/>
      </c>
      <c r="D120" t="str">
        <f t="shared" ca="1" si="37"/>
        <v/>
      </c>
      <c r="E120" t="str">
        <f t="shared" ca="1" si="37"/>
        <v/>
      </c>
      <c r="F120" t="str">
        <f t="shared" ca="1" si="37"/>
        <v/>
      </c>
      <c r="G120" t="str">
        <f t="shared" ca="1" si="37"/>
        <v/>
      </c>
      <c r="H120" t="str">
        <f t="shared" ca="1" si="37"/>
        <v/>
      </c>
      <c r="I120" t="str">
        <f t="shared" ca="1" si="37"/>
        <v/>
      </c>
      <c r="J120" s="229" t="str">
        <f t="shared" ca="1" si="27"/>
        <v/>
      </c>
      <c r="K120" s="229" t="str">
        <f t="shared" ca="1" si="28"/>
        <v/>
      </c>
      <c r="L120" s="229" t="str">
        <f t="shared" ca="1" si="29"/>
        <v/>
      </c>
      <c r="M120" s="229" t="str">
        <f t="shared" ca="1" si="38"/>
        <v/>
      </c>
      <c r="N120" s="229" t="str">
        <f t="shared" ca="1" si="38"/>
        <v/>
      </c>
      <c r="O120" s="229" t="str">
        <f t="shared" ca="1" si="38"/>
        <v/>
      </c>
      <c r="P120" s="229" t="str">
        <f t="shared" ca="1" si="38"/>
        <v/>
      </c>
      <c r="Q120" s="229" t="str">
        <f t="shared" ca="1" si="31"/>
        <v/>
      </c>
      <c r="R120" s="234" t="str">
        <f t="shared" ca="1" si="36"/>
        <v/>
      </c>
      <c r="S120" s="234" t="str">
        <f t="shared" ca="1" si="32"/>
        <v/>
      </c>
      <c r="T120" s="231" t="str">
        <f t="shared" ca="1" si="33"/>
        <v/>
      </c>
      <c r="U120" s="234" t="str">
        <f ca="1">IF(T120="","",CleaningSheet!AH128)</f>
        <v/>
      </c>
      <c r="V120" t="str">
        <f t="shared" ca="1" si="34"/>
        <v/>
      </c>
      <c r="W120" s="229" t="str">
        <f t="shared" ca="1" si="35"/>
        <v/>
      </c>
    </row>
    <row r="121" spans="3:23" x14ac:dyDescent="0.2">
      <c r="C121" t="str">
        <f>IF($A$1&lt;COUNTIF($C$5:C120,"&lt;&gt;"),"",COUNTIF($C$5:C120,"&lt;&gt;"))</f>
        <v/>
      </c>
      <c r="D121" t="str">
        <f t="shared" ca="1" si="37"/>
        <v/>
      </c>
      <c r="E121" t="str">
        <f t="shared" ca="1" si="37"/>
        <v/>
      </c>
      <c r="F121" t="str">
        <f t="shared" ca="1" si="37"/>
        <v/>
      </c>
      <c r="G121" t="str">
        <f t="shared" ca="1" si="37"/>
        <v/>
      </c>
      <c r="H121" t="str">
        <f t="shared" ca="1" si="37"/>
        <v/>
      </c>
      <c r="I121" t="str">
        <f t="shared" ca="1" si="37"/>
        <v/>
      </c>
      <c r="J121" s="229" t="str">
        <f t="shared" ca="1" si="27"/>
        <v/>
      </c>
      <c r="K121" s="229" t="str">
        <f t="shared" ca="1" si="28"/>
        <v/>
      </c>
      <c r="L121" s="229" t="str">
        <f t="shared" ca="1" si="29"/>
        <v/>
      </c>
      <c r="M121" s="229" t="str">
        <f t="shared" ca="1" si="38"/>
        <v/>
      </c>
      <c r="N121" s="229" t="str">
        <f t="shared" ca="1" si="38"/>
        <v/>
      </c>
      <c r="O121" s="229" t="str">
        <f t="shared" ca="1" si="38"/>
        <v/>
      </c>
      <c r="P121" s="229" t="str">
        <f t="shared" ca="1" si="38"/>
        <v/>
      </c>
      <c r="Q121" s="229" t="str">
        <f t="shared" ca="1" si="31"/>
        <v/>
      </c>
      <c r="R121" s="234" t="str">
        <f t="shared" ca="1" si="36"/>
        <v/>
      </c>
      <c r="S121" s="234" t="str">
        <f t="shared" ca="1" si="32"/>
        <v/>
      </c>
      <c r="T121" s="231" t="str">
        <f t="shared" ca="1" si="33"/>
        <v/>
      </c>
      <c r="U121" s="234" t="str">
        <f ca="1">IF(T121="","",CleaningSheet!AH129)</f>
        <v/>
      </c>
      <c r="V121" t="str">
        <f t="shared" ca="1" si="34"/>
        <v/>
      </c>
      <c r="W121" s="229" t="str">
        <f t="shared" ca="1" si="35"/>
        <v/>
      </c>
    </row>
    <row r="122" spans="3:23" x14ac:dyDescent="0.2">
      <c r="C122" t="str">
        <f>IF($A$1&lt;COUNTIF($C$5:C121,"&lt;&gt;"),"",COUNTIF($C$5:C121,"&lt;&gt;"))</f>
        <v/>
      </c>
      <c r="D122" t="str">
        <f t="shared" ca="1" si="37"/>
        <v/>
      </c>
      <c r="E122" t="str">
        <f t="shared" ca="1" si="37"/>
        <v/>
      </c>
      <c r="F122" t="str">
        <f t="shared" ca="1" si="37"/>
        <v/>
      </c>
      <c r="G122" t="str">
        <f t="shared" ca="1" si="37"/>
        <v/>
      </c>
      <c r="H122" t="str">
        <f t="shared" ca="1" si="37"/>
        <v/>
      </c>
      <c r="I122" t="str">
        <f t="shared" ca="1" si="37"/>
        <v/>
      </c>
      <c r="J122" s="229" t="str">
        <f t="shared" ca="1" si="27"/>
        <v/>
      </c>
      <c r="K122" s="229" t="str">
        <f t="shared" ca="1" si="28"/>
        <v/>
      </c>
      <c r="L122" s="229" t="str">
        <f t="shared" ca="1" si="29"/>
        <v/>
      </c>
      <c r="M122" s="229" t="str">
        <f t="shared" ca="1" si="38"/>
        <v/>
      </c>
      <c r="N122" s="229" t="str">
        <f t="shared" ca="1" si="38"/>
        <v/>
      </c>
      <c r="O122" s="229" t="str">
        <f t="shared" ca="1" si="38"/>
        <v/>
      </c>
      <c r="P122" s="229" t="str">
        <f t="shared" ca="1" si="38"/>
        <v/>
      </c>
      <c r="Q122" s="229" t="str">
        <f t="shared" ca="1" si="31"/>
        <v/>
      </c>
      <c r="R122" s="234" t="str">
        <f t="shared" ca="1" si="36"/>
        <v/>
      </c>
      <c r="S122" s="234" t="str">
        <f t="shared" ca="1" si="32"/>
        <v/>
      </c>
      <c r="T122" s="231" t="str">
        <f t="shared" ca="1" si="33"/>
        <v/>
      </c>
      <c r="U122" s="234" t="str">
        <f ca="1">IF(T122="","",CleaningSheet!AH130)</f>
        <v/>
      </c>
      <c r="V122" t="str">
        <f t="shared" ca="1" si="34"/>
        <v/>
      </c>
      <c r="W122" s="229" t="str">
        <f t="shared" ca="1" si="35"/>
        <v/>
      </c>
    </row>
    <row r="123" spans="3:23" x14ac:dyDescent="0.2">
      <c r="C123" t="str">
        <f>IF($A$1&lt;COUNTIF($C$5:C122,"&lt;&gt;"),"",COUNTIF($C$5:C122,"&lt;&gt;"))</f>
        <v/>
      </c>
      <c r="D123" t="str">
        <f t="shared" ca="1" si="37"/>
        <v/>
      </c>
      <c r="E123" t="str">
        <f t="shared" ca="1" si="37"/>
        <v/>
      </c>
      <c r="F123" t="str">
        <f t="shared" ca="1" si="37"/>
        <v/>
      </c>
      <c r="G123" t="str">
        <f t="shared" ca="1" si="37"/>
        <v/>
      </c>
      <c r="H123" t="str">
        <f t="shared" ca="1" si="37"/>
        <v/>
      </c>
      <c r="I123" t="str">
        <f t="shared" ca="1" si="37"/>
        <v/>
      </c>
      <c r="J123" s="229" t="str">
        <f t="shared" ca="1" si="27"/>
        <v/>
      </c>
      <c r="K123" s="229" t="str">
        <f t="shared" ca="1" si="28"/>
        <v/>
      </c>
      <c r="L123" s="229" t="str">
        <f t="shared" ca="1" si="29"/>
        <v/>
      </c>
      <c r="M123" s="229" t="str">
        <f t="shared" ca="1" si="38"/>
        <v/>
      </c>
      <c r="N123" s="229" t="str">
        <f t="shared" ca="1" si="38"/>
        <v/>
      </c>
      <c r="O123" s="229" t="str">
        <f t="shared" ca="1" si="38"/>
        <v/>
      </c>
      <c r="P123" s="229" t="str">
        <f t="shared" ca="1" si="38"/>
        <v/>
      </c>
      <c r="Q123" s="229" t="str">
        <f t="shared" ca="1" si="31"/>
        <v/>
      </c>
      <c r="R123" s="234" t="str">
        <f t="shared" ca="1" si="36"/>
        <v/>
      </c>
      <c r="S123" s="234" t="str">
        <f t="shared" ca="1" si="32"/>
        <v/>
      </c>
      <c r="T123" s="231" t="str">
        <f t="shared" ca="1" si="33"/>
        <v/>
      </c>
      <c r="U123" s="234" t="str">
        <f ca="1">IF(T123="","",CleaningSheet!AH131)</f>
        <v/>
      </c>
      <c r="V123" t="str">
        <f t="shared" ca="1" si="34"/>
        <v/>
      </c>
      <c r="W123" s="229" t="str">
        <f t="shared" ca="1" si="35"/>
        <v/>
      </c>
    </row>
    <row r="124" spans="3:23" x14ac:dyDescent="0.2">
      <c r="C124" t="str">
        <f>IF($A$1&lt;COUNTIF($C$5:C123,"&lt;&gt;"),"",COUNTIF($C$5:C123,"&lt;&gt;"))</f>
        <v/>
      </c>
      <c r="D124" t="str">
        <f t="shared" ca="1" si="37"/>
        <v/>
      </c>
      <c r="E124" t="str">
        <f t="shared" ca="1" si="37"/>
        <v/>
      </c>
      <c r="F124" t="str">
        <f t="shared" ca="1" si="37"/>
        <v/>
      </c>
      <c r="G124" t="str">
        <f t="shared" ca="1" si="37"/>
        <v/>
      </c>
      <c r="H124" t="str">
        <f t="shared" ca="1" si="37"/>
        <v/>
      </c>
      <c r="I124" t="str">
        <f t="shared" ca="1" si="37"/>
        <v/>
      </c>
      <c r="J124" s="229" t="str">
        <f t="shared" ca="1" si="27"/>
        <v/>
      </c>
      <c r="K124" s="229" t="str">
        <f t="shared" ca="1" si="28"/>
        <v/>
      </c>
      <c r="L124" s="229" t="str">
        <f t="shared" ca="1" si="29"/>
        <v/>
      </c>
      <c r="M124" s="229" t="str">
        <f t="shared" ca="1" si="38"/>
        <v/>
      </c>
      <c r="N124" s="229" t="str">
        <f t="shared" ca="1" si="38"/>
        <v/>
      </c>
      <c r="O124" s="229" t="str">
        <f t="shared" ca="1" si="38"/>
        <v/>
      </c>
      <c r="P124" s="229" t="str">
        <f t="shared" ca="1" si="38"/>
        <v/>
      </c>
      <c r="Q124" s="229" t="str">
        <f t="shared" ca="1" si="31"/>
        <v/>
      </c>
      <c r="R124" s="234" t="str">
        <f t="shared" ca="1" si="36"/>
        <v/>
      </c>
      <c r="S124" s="234" t="str">
        <f t="shared" ca="1" si="32"/>
        <v/>
      </c>
      <c r="T124" s="231" t="str">
        <f t="shared" ca="1" si="33"/>
        <v/>
      </c>
      <c r="U124" s="234" t="str">
        <f ca="1">IF(T124="","",CleaningSheet!AH132)</f>
        <v/>
      </c>
      <c r="V124" t="str">
        <f t="shared" ca="1" si="34"/>
        <v/>
      </c>
      <c r="W124" s="229" t="str">
        <f t="shared" ca="1" si="35"/>
        <v/>
      </c>
    </row>
    <row r="125" spans="3:23" x14ac:dyDescent="0.2">
      <c r="C125" t="str">
        <f>IF($A$1&lt;COUNTIF($C$5:C124,"&lt;&gt;"),"",COUNTIF($C$5:C124,"&lt;&gt;"))</f>
        <v/>
      </c>
      <c r="D125" t="str">
        <f t="shared" ca="1" si="37"/>
        <v/>
      </c>
      <c r="E125" t="str">
        <f t="shared" ca="1" si="37"/>
        <v/>
      </c>
      <c r="F125" t="str">
        <f t="shared" ca="1" si="37"/>
        <v/>
      </c>
      <c r="G125" t="str">
        <f t="shared" ca="1" si="37"/>
        <v/>
      </c>
      <c r="H125" t="str">
        <f t="shared" ca="1" si="37"/>
        <v/>
      </c>
      <c r="I125" t="str">
        <f t="shared" ca="1" si="37"/>
        <v/>
      </c>
      <c r="J125" s="229" t="str">
        <f t="shared" ca="1" si="27"/>
        <v/>
      </c>
      <c r="K125" s="229" t="str">
        <f t="shared" ca="1" si="28"/>
        <v/>
      </c>
      <c r="L125" s="229" t="str">
        <f t="shared" ca="1" si="29"/>
        <v/>
      </c>
      <c r="M125" s="229" t="str">
        <f t="shared" ca="1" si="38"/>
        <v/>
      </c>
      <c r="N125" s="229" t="str">
        <f t="shared" ca="1" si="38"/>
        <v/>
      </c>
      <c r="O125" s="229" t="str">
        <f t="shared" ca="1" si="38"/>
        <v/>
      </c>
      <c r="P125" s="229" t="str">
        <f t="shared" ca="1" si="38"/>
        <v/>
      </c>
      <c r="Q125" s="229" t="str">
        <f t="shared" ca="1" si="31"/>
        <v/>
      </c>
      <c r="R125" s="234" t="str">
        <f t="shared" ca="1" si="36"/>
        <v/>
      </c>
      <c r="S125" s="234" t="str">
        <f t="shared" ca="1" si="32"/>
        <v/>
      </c>
      <c r="T125" s="231" t="str">
        <f t="shared" ca="1" si="33"/>
        <v/>
      </c>
      <c r="U125" s="234" t="str">
        <f ca="1">IF(T125="","",CleaningSheet!AH133)</f>
        <v/>
      </c>
      <c r="V125" t="str">
        <f t="shared" ca="1" si="34"/>
        <v/>
      </c>
      <c r="W125" s="229" t="str">
        <f t="shared" ca="1" si="35"/>
        <v/>
      </c>
    </row>
    <row r="126" spans="3:23" x14ac:dyDescent="0.2">
      <c r="C126" t="str">
        <f>IF($A$1&lt;COUNTIF($C$5:C125,"&lt;&gt;"),"",COUNTIF($C$5:C125,"&lt;&gt;"))</f>
        <v/>
      </c>
      <c r="D126" t="str">
        <f t="shared" ca="1" si="37"/>
        <v/>
      </c>
      <c r="E126" t="str">
        <f t="shared" ca="1" si="37"/>
        <v/>
      </c>
      <c r="F126" t="str">
        <f t="shared" ca="1" si="37"/>
        <v/>
      </c>
      <c r="G126" t="str">
        <f t="shared" ca="1" si="37"/>
        <v/>
      </c>
      <c r="H126" t="str">
        <f t="shared" ca="1" si="37"/>
        <v/>
      </c>
      <c r="I126" t="str">
        <f t="shared" ca="1" si="37"/>
        <v/>
      </c>
      <c r="J126" s="229" t="str">
        <f t="shared" ca="1" si="27"/>
        <v/>
      </c>
      <c r="K126" s="229" t="str">
        <f t="shared" ca="1" si="28"/>
        <v/>
      </c>
      <c r="L126" s="229" t="str">
        <f t="shared" ca="1" si="29"/>
        <v/>
      </c>
      <c r="M126" s="229" t="str">
        <f t="shared" ca="1" si="38"/>
        <v/>
      </c>
      <c r="N126" s="229" t="str">
        <f t="shared" ca="1" si="38"/>
        <v/>
      </c>
      <c r="O126" s="229" t="str">
        <f t="shared" ca="1" si="38"/>
        <v/>
      </c>
      <c r="P126" s="229" t="str">
        <f t="shared" ca="1" si="38"/>
        <v/>
      </c>
      <c r="Q126" s="229" t="str">
        <f t="shared" ca="1" si="31"/>
        <v/>
      </c>
      <c r="R126" s="234" t="str">
        <f t="shared" ca="1" si="36"/>
        <v/>
      </c>
      <c r="S126" s="234" t="str">
        <f t="shared" ca="1" si="32"/>
        <v/>
      </c>
      <c r="T126" s="231" t="str">
        <f t="shared" ca="1" si="33"/>
        <v/>
      </c>
      <c r="U126" s="234" t="str">
        <f ca="1">IF(T126="","",CleaningSheet!AH134)</f>
        <v/>
      </c>
      <c r="V126" t="str">
        <f t="shared" ca="1" si="34"/>
        <v/>
      </c>
      <c r="W126" s="229" t="str">
        <f t="shared" ca="1" si="35"/>
        <v/>
      </c>
    </row>
    <row r="127" spans="3:23" x14ac:dyDescent="0.2">
      <c r="C127" t="str">
        <f>IF($A$1&lt;COUNTIF($C$5:C126,"&lt;&gt;"),"",COUNTIF($C$5:C126,"&lt;&gt;"))</f>
        <v/>
      </c>
      <c r="D127" t="str">
        <f t="shared" ca="1" si="37"/>
        <v/>
      </c>
      <c r="E127" t="str">
        <f t="shared" ca="1" si="37"/>
        <v/>
      </c>
      <c r="F127" t="str">
        <f t="shared" ca="1" si="37"/>
        <v/>
      </c>
      <c r="G127" t="str">
        <f t="shared" ca="1" si="37"/>
        <v/>
      </c>
      <c r="H127" t="str">
        <f t="shared" ca="1" si="37"/>
        <v/>
      </c>
      <c r="I127" t="str">
        <f t="shared" ca="1" si="37"/>
        <v/>
      </c>
      <c r="J127" s="229" t="str">
        <f t="shared" ca="1" si="27"/>
        <v/>
      </c>
      <c r="K127" s="229" t="str">
        <f t="shared" ca="1" si="28"/>
        <v/>
      </c>
      <c r="L127" s="229" t="str">
        <f t="shared" ca="1" si="29"/>
        <v/>
      </c>
      <c r="M127" s="229" t="str">
        <f t="shared" ca="1" si="38"/>
        <v/>
      </c>
      <c r="N127" s="229" t="str">
        <f t="shared" ca="1" si="38"/>
        <v/>
      </c>
      <c r="O127" s="229" t="str">
        <f t="shared" ca="1" si="38"/>
        <v/>
      </c>
      <c r="P127" s="229" t="str">
        <f t="shared" ca="1" si="38"/>
        <v/>
      </c>
      <c r="Q127" s="229" t="str">
        <f t="shared" ca="1" si="31"/>
        <v/>
      </c>
      <c r="R127" s="234" t="str">
        <f t="shared" ca="1" si="36"/>
        <v/>
      </c>
      <c r="S127" s="234" t="str">
        <f t="shared" ca="1" si="32"/>
        <v/>
      </c>
      <c r="T127" s="231" t="str">
        <f t="shared" ca="1" si="33"/>
        <v/>
      </c>
      <c r="U127" s="234" t="str">
        <f ca="1">IF(T127="","",CleaningSheet!AH135)</f>
        <v/>
      </c>
      <c r="V127" t="str">
        <f t="shared" ca="1" si="34"/>
        <v/>
      </c>
      <c r="W127" s="229" t="str">
        <f t="shared" ca="1" si="35"/>
        <v/>
      </c>
    </row>
    <row r="128" spans="3:23" x14ac:dyDescent="0.2">
      <c r="C128" t="str">
        <f>IF($A$1&lt;COUNTIF($C$5:C127,"&lt;&gt;"),"",COUNTIF($C$5:C127,"&lt;&gt;"))</f>
        <v/>
      </c>
      <c r="D128" t="str">
        <f t="shared" ca="1" si="37"/>
        <v/>
      </c>
      <c r="E128" t="str">
        <f t="shared" ca="1" si="37"/>
        <v/>
      </c>
      <c r="F128" t="str">
        <f t="shared" ca="1" si="37"/>
        <v/>
      </c>
      <c r="G128" t="str">
        <f t="shared" ca="1" si="37"/>
        <v/>
      </c>
      <c r="H128" t="str">
        <f t="shared" ca="1" si="37"/>
        <v/>
      </c>
      <c r="I128" t="str">
        <f t="shared" ca="1" si="37"/>
        <v/>
      </c>
      <c r="J128" s="229" t="str">
        <f t="shared" ca="1" si="27"/>
        <v/>
      </c>
      <c r="K128" s="229" t="str">
        <f t="shared" ca="1" si="28"/>
        <v/>
      </c>
      <c r="L128" s="229" t="str">
        <f t="shared" ca="1" si="29"/>
        <v/>
      </c>
      <c r="M128" s="229" t="str">
        <f t="shared" ca="1" si="38"/>
        <v/>
      </c>
      <c r="N128" s="229" t="str">
        <f t="shared" ca="1" si="38"/>
        <v/>
      </c>
      <c r="O128" s="229" t="str">
        <f t="shared" ca="1" si="38"/>
        <v/>
      </c>
      <c r="P128" s="229" t="str">
        <f t="shared" ca="1" si="38"/>
        <v/>
      </c>
      <c r="Q128" s="229" t="str">
        <f t="shared" ca="1" si="31"/>
        <v/>
      </c>
      <c r="R128" s="234" t="str">
        <f t="shared" ca="1" si="36"/>
        <v/>
      </c>
      <c r="S128" s="234" t="str">
        <f t="shared" ca="1" si="32"/>
        <v/>
      </c>
      <c r="T128" s="231" t="str">
        <f t="shared" ca="1" si="33"/>
        <v/>
      </c>
      <c r="U128" s="234" t="str">
        <f ca="1">IF(T128="","",CleaningSheet!AH136)</f>
        <v/>
      </c>
      <c r="V128" t="str">
        <f t="shared" ca="1" si="34"/>
        <v/>
      </c>
      <c r="W128" s="229" t="str">
        <f t="shared" ca="1" si="35"/>
        <v/>
      </c>
    </row>
    <row r="129" spans="3:23" x14ac:dyDescent="0.2">
      <c r="C129" t="str">
        <f>IF($A$1&lt;COUNTIF($C$5:C128,"&lt;&gt;"),"",COUNTIF($C$5:C128,"&lt;&gt;"))</f>
        <v/>
      </c>
      <c r="D129" t="str">
        <f t="shared" ca="1" si="37"/>
        <v/>
      </c>
      <c r="E129" t="str">
        <f t="shared" ca="1" si="37"/>
        <v/>
      </c>
      <c r="F129" t="str">
        <f t="shared" ca="1" si="37"/>
        <v/>
      </c>
      <c r="G129" t="str">
        <f t="shared" ca="1" si="37"/>
        <v/>
      </c>
      <c r="H129" t="str">
        <f t="shared" ca="1" si="37"/>
        <v/>
      </c>
      <c r="I129" t="str">
        <f t="shared" ca="1" si="37"/>
        <v/>
      </c>
      <c r="J129" s="229" t="str">
        <f t="shared" ca="1" si="27"/>
        <v/>
      </c>
      <c r="K129" s="229" t="str">
        <f t="shared" ca="1" si="28"/>
        <v/>
      </c>
      <c r="L129" s="229" t="str">
        <f t="shared" ca="1" si="29"/>
        <v/>
      </c>
      <c r="M129" s="229" t="str">
        <f t="shared" ca="1" si="38"/>
        <v/>
      </c>
      <c r="N129" s="229" t="str">
        <f t="shared" ca="1" si="38"/>
        <v/>
      </c>
      <c r="O129" s="229" t="str">
        <f t="shared" ca="1" si="38"/>
        <v/>
      </c>
      <c r="P129" s="229" t="str">
        <f t="shared" ca="1" si="38"/>
        <v/>
      </c>
      <c r="Q129" s="229" t="str">
        <f t="shared" ca="1" si="31"/>
        <v/>
      </c>
      <c r="R129" s="234" t="str">
        <f t="shared" ca="1" si="36"/>
        <v/>
      </c>
      <c r="S129" s="234" t="str">
        <f t="shared" ca="1" si="32"/>
        <v/>
      </c>
      <c r="T129" s="231" t="str">
        <f t="shared" ca="1" si="33"/>
        <v/>
      </c>
      <c r="U129" s="234" t="str">
        <f ca="1">IF(T129="","",CleaningSheet!AH137)</f>
        <v/>
      </c>
      <c r="V129" t="str">
        <f t="shared" ca="1" si="34"/>
        <v/>
      </c>
      <c r="W129" s="229" t="str">
        <f t="shared" ca="1" si="35"/>
        <v/>
      </c>
    </row>
    <row r="130" spans="3:23" x14ac:dyDescent="0.2">
      <c r="C130" t="str">
        <f>IF($A$1&lt;COUNTIF($C$5:C129,"&lt;&gt;"),"",COUNTIF($C$5:C129,"&lt;&gt;"))</f>
        <v/>
      </c>
      <c r="D130" t="str">
        <f t="shared" ca="1" si="37"/>
        <v/>
      </c>
      <c r="E130" t="str">
        <f t="shared" ca="1" si="37"/>
        <v/>
      </c>
      <c r="F130" t="str">
        <f t="shared" ca="1" si="37"/>
        <v/>
      </c>
      <c r="G130" t="str">
        <f t="shared" ca="1" si="37"/>
        <v/>
      </c>
      <c r="H130" t="str">
        <f t="shared" ca="1" si="37"/>
        <v/>
      </c>
      <c r="I130" t="str">
        <f t="shared" ca="1" si="37"/>
        <v/>
      </c>
      <c r="J130" s="229" t="str">
        <f t="shared" ca="1" si="27"/>
        <v/>
      </c>
      <c r="K130" s="229" t="str">
        <f t="shared" ca="1" si="28"/>
        <v/>
      </c>
      <c r="L130" s="229" t="str">
        <f t="shared" ca="1" si="29"/>
        <v/>
      </c>
      <c r="M130" s="229" t="str">
        <f t="shared" ca="1" si="38"/>
        <v/>
      </c>
      <c r="N130" s="229" t="str">
        <f t="shared" ca="1" si="38"/>
        <v/>
      </c>
      <c r="O130" s="229" t="str">
        <f t="shared" ca="1" si="38"/>
        <v/>
      </c>
      <c r="P130" s="229" t="str">
        <f t="shared" ca="1" si="38"/>
        <v/>
      </c>
      <c r="Q130" s="229" t="str">
        <f t="shared" ca="1" si="31"/>
        <v/>
      </c>
      <c r="R130" s="234" t="str">
        <f t="shared" ca="1" si="36"/>
        <v/>
      </c>
      <c r="S130" s="234" t="str">
        <f t="shared" ca="1" si="32"/>
        <v/>
      </c>
      <c r="T130" s="231" t="str">
        <f t="shared" ca="1" si="33"/>
        <v/>
      </c>
      <c r="U130" s="234" t="str">
        <f ca="1">IF(T130="","",CleaningSheet!AH138)</f>
        <v/>
      </c>
      <c r="V130" t="str">
        <f t="shared" ca="1" si="34"/>
        <v/>
      </c>
      <c r="W130" s="229" t="str">
        <f t="shared" ca="1" si="35"/>
        <v/>
      </c>
    </row>
    <row r="131" spans="3:23" x14ac:dyDescent="0.2">
      <c r="C131" t="str">
        <f>IF($A$1&lt;COUNTIF($C$5:C130,"&lt;&gt;"),"",COUNTIF($C$5:C130,"&lt;&gt;"))</f>
        <v/>
      </c>
      <c r="D131" t="str">
        <f t="shared" ca="1" si="37"/>
        <v/>
      </c>
      <c r="E131" t="str">
        <f t="shared" ca="1" si="37"/>
        <v/>
      </c>
      <c r="F131" t="str">
        <f t="shared" ca="1" si="37"/>
        <v/>
      </c>
      <c r="G131" t="str">
        <f t="shared" ca="1" si="37"/>
        <v/>
      </c>
      <c r="H131" t="str">
        <f t="shared" ca="1" si="37"/>
        <v/>
      </c>
      <c r="I131" t="str">
        <f t="shared" ca="1" si="37"/>
        <v/>
      </c>
      <c r="J131" s="229" t="str">
        <f t="shared" ca="1" si="27"/>
        <v/>
      </c>
      <c r="K131" s="229" t="str">
        <f t="shared" ca="1" si="28"/>
        <v/>
      </c>
      <c r="L131" s="229" t="str">
        <f t="shared" ca="1" si="29"/>
        <v/>
      </c>
      <c r="M131" s="229" t="str">
        <f t="shared" ca="1" si="38"/>
        <v/>
      </c>
      <c r="N131" s="229" t="str">
        <f t="shared" ca="1" si="38"/>
        <v/>
      </c>
      <c r="O131" s="229" t="str">
        <f t="shared" ca="1" si="38"/>
        <v/>
      </c>
      <c r="P131" s="229" t="str">
        <f t="shared" ca="1" si="38"/>
        <v/>
      </c>
      <c r="Q131" s="229" t="str">
        <f t="shared" ca="1" si="31"/>
        <v/>
      </c>
      <c r="R131" s="234" t="str">
        <f t="shared" ca="1" si="36"/>
        <v/>
      </c>
      <c r="S131" s="234" t="str">
        <f t="shared" ca="1" si="32"/>
        <v/>
      </c>
      <c r="T131" s="231" t="str">
        <f t="shared" ca="1" si="33"/>
        <v/>
      </c>
      <c r="U131" s="234" t="str">
        <f ca="1">IF(T131="","",CleaningSheet!AH139)</f>
        <v/>
      </c>
      <c r="V131" t="str">
        <f t="shared" ca="1" si="34"/>
        <v/>
      </c>
      <c r="W131" s="229" t="str">
        <f t="shared" ca="1" si="35"/>
        <v/>
      </c>
    </row>
    <row r="132" spans="3:23" x14ac:dyDescent="0.2">
      <c r="C132" t="str">
        <f>IF($A$1&lt;COUNTIF($C$5:C131,"&lt;&gt;"),"",COUNTIF($C$5:C131,"&lt;&gt;"))</f>
        <v/>
      </c>
      <c r="D132" t="str">
        <f t="shared" ca="1" si="37"/>
        <v/>
      </c>
      <c r="E132" t="str">
        <f t="shared" ca="1" si="37"/>
        <v/>
      </c>
      <c r="F132" t="str">
        <f t="shared" ca="1" si="37"/>
        <v/>
      </c>
      <c r="G132" t="str">
        <f t="shared" ca="1" si="37"/>
        <v/>
      </c>
      <c r="H132" t="str">
        <f t="shared" ca="1" si="37"/>
        <v/>
      </c>
      <c r="I132" t="str">
        <f t="shared" ca="1" si="37"/>
        <v/>
      </c>
      <c r="J132" s="229" t="str">
        <f t="shared" ca="1" si="27"/>
        <v/>
      </c>
      <c r="K132" s="229" t="str">
        <f t="shared" ca="1" si="28"/>
        <v/>
      </c>
      <c r="L132" s="229" t="str">
        <f t="shared" ca="1" si="29"/>
        <v/>
      </c>
      <c r="M132" s="229" t="str">
        <f t="shared" ca="1" si="38"/>
        <v/>
      </c>
      <c r="N132" s="229" t="str">
        <f t="shared" ca="1" si="38"/>
        <v/>
      </c>
      <c r="O132" s="229" t="str">
        <f t="shared" ca="1" si="38"/>
        <v/>
      </c>
      <c r="P132" s="229" t="str">
        <f t="shared" ca="1" si="38"/>
        <v/>
      </c>
      <c r="Q132" s="229" t="str">
        <f t="shared" ca="1" si="31"/>
        <v/>
      </c>
      <c r="R132" s="234" t="str">
        <f t="shared" ca="1" si="36"/>
        <v/>
      </c>
      <c r="S132" s="234" t="str">
        <f t="shared" ca="1" si="32"/>
        <v/>
      </c>
      <c r="T132" s="231" t="str">
        <f t="shared" ca="1" si="33"/>
        <v/>
      </c>
      <c r="U132" s="234" t="str">
        <f ca="1">IF(T132="","",CleaningSheet!AH140)</f>
        <v/>
      </c>
      <c r="V132" t="str">
        <f t="shared" ca="1" si="34"/>
        <v/>
      </c>
      <c r="W132" s="229" t="str">
        <f t="shared" ca="1" si="35"/>
        <v/>
      </c>
    </row>
    <row r="133" spans="3:23" x14ac:dyDescent="0.2">
      <c r="C133" t="str">
        <f>IF($A$1&lt;COUNTIF($C$5:C132,"&lt;&gt;"),"",COUNTIF($C$5:C132,"&lt;&gt;"))</f>
        <v/>
      </c>
      <c r="D133" t="str">
        <f t="shared" ca="1" si="37"/>
        <v/>
      </c>
      <c r="E133" t="str">
        <f t="shared" ca="1" si="37"/>
        <v/>
      </c>
      <c r="F133" t="str">
        <f t="shared" ca="1" si="37"/>
        <v/>
      </c>
      <c r="G133" t="str">
        <f t="shared" ca="1" si="37"/>
        <v/>
      </c>
      <c r="H133" t="str">
        <f t="shared" ca="1" si="37"/>
        <v/>
      </c>
      <c r="I133" t="str">
        <f t="shared" ca="1" si="37"/>
        <v/>
      </c>
      <c r="J133" s="229" t="str">
        <f t="shared" ca="1" si="27"/>
        <v/>
      </c>
      <c r="K133" s="229" t="str">
        <f t="shared" ca="1" si="28"/>
        <v/>
      </c>
      <c r="L133" s="229" t="str">
        <f t="shared" ca="1" si="29"/>
        <v/>
      </c>
      <c r="M133" s="229" t="str">
        <f t="shared" ca="1" si="38"/>
        <v/>
      </c>
      <c r="N133" s="229" t="str">
        <f t="shared" ca="1" si="38"/>
        <v/>
      </c>
      <c r="O133" s="229" t="str">
        <f t="shared" ca="1" si="38"/>
        <v/>
      </c>
      <c r="P133" s="229" t="str">
        <f t="shared" ca="1" si="38"/>
        <v/>
      </c>
      <c r="Q133" s="229" t="str">
        <f t="shared" ca="1" si="31"/>
        <v/>
      </c>
      <c r="R133" s="234" t="str">
        <f t="shared" ca="1" si="36"/>
        <v/>
      </c>
      <c r="S133" s="234" t="str">
        <f t="shared" ca="1" si="32"/>
        <v/>
      </c>
      <c r="T133" s="231" t="str">
        <f t="shared" ca="1" si="33"/>
        <v/>
      </c>
      <c r="U133" s="234" t="str">
        <f ca="1">IF(T133="","",CleaningSheet!AH141)</f>
        <v/>
      </c>
      <c r="V133" t="str">
        <f t="shared" ca="1" si="34"/>
        <v/>
      </c>
      <c r="W133" s="229" t="str">
        <f t="shared" ca="1" si="35"/>
        <v/>
      </c>
    </row>
    <row r="134" spans="3:23" x14ac:dyDescent="0.2">
      <c r="C134" t="str">
        <f>IF($A$1&lt;COUNTIF($C$5:C133,"&lt;&gt;"),"",COUNTIF($C$5:C133,"&lt;&gt;"))</f>
        <v/>
      </c>
      <c r="D134" t="str">
        <f t="shared" ca="1" si="37"/>
        <v/>
      </c>
      <c r="E134" t="str">
        <f t="shared" ca="1" si="37"/>
        <v/>
      </c>
      <c r="F134" t="str">
        <f t="shared" ca="1" si="37"/>
        <v/>
      </c>
      <c r="G134" t="str">
        <f t="shared" ca="1" si="37"/>
        <v/>
      </c>
      <c r="H134" t="str">
        <f t="shared" ca="1" si="37"/>
        <v/>
      </c>
      <c r="I134" t="str">
        <f t="shared" ca="1" si="37"/>
        <v/>
      </c>
      <c r="J134" s="229" t="str">
        <f t="shared" ca="1" si="27"/>
        <v/>
      </c>
      <c r="K134" s="229" t="str">
        <f t="shared" ca="1" si="28"/>
        <v/>
      </c>
      <c r="L134" s="229" t="str">
        <f t="shared" ca="1" si="29"/>
        <v/>
      </c>
      <c r="M134" s="229" t="str">
        <f t="shared" ca="1" si="38"/>
        <v/>
      </c>
      <c r="N134" s="229" t="str">
        <f t="shared" ca="1" si="38"/>
        <v/>
      </c>
      <c r="O134" s="229" t="str">
        <f t="shared" ca="1" si="38"/>
        <v/>
      </c>
      <c r="P134" s="229" t="str">
        <f t="shared" ca="1" si="38"/>
        <v/>
      </c>
      <c r="Q134" s="229" t="str">
        <f t="shared" ca="1" si="31"/>
        <v/>
      </c>
      <c r="R134" s="234" t="str">
        <f t="shared" ca="1" si="36"/>
        <v/>
      </c>
      <c r="S134" s="234" t="str">
        <f t="shared" ca="1" si="32"/>
        <v/>
      </c>
      <c r="T134" s="231" t="str">
        <f t="shared" ca="1" si="33"/>
        <v/>
      </c>
      <c r="U134" s="234" t="str">
        <f ca="1">IF(T134="","",CleaningSheet!AH142)</f>
        <v/>
      </c>
      <c r="V134" t="str">
        <f t="shared" ca="1" si="34"/>
        <v/>
      </c>
      <c r="W134" s="229" t="str">
        <f t="shared" ca="1" si="35"/>
        <v/>
      </c>
    </row>
    <row r="135" spans="3:23" x14ac:dyDescent="0.2">
      <c r="C135" t="str">
        <f>IF($A$1&lt;COUNTIF($C$5:C134,"&lt;&gt;"),"",COUNTIF($C$5:C134,"&lt;&gt;"))</f>
        <v/>
      </c>
      <c r="D135" t="str">
        <f t="shared" ref="D135:I166" ca="1" si="39">IFERROR(INDIRECT("'"&amp;$B$6&amp;$C135&amp;"'!"&amp;D$4),"")</f>
        <v/>
      </c>
      <c r="E135" t="str">
        <f t="shared" ca="1" si="39"/>
        <v/>
      </c>
      <c r="F135" t="str">
        <f t="shared" ca="1" si="39"/>
        <v/>
      </c>
      <c r="G135" t="str">
        <f t="shared" ca="1" si="39"/>
        <v/>
      </c>
      <c r="H135" t="str">
        <f t="shared" ca="1" si="39"/>
        <v/>
      </c>
      <c r="I135" t="str">
        <f t="shared" ca="1" si="39"/>
        <v/>
      </c>
      <c r="J135" s="229" t="str">
        <f t="shared" ref="J135:J198" ca="1" si="40">IFERROR(K135/I135,"")</f>
        <v/>
      </c>
      <c r="K135" s="229" t="str">
        <f t="shared" ref="K135:K198" ca="1" si="41">IFERROR(INDIRECT("'"&amp;$B$6&amp;$C135&amp;"'!"&amp;K$4),"")</f>
        <v/>
      </c>
      <c r="L135" s="229" t="str">
        <f t="shared" ref="L135:L198" ca="1" si="42">IFERROR(N135-K135,"")</f>
        <v/>
      </c>
      <c r="M135" s="229" t="str">
        <f t="shared" ref="M135:P166" ca="1" si="43">IFERROR(INDIRECT("'"&amp;$B$6&amp;$C135&amp;"'!"&amp;M$4),"")</f>
        <v/>
      </c>
      <c r="N135" s="229" t="str">
        <f t="shared" ca="1" si="43"/>
        <v/>
      </c>
      <c r="O135" s="229" t="str">
        <f t="shared" ca="1" si="43"/>
        <v/>
      </c>
      <c r="P135" s="229" t="str">
        <f t="shared" ca="1" si="43"/>
        <v/>
      </c>
      <c r="Q135" s="229" t="str">
        <f t="shared" ref="Q135:Q198" ca="1" si="44">IF(SUM(N135:P135)=0,"",SUM(N135:P135))</f>
        <v/>
      </c>
      <c r="R135" s="234" t="str">
        <f t="shared" ca="1" si="36"/>
        <v/>
      </c>
      <c r="S135" s="234" t="str">
        <f t="shared" ref="S135:S198" ca="1" si="45">IFERROR(R135*$S$4/0.725,"")</f>
        <v/>
      </c>
      <c r="T135" s="231" t="str">
        <f t="shared" ref="T135:T198" ca="1" si="46">IFERROR(S135/SUM(N135:P135)*100,"")</f>
        <v/>
      </c>
      <c r="U135" s="234" t="str">
        <f ca="1">IF(T135="","",CleaningSheet!AH143)</f>
        <v/>
      </c>
      <c r="V135" t="str">
        <f t="shared" ref="V135:V198" ca="1" si="47">IFERROR(U135*V$4,"")</f>
        <v/>
      </c>
      <c r="W135" s="229" t="str">
        <f t="shared" ca="1" si="35"/>
        <v/>
      </c>
    </row>
    <row r="136" spans="3:23" x14ac:dyDescent="0.2">
      <c r="C136" t="str">
        <f>IF($A$1&lt;COUNTIF($C$5:C135,"&lt;&gt;"),"",COUNTIF($C$5:C135,"&lt;&gt;"))</f>
        <v/>
      </c>
      <c r="D136" t="str">
        <f t="shared" ca="1" si="39"/>
        <v/>
      </c>
      <c r="E136" t="str">
        <f t="shared" ca="1" si="39"/>
        <v/>
      </c>
      <c r="F136" t="str">
        <f t="shared" ca="1" si="39"/>
        <v/>
      </c>
      <c r="G136" t="str">
        <f t="shared" ca="1" si="39"/>
        <v/>
      </c>
      <c r="H136" t="str">
        <f t="shared" ca="1" si="39"/>
        <v/>
      </c>
      <c r="I136" t="str">
        <f t="shared" ca="1" si="39"/>
        <v/>
      </c>
      <c r="J136" s="229" t="str">
        <f t="shared" ca="1" si="40"/>
        <v/>
      </c>
      <c r="K136" s="229" t="str">
        <f t="shared" ca="1" si="41"/>
        <v/>
      </c>
      <c r="L136" s="229" t="str">
        <f t="shared" ca="1" si="42"/>
        <v/>
      </c>
      <c r="M136" s="229" t="str">
        <f t="shared" ca="1" si="43"/>
        <v/>
      </c>
      <c r="N136" s="229" t="str">
        <f t="shared" ca="1" si="43"/>
        <v/>
      </c>
      <c r="O136" s="229" t="str">
        <f t="shared" ca="1" si="43"/>
        <v/>
      </c>
      <c r="P136" s="229" t="str">
        <f t="shared" ca="1" si="43"/>
        <v/>
      </c>
      <c r="Q136" s="229" t="str">
        <f t="shared" ca="1" si="44"/>
        <v/>
      </c>
      <c r="R136" s="234" t="str">
        <f t="shared" ca="1" si="36"/>
        <v/>
      </c>
      <c r="S136" s="234" t="str">
        <f t="shared" ca="1" si="45"/>
        <v/>
      </c>
      <c r="T136" s="231" t="str">
        <f t="shared" ca="1" si="46"/>
        <v/>
      </c>
      <c r="U136" s="234" t="str">
        <f ca="1">IF(T136="","",CleaningSheet!AH144)</f>
        <v/>
      </c>
      <c r="V136" t="str">
        <f t="shared" ca="1" si="47"/>
        <v/>
      </c>
      <c r="W136" s="229" t="str">
        <f t="shared" ref="W136:W199" ca="1" si="48">IFERROR(V136/0.725,"")</f>
        <v/>
      </c>
    </row>
    <row r="137" spans="3:23" x14ac:dyDescent="0.2">
      <c r="C137" t="str">
        <f>IF($A$1&lt;COUNTIF($C$5:C136,"&lt;&gt;"),"",COUNTIF($C$5:C136,"&lt;&gt;"))</f>
        <v/>
      </c>
      <c r="D137" t="str">
        <f t="shared" ca="1" si="39"/>
        <v/>
      </c>
      <c r="E137" t="str">
        <f t="shared" ca="1" si="39"/>
        <v/>
      </c>
      <c r="F137" t="str">
        <f t="shared" ca="1" si="39"/>
        <v/>
      </c>
      <c r="G137" t="str">
        <f t="shared" ca="1" si="39"/>
        <v/>
      </c>
      <c r="H137" t="str">
        <f t="shared" ca="1" si="39"/>
        <v/>
      </c>
      <c r="I137" t="str">
        <f t="shared" ca="1" si="39"/>
        <v/>
      </c>
      <c r="J137" s="229" t="str">
        <f t="shared" ca="1" si="40"/>
        <v/>
      </c>
      <c r="K137" s="229" t="str">
        <f t="shared" ca="1" si="41"/>
        <v/>
      </c>
      <c r="L137" s="229" t="str">
        <f t="shared" ca="1" si="42"/>
        <v/>
      </c>
      <c r="M137" s="229" t="str">
        <f t="shared" ca="1" si="43"/>
        <v/>
      </c>
      <c r="N137" s="229" t="str">
        <f t="shared" ca="1" si="43"/>
        <v/>
      </c>
      <c r="O137" s="229" t="str">
        <f t="shared" ca="1" si="43"/>
        <v/>
      </c>
      <c r="P137" s="229" t="str">
        <f t="shared" ca="1" si="43"/>
        <v/>
      </c>
      <c r="Q137" s="229" t="str">
        <f t="shared" ca="1" si="44"/>
        <v/>
      </c>
      <c r="R137" s="234" t="str">
        <f t="shared" ca="1" si="36"/>
        <v/>
      </c>
      <c r="S137" s="234" t="str">
        <f t="shared" ca="1" si="45"/>
        <v/>
      </c>
      <c r="T137" s="231" t="str">
        <f t="shared" ca="1" si="46"/>
        <v/>
      </c>
      <c r="U137" s="234" t="str">
        <f ca="1">IF(T137="","",CleaningSheet!AH145)</f>
        <v/>
      </c>
      <c r="V137" t="str">
        <f t="shared" ca="1" si="47"/>
        <v/>
      </c>
      <c r="W137" s="229" t="str">
        <f t="shared" ca="1" si="48"/>
        <v/>
      </c>
    </row>
    <row r="138" spans="3:23" x14ac:dyDescent="0.2">
      <c r="C138" t="str">
        <f>IF($A$1&lt;COUNTIF($C$5:C137,"&lt;&gt;"),"",COUNTIF($C$5:C137,"&lt;&gt;"))</f>
        <v/>
      </c>
      <c r="D138" t="str">
        <f t="shared" ca="1" si="39"/>
        <v/>
      </c>
      <c r="E138" t="str">
        <f t="shared" ca="1" si="39"/>
        <v/>
      </c>
      <c r="F138" t="str">
        <f t="shared" ca="1" si="39"/>
        <v/>
      </c>
      <c r="G138" t="str">
        <f t="shared" ca="1" si="39"/>
        <v/>
      </c>
      <c r="H138" t="str">
        <f t="shared" ca="1" si="39"/>
        <v/>
      </c>
      <c r="I138" t="str">
        <f t="shared" ca="1" si="39"/>
        <v/>
      </c>
      <c r="J138" s="229" t="str">
        <f t="shared" ca="1" si="40"/>
        <v/>
      </c>
      <c r="K138" s="229" t="str">
        <f t="shared" ca="1" si="41"/>
        <v/>
      </c>
      <c r="L138" s="229" t="str">
        <f t="shared" ca="1" si="42"/>
        <v/>
      </c>
      <c r="M138" s="229" t="str">
        <f t="shared" ca="1" si="43"/>
        <v/>
      </c>
      <c r="N138" s="229" t="str">
        <f t="shared" ca="1" si="43"/>
        <v/>
      </c>
      <c r="O138" s="229" t="str">
        <f t="shared" ca="1" si="43"/>
        <v/>
      </c>
      <c r="P138" s="229" t="str">
        <f t="shared" ca="1" si="43"/>
        <v/>
      </c>
      <c r="Q138" s="229" t="str">
        <f t="shared" ca="1" si="44"/>
        <v/>
      </c>
      <c r="R138" s="234" t="str">
        <f t="shared" ca="1" si="36"/>
        <v/>
      </c>
      <c r="S138" s="234" t="str">
        <f t="shared" ca="1" si="45"/>
        <v/>
      </c>
      <c r="T138" s="231" t="str">
        <f t="shared" ca="1" si="46"/>
        <v/>
      </c>
      <c r="U138" s="234" t="str">
        <f ca="1">IF(T138="","",CleaningSheet!AH146)</f>
        <v/>
      </c>
      <c r="V138" t="str">
        <f t="shared" ca="1" si="47"/>
        <v/>
      </c>
      <c r="W138" s="229" t="str">
        <f t="shared" ca="1" si="48"/>
        <v/>
      </c>
    </row>
    <row r="139" spans="3:23" x14ac:dyDescent="0.2">
      <c r="C139" t="str">
        <f>IF($A$1&lt;COUNTIF($C$5:C138,"&lt;&gt;"),"",COUNTIF($C$5:C138,"&lt;&gt;"))</f>
        <v/>
      </c>
      <c r="D139" t="str">
        <f t="shared" ca="1" si="39"/>
        <v/>
      </c>
      <c r="E139" t="str">
        <f t="shared" ca="1" si="39"/>
        <v/>
      </c>
      <c r="F139" t="str">
        <f t="shared" ca="1" si="39"/>
        <v/>
      </c>
      <c r="G139" t="str">
        <f t="shared" ca="1" si="39"/>
        <v/>
      </c>
      <c r="H139" t="str">
        <f t="shared" ca="1" si="39"/>
        <v/>
      </c>
      <c r="I139" t="str">
        <f t="shared" ca="1" si="39"/>
        <v/>
      </c>
      <c r="J139" s="229" t="str">
        <f t="shared" ca="1" si="40"/>
        <v/>
      </c>
      <c r="K139" s="229" t="str">
        <f t="shared" ca="1" si="41"/>
        <v/>
      </c>
      <c r="L139" s="229" t="str">
        <f t="shared" ca="1" si="42"/>
        <v/>
      </c>
      <c r="M139" s="229" t="str">
        <f t="shared" ca="1" si="43"/>
        <v/>
      </c>
      <c r="N139" s="229" t="str">
        <f t="shared" ca="1" si="43"/>
        <v/>
      </c>
      <c r="O139" s="229" t="str">
        <f t="shared" ca="1" si="43"/>
        <v/>
      </c>
      <c r="P139" s="229" t="str">
        <f t="shared" ca="1" si="43"/>
        <v/>
      </c>
      <c r="Q139" s="229" t="str">
        <f t="shared" ca="1" si="44"/>
        <v/>
      </c>
      <c r="R139" s="234" t="str">
        <f t="shared" ca="1" si="36"/>
        <v/>
      </c>
      <c r="S139" s="234" t="str">
        <f t="shared" ca="1" si="45"/>
        <v/>
      </c>
      <c r="T139" s="231" t="str">
        <f t="shared" ca="1" si="46"/>
        <v/>
      </c>
      <c r="U139" s="234" t="str">
        <f ca="1">IF(T139="","",CleaningSheet!AH147)</f>
        <v/>
      </c>
      <c r="V139" t="str">
        <f t="shared" ca="1" si="47"/>
        <v/>
      </c>
      <c r="W139" s="229" t="str">
        <f t="shared" ca="1" si="48"/>
        <v/>
      </c>
    </row>
    <row r="140" spans="3:23" x14ac:dyDescent="0.2">
      <c r="C140" t="str">
        <f>IF($A$1&lt;COUNTIF($C$5:C139,"&lt;&gt;"),"",COUNTIF($C$5:C139,"&lt;&gt;"))</f>
        <v/>
      </c>
      <c r="D140" t="str">
        <f t="shared" ca="1" si="39"/>
        <v/>
      </c>
      <c r="E140" t="str">
        <f t="shared" ca="1" si="39"/>
        <v/>
      </c>
      <c r="F140" t="str">
        <f t="shared" ca="1" si="39"/>
        <v/>
      </c>
      <c r="G140" t="str">
        <f t="shared" ca="1" si="39"/>
        <v/>
      </c>
      <c r="H140" t="str">
        <f t="shared" ca="1" si="39"/>
        <v/>
      </c>
      <c r="I140" t="str">
        <f t="shared" ca="1" si="39"/>
        <v/>
      </c>
      <c r="J140" s="229" t="str">
        <f t="shared" ca="1" si="40"/>
        <v/>
      </c>
      <c r="K140" s="229" t="str">
        <f t="shared" ca="1" si="41"/>
        <v/>
      </c>
      <c r="L140" s="229" t="str">
        <f t="shared" ca="1" si="42"/>
        <v/>
      </c>
      <c r="M140" s="229" t="str">
        <f t="shared" ca="1" si="43"/>
        <v/>
      </c>
      <c r="N140" s="229" t="str">
        <f t="shared" ca="1" si="43"/>
        <v/>
      </c>
      <c r="O140" s="229" t="str">
        <f t="shared" ca="1" si="43"/>
        <v/>
      </c>
      <c r="P140" s="229" t="str">
        <f t="shared" ca="1" si="43"/>
        <v/>
      </c>
      <c r="Q140" s="229" t="str">
        <f t="shared" ca="1" si="44"/>
        <v/>
      </c>
      <c r="R140" s="234" t="str">
        <f t="shared" ca="1" si="36"/>
        <v/>
      </c>
      <c r="S140" s="234" t="str">
        <f t="shared" ca="1" si="45"/>
        <v/>
      </c>
      <c r="T140" s="231" t="str">
        <f t="shared" ca="1" si="46"/>
        <v/>
      </c>
      <c r="U140" s="234" t="str">
        <f ca="1">IF(T140="","",CleaningSheet!AH148)</f>
        <v/>
      </c>
      <c r="V140" t="str">
        <f t="shared" ca="1" si="47"/>
        <v/>
      </c>
      <c r="W140" s="229" t="str">
        <f t="shared" ca="1" si="48"/>
        <v/>
      </c>
    </row>
    <row r="141" spans="3:23" x14ac:dyDescent="0.2">
      <c r="C141" t="str">
        <f>IF($A$1&lt;COUNTIF($C$5:C140,"&lt;&gt;"),"",COUNTIF($C$5:C140,"&lt;&gt;"))</f>
        <v/>
      </c>
      <c r="D141" t="str">
        <f t="shared" ca="1" si="39"/>
        <v/>
      </c>
      <c r="E141" t="str">
        <f t="shared" ca="1" si="39"/>
        <v/>
      </c>
      <c r="F141" t="str">
        <f t="shared" ca="1" si="39"/>
        <v/>
      </c>
      <c r="G141" t="str">
        <f t="shared" ca="1" si="39"/>
        <v/>
      </c>
      <c r="H141" t="str">
        <f t="shared" ca="1" si="39"/>
        <v/>
      </c>
      <c r="I141" t="str">
        <f t="shared" ca="1" si="39"/>
        <v/>
      </c>
      <c r="J141" s="229" t="str">
        <f t="shared" ca="1" si="40"/>
        <v/>
      </c>
      <c r="K141" s="229" t="str">
        <f t="shared" ca="1" si="41"/>
        <v/>
      </c>
      <c r="L141" s="229" t="str">
        <f t="shared" ca="1" si="42"/>
        <v/>
      </c>
      <c r="M141" s="229" t="str">
        <f t="shared" ca="1" si="43"/>
        <v/>
      </c>
      <c r="N141" s="229" t="str">
        <f t="shared" ca="1" si="43"/>
        <v/>
      </c>
      <c r="O141" s="229" t="str">
        <f t="shared" ca="1" si="43"/>
        <v/>
      </c>
      <c r="P141" s="229" t="str">
        <f t="shared" ca="1" si="43"/>
        <v/>
      </c>
      <c r="Q141" s="229" t="str">
        <f t="shared" ca="1" si="44"/>
        <v/>
      </c>
      <c r="R141" s="234" t="str">
        <f t="shared" ca="1" si="36"/>
        <v/>
      </c>
      <c r="S141" s="234" t="str">
        <f t="shared" ca="1" si="45"/>
        <v/>
      </c>
      <c r="T141" s="231" t="str">
        <f t="shared" ca="1" si="46"/>
        <v/>
      </c>
      <c r="U141" s="234" t="str">
        <f ca="1">IF(T141="","",CleaningSheet!AH149)</f>
        <v/>
      </c>
      <c r="V141" t="str">
        <f t="shared" ca="1" si="47"/>
        <v/>
      </c>
      <c r="W141" s="229" t="str">
        <f t="shared" ca="1" si="48"/>
        <v/>
      </c>
    </row>
    <row r="142" spans="3:23" x14ac:dyDescent="0.2">
      <c r="C142" t="str">
        <f>IF($A$1&lt;COUNTIF($C$5:C141,"&lt;&gt;"),"",COUNTIF($C$5:C141,"&lt;&gt;"))</f>
        <v/>
      </c>
      <c r="D142" t="str">
        <f t="shared" ca="1" si="39"/>
        <v/>
      </c>
      <c r="E142" t="str">
        <f t="shared" ca="1" si="39"/>
        <v/>
      </c>
      <c r="F142" t="str">
        <f t="shared" ca="1" si="39"/>
        <v/>
      </c>
      <c r="G142" t="str">
        <f t="shared" ca="1" si="39"/>
        <v/>
      </c>
      <c r="H142" t="str">
        <f t="shared" ca="1" si="39"/>
        <v/>
      </c>
      <c r="I142" t="str">
        <f t="shared" ca="1" si="39"/>
        <v/>
      </c>
      <c r="J142" s="229" t="str">
        <f t="shared" ca="1" si="40"/>
        <v/>
      </c>
      <c r="K142" s="229" t="str">
        <f t="shared" ca="1" si="41"/>
        <v/>
      </c>
      <c r="L142" s="229" t="str">
        <f t="shared" ca="1" si="42"/>
        <v/>
      </c>
      <c r="M142" s="229" t="str">
        <f t="shared" ca="1" si="43"/>
        <v/>
      </c>
      <c r="N142" s="229" t="str">
        <f t="shared" ca="1" si="43"/>
        <v/>
      </c>
      <c r="O142" s="229" t="str">
        <f t="shared" ca="1" si="43"/>
        <v/>
      </c>
      <c r="P142" s="229" t="str">
        <f t="shared" ca="1" si="43"/>
        <v/>
      </c>
      <c r="Q142" s="229" t="str">
        <f t="shared" ca="1" si="44"/>
        <v/>
      </c>
      <c r="R142" s="234" t="str">
        <f t="shared" ca="1" si="36"/>
        <v/>
      </c>
      <c r="S142" s="234" t="str">
        <f t="shared" ca="1" si="45"/>
        <v/>
      </c>
      <c r="T142" s="231" t="str">
        <f t="shared" ca="1" si="46"/>
        <v/>
      </c>
      <c r="U142" s="234" t="str">
        <f ca="1">IF(T142="","",CleaningSheet!AH150)</f>
        <v/>
      </c>
      <c r="V142" t="str">
        <f t="shared" ca="1" si="47"/>
        <v/>
      </c>
      <c r="W142" s="229" t="str">
        <f t="shared" ca="1" si="48"/>
        <v/>
      </c>
    </row>
    <row r="143" spans="3:23" x14ac:dyDescent="0.2">
      <c r="C143" t="str">
        <f>IF($A$1&lt;COUNTIF($C$5:C142,"&lt;&gt;"),"",COUNTIF($C$5:C142,"&lt;&gt;"))</f>
        <v/>
      </c>
      <c r="D143" t="str">
        <f t="shared" ca="1" si="39"/>
        <v/>
      </c>
      <c r="E143" t="str">
        <f t="shared" ca="1" si="39"/>
        <v/>
      </c>
      <c r="F143" t="str">
        <f t="shared" ca="1" si="39"/>
        <v/>
      </c>
      <c r="G143" t="str">
        <f t="shared" ca="1" si="39"/>
        <v/>
      </c>
      <c r="H143" t="str">
        <f t="shared" ca="1" si="39"/>
        <v/>
      </c>
      <c r="I143" t="str">
        <f t="shared" ca="1" si="39"/>
        <v/>
      </c>
      <c r="J143" s="229" t="str">
        <f t="shared" ca="1" si="40"/>
        <v/>
      </c>
      <c r="K143" s="229" t="str">
        <f t="shared" ca="1" si="41"/>
        <v/>
      </c>
      <c r="L143" s="229" t="str">
        <f t="shared" ca="1" si="42"/>
        <v/>
      </c>
      <c r="M143" s="229" t="str">
        <f t="shared" ca="1" si="43"/>
        <v/>
      </c>
      <c r="N143" s="229" t="str">
        <f t="shared" ca="1" si="43"/>
        <v/>
      </c>
      <c r="O143" s="229" t="str">
        <f t="shared" ca="1" si="43"/>
        <v/>
      </c>
      <c r="P143" s="229" t="str">
        <f t="shared" ca="1" si="43"/>
        <v/>
      </c>
      <c r="Q143" s="229" t="str">
        <f t="shared" ca="1" si="44"/>
        <v/>
      </c>
      <c r="R143" s="234" t="str">
        <f t="shared" ca="1" si="36"/>
        <v/>
      </c>
      <c r="S143" s="234" t="str">
        <f t="shared" ca="1" si="45"/>
        <v/>
      </c>
      <c r="T143" s="231" t="str">
        <f t="shared" ca="1" si="46"/>
        <v/>
      </c>
      <c r="U143" s="234" t="str">
        <f ca="1">IF(T143="","",CleaningSheet!AH151)</f>
        <v/>
      </c>
      <c r="V143" t="str">
        <f t="shared" ca="1" si="47"/>
        <v/>
      </c>
      <c r="W143" s="229" t="str">
        <f t="shared" ca="1" si="48"/>
        <v/>
      </c>
    </row>
    <row r="144" spans="3:23" x14ac:dyDescent="0.2">
      <c r="C144" t="str">
        <f>IF($A$1&lt;COUNTIF($C$5:C143,"&lt;&gt;"),"",COUNTIF($C$5:C143,"&lt;&gt;"))</f>
        <v/>
      </c>
      <c r="D144" t="str">
        <f t="shared" ca="1" si="39"/>
        <v/>
      </c>
      <c r="E144" t="str">
        <f t="shared" ca="1" si="39"/>
        <v/>
      </c>
      <c r="F144" t="str">
        <f t="shared" ca="1" si="39"/>
        <v/>
      </c>
      <c r="G144" t="str">
        <f t="shared" ca="1" si="39"/>
        <v/>
      </c>
      <c r="H144" t="str">
        <f t="shared" ca="1" si="39"/>
        <v/>
      </c>
      <c r="I144" t="str">
        <f t="shared" ca="1" si="39"/>
        <v/>
      </c>
      <c r="J144" s="229" t="str">
        <f t="shared" ca="1" si="40"/>
        <v/>
      </c>
      <c r="K144" s="229" t="str">
        <f t="shared" ca="1" si="41"/>
        <v/>
      </c>
      <c r="L144" s="229" t="str">
        <f t="shared" ca="1" si="42"/>
        <v/>
      </c>
      <c r="M144" s="229" t="str">
        <f t="shared" ca="1" si="43"/>
        <v/>
      </c>
      <c r="N144" s="229" t="str">
        <f t="shared" ca="1" si="43"/>
        <v/>
      </c>
      <c r="O144" s="229" t="str">
        <f t="shared" ca="1" si="43"/>
        <v/>
      </c>
      <c r="P144" s="229" t="str">
        <f t="shared" ca="1" si="43"/>
        <v/>
      </c>
      <c r="Q144" s="229" t="str">
        <f t="shared" ca="1" si="44"/>
        <v/>
      </c>
      <c r="R144" s="234" t="str">
        <f t="shared" ca="1" si="36"/>
        <v/>
      </c>
      <c r="S144" s="234" t="str">
        <f t="shared" ca="1" si="45"/>
        <v/>
      </c>
      <c r="T144" s="231" t="str">
        <f t="shared" ca="1" si="46"/>
        <v/>
      </c>
      <c r="U144" s="234" t="str">
        <f ca="1">IF(T144="","",CleaningSheet!AH152)</f>
        <v/>
      </c>
      <c r="V144" t="str">
        <f t="shared" ca="1" si="47"/>
        <v/>
      </c>
      <c r="W144" s="229" t="str">
        <f t="shared" ca="1" si="48"/>
        <v/>
      </c>
    </row>
    <row r="145" spans="3:23" x14ac:dyDescent="0.2">
      <c r="C145" t="str">
        <f>IF($A$1&lt;COUNTIF($C$5:C144,"&lt;&gt;"),"",COUNTIF($C$5:C144,"&lt;&gt;"))</f>
        <v/>
      </c>
      <c r="D145" t="str">
        <f t="shared" ca="1" si="39"/>
        <v/>
      </c>
      <c r="E145" t="str">
        <f t="shared" ca="1" si="39"/>
        <v/>
      </c>
      <c r="F145" t="str">
        <f t="shared" ca="1" si="39"/>
        <v/>
      </c>
      <c r="G145" t="str">
        <f t="shared" ca="1" si="39"/>
        <v/>
      </c>
      <c r="H145" t="str">
        <f t="shared" ca="1" si="39"/>
        <v/>
      </c>
      <c r="I145" t="str">
        <f t="shared" ca="1" si="39"/>
        <v/>
      </c>
      <c r="J145" s="229" t="str">
        <f t="shared" ca="1" si="40"/>
        <v/>
      </c>
      <c r="K145" s="229" t="str">
        <f t="shared" ca="1" si="41"/>
        <v/>
      </c>
      <c r="L145" s="229" t="str">
        <f t="shared" ca="1" si="42"/>
        <v/>
      </c>
      <c r="M145" s="229" t="str">
        <f t="shared" ca="1" si="43"/>
        <v/>
      </c>
      <c r="N145" s="229" t="str">
        <f t="shared" ca="1" si="43"/>
        <v/>
      </c>
      <c r="O145" s="229" t="str">
        <f t="shared" ca="1" si="43"/>
        <v/>
      </c>
      <c r="P145" s="229" t="str">
        <f t="shared" ca="1" si="43"/>
        <v/>
      </c>
      <c r="Q145" s="229" t="str">
        <f t="shared" ca="1" si="44"/>
        <v/>
      </c>
      <c r="R145" s="234" t="str">
        <f t="shared" ca="1" si="36"/>
        <v/>
      </c>
      <c r="S145" s="234" t="str">
        <f t="shared" ca="1" si="45"/>
        <v/>
      </c>
      <c r="T145" s="231" t="str">
        <f t="shared" ca="1" si="46"/>
        <v/>
      </c>
      <c r="U145" s="234" t="str">
        <f ca="1">IF(T145="","",CleaningSheet!AH153)</f>
        <v/>
      </c>
      <c r="V145" t="str">
        <f t="shared" ca="1" si="47"/>
        <v/>
      </c>
      <c r="W145" s="229" t="str">
        <f t="shared" ca="1" si="48"/>
        <v/>
      </c>
    </row>
    <row r="146" spans="3:23" x14ac:dyDescent="0.2">
      <c r="C146" t="str">
        <f>IF($A$1&lt;COUNTIF($C$5:C145,"&lt;&gt;"),"",COUNTIF($C$5:C145,"&lt;&gt;"))</f>
        <v/>
      </c>
      <c r="D146" t="str">
        <f t="shared" ca="1" si="39"/>
        <v/>
      </c>
      <c r="E146" t="str">
        <f t="shared" ca="1" si="39"/>
        <v/>
      </c>
      <c r="F146" t="str">
        <f t="shared" ca="1" si="39"/>
        <v/>
      </c>
      <c r="G146" t="str">
        <f t="shared" ca="1" si="39"/>
        <v/>
      </c>
      <c r="H146" t="str">
        <f t="shared" ca="1" si="39"/>
        <v/>
      </c>
      <c r="I146" t="str">
        <f t="shared" ca="1" si="39"/>
        <v/>
      </c>
      <c r="J146" s="229" t="str">
        <f t="shared" ca="1" si="40"/>
        <v/>
      </c>
      <c r="K146" s="229" t="str">
        <f t="shared" ca="1" si="41"/>
        <v/>
      </c>
      <c r="L146" s="229" t="str">
        <f t="shared" ca="1" si="42"/>
        <v/>
      </c>
      <c r="M146" s="229" t="str">
        <f t="shared" ca="1" si="43"/>
        <v/>
      </c>
      <c r="N146" s="229" t="str">
        <f t="shared" ca="1" si="43"/>
        <v/>
      </c>
      <c r="O146" s="229" t="str">
        <f t="shared" ca="1" si="43"/>
        <v/>
      </c>
      <c r="P146" s="229" t="str">
        <f t="shared" ca="1" si="43"/>
        <v/>
      </c>
      <c r="Q146" s="229" t="str">
        <f t="shared" ca="1" si="44"/>
        <v/>
      </c>
      <c r="R146" s="234" t="str">
        <f t="shared" ca="1" si="36"/>
        <v/>
      </c>
      <c r="S146" s="234" t="str">
        <f t="shared" ca="1" si="45"/>
        <v/>
      </c>
      <c r="T146" s="231" t="str">
        <f t="shared" ca="1" si="46"/>
        <v/>
      </c>
      <c r="U146" s="234" t="str">
        <f ca="1">IF(T146="","",CleaningSheet!AH154)</f>
        <v/>
      </c>
      <c r="V146" t="str">
        <f t="shared" ca="1" si="47"/>
        <v/>
      </c>
      <c r="W146" s="229" t="str">
        <f t="shared" ca="1" si="48"/>
        <v/>
      </c>
    </row>
    <row r="147" spans="3:23" x14ac:dyDescent="0.2">
      <c r="C147" t="str">
        <f>IF($A$1&lt;COUNTIF($C$5:C146,"&lt;&gt;"),"",COUNTIF($C$5:C146,"&lt;&gt;"))</f>
        <v/>
      </c>
      <c r="D147" t="str">
        <f t="shared" ca="1" si="39"/>
        <v/>
      </c>
      <c r="E147" t="str">
        <f t="shared" ca="1" si="39"/>
        <v/>
      </c>
      <c r="F147" t="str">
        <f t="shared" ca="1" si="39"/>
        <v/>
      </c>
      <c r="G147" t="str">
        <f t="shared" ca="1" si="39"/>
        <v/>
      </c>
      <c r="H147" t="str">
        <f t="shared" ca="1" si="39"/>
        <v/>
      </c>
      <c r="I147" t="str">
        <f t="shared" ca="1" si="39"/>
        <v/>
      </c>
      <c r="J147" s="229" t="str">
        <f t="shared" ca="1" si="40"/>
        <v/>
      </c>
      <c r="K147" s="229" t="str">
        <f t="shared" ca="1" si="41"/>
        <v/>
      </c>
      <c r="L147" s="229" t="str">
        <f t="shared" ca="1" si="42"/>
        <v/>
      </c>
      <c r="M147" s="229" t="str">
        <f t="shared" ca="1" si="43"/>
        <v/>
      </c>
      <c r="N147" s="229" t="str">
        <f t="shared" ca="1" si="43"/>
        <v/>
      </c>
      <c r="O147" s="229" t="str">
        <f t="shared" ca="1" si="43"/>
        <v/>
      </c>
      <c r="P147" s="229" t="str">
        <f t="shared" ca="1" si="43"/>
        <v/>
      </c>
      <c r="Q147" s="229" t="str">
        <f t="shared" ca="1" si="44"/>
        <v/>
      </c>
      <c r="R147" s="234" t="str">
        <f t="shared" ca="1" si="36"/>
        <v/>
      </c>
      <c r="S147" s="234" t="str">
        <f t="shared" ca="1" si="45"/>
        <v/>
      </c>
      <c r="T147" s="231" t="str">
        <f t="shared" ca="1" si="46"/>
        <v/>
      </c>
      <c r="U147" s="234" t="str">
        <f ca="1">IF(T147="","",CleaningSheet!AH155)</f>
        <v/>
      </c>
      <c r="V147" t="str">
        <f t="shared" ca="1" si="47"/>
        <v/>
      </c>
      <c r="W147" s="229" t="str">
        <f t="shared" ca="1" si="48"/>
        <v/>
      </c>
    </row>
    <row r="148" spans="3:23" x14ac:dyDescent="0.2">
      <c r="C148" t="str">
        <f>IF($A$1&lt;COUNTIF($C$5:C147,"&lt;&gt;"),"",COUNTIF($C$5:C147,"&lt;&gt;"))</f>
        <v/>
      </c>
      <c r="D148" t="str">
        <f t="shared" ca="1" si="39"/>
        <v/>
      </c>
      <c r="E148" t="str">
        <f t="shared" ca="1" si="39"/>
        <v/>
      </c>
      <c r="F148" t="str">
        <f t="shared" ca="1" si="39"/>
        <v/>
      </c>
      <c r="G148" t="str">
        <f t="shared" ca="1" si="39"/>
        <v/>
      </c>
      <c r="H148" t="str">
        <f t="shared" ca="1" si="39"/>
        <v/>
      </c>
      <c r="I148" t="str">
        <f t="shared" ca="1" si="39"/>
        <v/>
      </c>
      <c r="J148" s="229" t="str">
        <f t="shared" ca="1" si="40"/>
        <v/>
      </c>
      <c r="K148" s="229" t="str">
        <f t="shared" ca="1" si="41"/>
        <v/>
      </c>
      <c r="L148" s="229" t="str">
        <f t="shared" ca="1" si="42"/>
        <v/>
      </c>
      <c r="M148" s="229" t="str">
        <f t="shared" ca="1" si="43"/>
        <v/>
      </c>
      <c r="N148" s="229" t="str">
        <f t="shared" ca="1" si="43"/>
        <v/>
      </c>
      <c r="O148" s="229" t="str">
        <f t="shared" ca="1" si="43"/>
        <v/>
      </c>
      <c r="P148" s="229" t="str">
        <f t="shared" ca="1" si="43"/>
        <v/>
      </c>
      <c r="Q148" s="229" t="str">
        <f t="shared" ca="1" si="44"/>
        <v/>
      </c>
      <c r="R148" s="234" t="str">
        <f t="shared" ca="1" si="36"/>
        <v/>
      </c>
      <c r="S148" s="234" t="str">
        <f t="shared" ca="1" si="45"/>
        <v/>
      </c>
      <c r="T148" s="231" t="str">
        <f t="shared" ca="1" si="46"/>
        <v/>
      </c>
      <c r="U148" s="234" t="str">
        <f ca="1">IF(T148="","",CleaningSheet!AH156)</f>
        <v/>
      </c>
      <c r="V148" t="str">
        <f t="shared" ca="1" si="47"/>
        <v/>
      </c>
      <c r="W148" s="229" t="str">
        <f t="shared" ca="1" si="48"/>
        <v/>
      </c>
    </row>
    <row r="149" spans="3:23" x14ac:dyDescent="0.2">
      <c r="C149" t="str">
        <f>IF($A$1&lt;COUNTIF($C$5:C148,"&lt;&gt;"),"",COUNTIF($C$5:C148,"&lt;&gt;"))</f>
        <v/>
      </c>
      <c r="D149" t="str">
        <f t="shared" ca="1" si="39"/>
        <v/>
      </c>
      <c r="E149" t="str">
        <f t="shared" ca="1" si="39"/>
        <v/>
      </c>
      <c r="F149" t="str">
        <f t="shared" ca="1" si="39"/>
        <v/>
      </c>
      <c r="G149" t="str">
        <f t="shared" ca="1" si="39"/>
        <v/>
      </c>
      <c r="H149" t="str">
        <f t="shared" ca="1" si="39"/>
        <v/>
      </c>
      <c r="I149" t="str">
        <f t="shared" ca="1" si="39"/>
        <v/>
      </c>
      <c r="J149" s="229" t="str">
        <f t="shared" ca="1" si="40"/>
        <v/>
      </c>
      <c r="K149" s="229" t="str">
        <f t="shared" ca="1" si="41"/>
        <v/>
      </c>
      <c r="L149" s="229" t="str">
        <f t="shared" ca="1" si="42"/>
        <v/>
      </c>
      <c r="M149" s="229" t="str">
        <f t="shared" ca="1" si="43"/>
        <v/>
      </c>
      <c r="N149" s="229" t="str">
        <f t="shared" ca="1" si="43"/>
        <v/>
      </c>
      <c r="O149" s="229" t="str">
        <f t="shared" ca="1" si="43"/>
        <v/>
      </c>
      <c r="P149" s="229" t="str">
        <f t="shared" ca="1" si="43"/>
        <v/>
      </c>
      <c r="Q149" s="229" t="str">
        <f t="shared" ca="1" si="44"/>
        <v/>
      </c>
      <c r="R149" s="234" t="str">
        <f t="shared" ca="1" si="36"/>
        <v/>
      </c>
      <c r="S149" s="234" t="str">
        <f t="shared" ca="1" si="45"/>
        <v/>
      </c>
      <c r="T149" s="231" t="str">
        <f t="shared" ca="1" si="46"/>
        <v/>
      </c>
      <c r="U149" s="234" t="str">
        <f ca="1">IF(T149="","",CleaningSheet!AH157)</f>
        <v/>
      </c>
      <c r="V149" t="str">
        <f t="shared" ca="1" si="47"/>
        <v/>
      </c>
      <c r="W149" s="229" t="str">
        <f t="shared" ca="1" si="48"/>
        <v/>
      </c>
    </row>
    <row r="150" spans="3:23" x14ac:dyDescent="0.2">
      <c r="C150" t="str">
        <f>IF($A$1&lt;COUNTIF($C$5:C149,"&lt;&gt;"),"",COUNTIF($C$5:C149,"&lt;&gt;"))</f>
        <v/>
      </c>
      <c r="D150" t="str">
        <f t="shared" ca="1" si="39"/>
        <v/>
      </c>
      <c r="E150" t="str">
        <f t="shared" ca="1" si="39"/>
        <v/>
      </c>
      <c r="F150" t="str">
        <f t="shared" ca="1" si="39"/>
        <v/>
      </c>
      <c r="G150" t="str">
        <f t="shared" ca="1" si="39"/>
        <v/>
      </c>
      <c r="H150" t="str">
        <f t="shared" ca="1" si="39"/>
        <v/>
      </c>
      <c r="I150" t="str">
        <f t="shared" ca="1" si="39"/>
        <v/>
      </c>
      <c r="J150" s="229" t="str">
        <f t="shared" ca="1" si="40"/>
        <v/>
      </c>
      <c r="K150" s="229" t="str">
        <f t="shared" ca="1" si="41"/>
        <v/>
      </c>
      <c r="L150" s="229" t="str">
        <f t="shared" ca="1" si="42"/>
        <v/>
      </c>
      <c r="M150" s="229" t="str">
        <f t="shared" ca="1" si="43"/>
        <v/>
      </c>
      <c r="N150" s="229" t="str">
        <f t="shared" ca="1" si="43"/>
        <v/>
      </c>
      <c r="O150" s="229" t="str">
        <f t="shared" ca="1" si="43"/>
        <v/>
      </c>
      <c r="P150" s="229" t="str">
        <f t="shared" ca="1" si="43"/>
        <v/>
      </c>
      <c r="Q150" s="229" t="str">
        <f t="shared" ca="1" si="44"/>
        <v/>
      </c>
      <c r="R150" s="234" t="str">
        <f t="shared" ca="1" si="36"/>
        <v/>
      </c>
      <c r="S150" s="234" t="str">
        <f t="shared" ca="1" si="45"/>
        <v/>
      </c>
      <c r="T150" s="231" t="str">
        <f t="shared" ca="1" si="46"/>
        <v/>
      </c>
      <c r="U150" s="234" t="str">
        <f ca="1">IF(T150="","",CleaningSheet!AH158)</f>
        <v/>
      </c>
      <c r="V150" t="str">
        <f t="shared" ca="1" si="47"/>
        <v/>
      </c>
      <c r="W150" s="229" t="str">
        <f t="shared" ca="1" si="48"/>
        <v/>
      </c>
    </row>
    <row r="151" spans="3:23" x14ac:dyDescent="0.2">
      <c r="C151" t="str">
        <f>IF($A$1&lt;COUNTIF($C$5:C150,"&lt;&gt;"),"",COUNTIF($C$5:C150,"&lt;&gt;"))</f>
        <v/>
      </c>
      <c r="D151" t="str">
        <f t="shared" ca="1" si="39"/>
        <v/>
      </c>
      <c r="E151" t="str">
        <f t="shared" ca="1" si="39"/>
        <v/>
      </c>
      <c r="F151" t="str">
        <f t="shared" ca="1" si="39"/>
        <v/>
      </c>
      <c r="G151" t="str">
        <f t="shared" ca="1" si="39"/>
        <v/>
      </c>
      <c r="H151" t="str">
        <f t="shared" ca="1" si="39"/>
        <v/>
      </c>
      <c r="I151" t="str">
        <f t="shared" ca="1" si="39"/>
        <v/>
      </c>
      <c r="J151" s="229" t="str">
        <f t="shared" ca="1" si="40"/>
        <v/>
      </c>
      <c r="K151" s="229" t="str">
        <f t="shared" ca="1" si="41"/>
        <v/>
      </c>
      <c r="L151" s="229" t="str">
        <f t="shared" ca="1" si="42"/>
        <v/>
      </c>
      <c r="M151" s="229" t="str">
        <f t="shared" ca="1" si="43"/>
        <v/>
      </c>
      <c r="N151" s="229" t="str">
        <f t="shared" ca="1" si="43"/>
        <v/>
      </c>
      <c r="O151" s="229" t="str">
        <f t="shared" ca="1" si="43"/>
        <v/>
      </c>
      <c r="P151" s="229" t="str">
        <f t="shared" ca="1" si="43"/>
        <v/>
      </c>
      <c r="Q151" s="229" t="str">
        <f t="shared" ca="1" si="44"/>
        <v/>
      </c>
      <c r="R151" s="234" t="str">
        <f t="shared" ca="1" si="36"/>
        <v/>
      </c>
      <c r="S151" s="234" t="str">
        <f t="shared" ca="1" si="45"/>
        <v/>
      </c>
      <c r="T151" s="231" t="str">
        <f t="shared" ca="1" si="46"/>
        <v/>
      </c>
      <c r="U151" s="234" t="str">
        <f ca="1">IF(T151="","",CleaningSheet!AH159)</f>
        <v/>
      </c>
      <c r="V151" t="str">
        <f t="shared" ca="1" si="47"/>
        <v/>
      </c>
      <c r="W151" s="229" t="str">
        <f t="shared" ca="1" si="48"/>
        <v/>
      </c>
    </row>
    <row r="152" spans="3:23" x14ac:dyDescent="0.2">
      <c r="C152" t="str">
        <f>IF($A$1&lt;COUNTIF($C$5:C151,"&lt;&gt;"),"",COUNTIF($C$5:C151,"&lt;&gt;"))</f>
        <v/>
      </c>
      <c r="D152" t="str">
        <f t="shared" ca="1" si="39"/>
        <v/>
      </c>
      <c r="E152" t="str">
        <f t="shared" ca="1" si="39"/>
        <v/>
      </c>
      <c r="F152" t="str">
        <f t="shared" ca="1" si="39"/>
        <v/>
      </c>
      <c r="G152" t="str">
        <f t="shared" ca="1" si="39"/>
        <v/>
      </c>
      <c r="H152" t="str">
        <f t="shared" ca="1" si="39"/>
        <v/>
      </c>
      <c r="I152" t="str">
        <f t="shared" ca="1" si="39"/>
        <v/>
      </c>
      <c r="J152" s="229" t="str">
        <f t="shared" ca="1" si="40"/>
        <v/>
      </c>
      <c r="K152" s="229" t="str">
        <f t="shared" ca="1" si="41"/>
        <v/>
      </c>
      <c r="L152" s="229" t="str">
        <f t="shared" ca="1" si="42"/>
        <v/>
      </c>
      <c r="M152" s="229" t="str">
        <f t="shared" ca="1" si="43"/>
        <v/>
      </c>
      <c r="N152" s="229" t="str">
        <f t="shared" ca="1" si="43"/>
        <v/>
      </c>
      <c r="O152" s="229" t="str">
        <f t="shared" ca="1" si="43"/>
        <v/>
      </c>
      <c r="P152" s="229" t="str">
        <f t="shared" ca="1" si="43"/>
        <v/>
      </c>
      <c r="Q152" s="229" t="str">
        <f t="shared" ca="1" si="44"/>
        <v/>
      </c>
      <c r="R152" s="234" t="str">
        <f t="shared" ca="1" si="36"/>
        <v/>
      </c>
      <c r="S152" s="234" t="str">
        <f t="shared" ca="1" si="45"/>
        <v/>
      </c>
      <c r="T152" s="231" t="str">
        <f t="shared" ca="1" si="46"/>
        <v/>
      </c>
      <c r="U152" s="234" t="str">
        <f ca="1">IF(T152="","",CleaningSheet!AH160)</f>
        <v/>
      </c>
      <c r="V152" t="str">
        <f t="shared" ca="1" si="47"/>
        <v/>
      </c>
      <c r="W152" s="229" t="str">
        <f t="shared" ca="1" si="48"/>
        <v/>
      </c>
    </row>
    <row r="153" spans="3:23" x14ac:dyDescent="0.2">
      <c r="C153" t="str">
        <f>IF($A$1&lt;COUNTIF($C$5:C152,"&lt;&gt;"),"",COUNTIF($C$5:C152,"&lt;&gt;"))</f>
        <v/>
      </c>
      <c r="D153" t="str">
        <f t="shared" ca="1" si="39"/>
        <v/>
      </c>
      <c r="E153" t="str">
        <f t="shared" ca="1" si="39"/>
        <v/>
      </c>
      <c r="F153" t="str">
        <f t="shared" ca="1" si="39"/>
        <v/>
      </c>
      <c r="G153" t="str">
        <f t="shared" ca="1" si="39"/>
        <v/>
      </c>
      <c r="H153" t="str">
        <f t="shared" ca="1" si="39"/>
        <v/>
      </c>
      <c r="I153" t="str">
        <f t="shared" ca="1" si="39"/>
        <v/>
      </c>
      <c r="J153" s="229" t="str">
        <f t="shared" ca="1" si="40"/>
        <v/>
      </c>
      <c r="K153" s="229" t="str">
        <f t="shared" ca="1" si="41"/>
        <v/>
      </c>
      <c r="L153" s="229" t="str">
        <f t="shared" ca="1" si="42"/>
        <v/>
      </c>
      <c r="M153" s="229" t="str">
        <f t="shared" ca="1" si="43"/>
        <v/>
      </c>
      <c r="N153" s="229" t="str">
        <f t="shared" ca="1" si="43"/>
        <v/>
      </c>
      <c r="O153" s="229" t="str">
        <f t="shared" ca="1" si="43"/>
        <v/>
      </c>
      <c r="P153" s="229" t="str">
        <f t="shared" ca="1" si="43"/>
        <v/>
      </c>
      <c r="Q153" s="229" t="str">
        <f t="shared" ca="1" si="44"/>
        <v/>
      </c>
      <c r="R153" s="234" t="str">
        <f t="shared" ca="1" si="36"/>
        <v/>
      </c>
      <c r="S153" s="234" t="str">
        <f t="shared" ca="1" si="45"/>
        <v/>
      </c>
      <c r="T153" s="231" t="str">
        <f t="shared" ca="1" si="46"/>
        <v/>
      </c>
      <c r="U153" s="234" t="str">
        <f ca="1">IF(T153="","",CleaningSheet!AH161)</f>
        <v/>
      </c>
      <c r="V153" t="str">
        <f t="shared" ca="1" si="47"/>
        <v/>
      </c>
      <c r="W153" s="229" t="str">
        <f t="shared" ca="1" si="48"/>
        <v/>
      </c>
    </row>
    <row r="154" spans="3:23" x14ac:dyDescent="0.2">
      <c r="C154" t="str">
        <f>IF($A$1&lt;COUNTIF($C$5:C153,"&lt;&gt;"),"",COUNTIF($C$5:C153,"&lt;&gt;"))</f>
        <v/>
      </c>
      <c r="D154" t="str">
        <f t="shared" ca="1" si="39"/>
        <v/>
      </c>
      <c r="E154" t="str">
        <f t="shared" ca="1" si="39"/>
        <v/>
      </c>
      <c r="F154" t="str">
        <f t="shared" ca="1" si="39"/>
        <v/>
      </c>
      <c r="G154" t="str">
        <f t="shared" ca="1" si="39"/>
        <v/>
      </c>
      <c r="H154" t="str">
        <f t="shared" ca="1" si="39"/>
        <v/>
      </c>
      <c r="I154" t="str">
        <f t="shared" ca="1" si="39"/>
        <v/>
      </c>
      <c r="J154" s="229" t="str">
        <f t="shared" ca="1" si="40"/>
        <v/>
      </c>
      <c r="K154" s="229" t="str">
        <f t="shared" ca="1" si="41"/>
        <v/>
      </c>
      <c r="L154" s="229" t="str">
        <f t="shared" ca="1" si="42"/>
        <v/>
      </c>
      <c r="M154" s="229" t="str">
        <f t="shared" ca="1" si="43"/>
        <v/>
      </c>
      <c r="N154" s="229" t="str">
        <f t="shared" ca="1" si="43"/>
        <v/>
      </c>
      <c r="O154" s="229" t="str">
        <f t="shared" ca="1" si="43"/>
        <v/>
      </c>
      <c r="P154" s="229" t="str">
        <f t="shared" ca="1" si="43"/>
        <v/>
      </c>
      <c r="Q154" s="229" t="str">
        <f t="shared" ca="1" si="44"/>
        <v/>
      </c>
      <c r="R154" s="234" t="str">
        <f t="shared" ca="1" si="36"/>
        <v/>
      </c>
      <c r="S154" s="234" t="str">
        <f t="shared" ca="1" si="45"/>
        <v/>
      </c>
      <c r="T154" s="231" t="str">
        <f t="shared" ca="1" si="46"/>
        <v/>
      </c>
      <c r="U154" s="234" t="str">
        <f ca="1">IF(T154="","",CleaningSheet!AH162)</f>
        <v/>
      </c>
      <c r="V154" t="str">
        <f t="shared" ca="1" si="47"/>
        <v/>
      </c>
      <c r="W154" s="229" t="str">
        <f t="shared" ca="1" si="48"/>
        <v/>
      </c>
    </row>
    <row r="155" spans="3:23" x14ac:dyDescent="0.2">
      <c r="C155" t="str">
        <f>IF($A$1&lt;COUNTIF($C$5:C154,"&lt;&gt;"),"",COUNTIF($C$5:C154,"&lt;&gt;"))</f>
        <v/>
      </c>
      <c r="D155" t="str">
        <f t="shared" ca="1" si="39"/>
        <v/>
      </c>
      <c r="E155" t="str">
        <f t="shared" ca="1" si="39"/>
        <v/>
      </c>
      <c r="F155" t="str">
        <f t="shared" ca="1" si="39"/>
        <v/>
      </c>
      <c r="G155" t="str">
        <f t="shared" ca="1" si="39"/>
        <v/>
      </c>
      <c r="H155" t="str">
        <f t="shared" ca="1" si="39"/>
        <v/>
      </c>
      <c r="I155" t="str">
        <f t="shared" ca="1" si="39"/>
        <v/>
      </c>
      <c r="J155" s="229" t="str">
        <f t="shared" ca="1" si="40"/>
        <v/>
      </c>
      <c r="K155" s="229" t="str">
        <f t="shared" ca="1" si="41"/>
        <v/>
      </c>
      <c r="L155" s="229" t="str">
        <f t="shared" ca="1" si="42"/>
        <v/>
      </c>
      <c r="M155" s="229" t="str">
        <f t="shared" ca="1" si="43"/>
        <v/>
      </c>
      <c r="N155" s="229" t="str">
        <f t="shared" ca="1" si="43"/>
        <v/>
      </c>
      <c r="O155" s="229" t="str">
        <f t="shared" ca="1" si="43"/>
        <v/>
      </c>
      <c r="P155" s="229" t="str">
        <f t="shared" ca="1" si="43"/>
        <v/>
      </c>
      <c r="Q155" s="229" t="str">
        <f t="shared" ca="1" si="44"/>
        <v/>
      </c>
      <c r="R155" s="234" t="str">
        <f t="shared" ca="1" si="36"/>
        <v/>
      </c>
      <c r="S155" s="234" t="str">
        <f t="shared" ca="1" si="45"/>
        <v/>
      </c>
      <c r="T155" s="231" t="str">
        <f t="shared" ca="1" si="46"/>
        <v/>
      </c>
      <c r="U155" s="234" t="str">
        <f ca="1">IF(T155="","",CleaningSheet!AH163)</f>
        <v/>
      </c>
      <c r="V155" t="str">
        <f t="shared" ca="1" si="47"/>
        <v/>
      </c>
      <c r="W155" s="229" t="str">
        <f t="shared" ca="1" si="48"/>
        <v/>
      </c>
    </row>
    <row r="156" spans="3:23" x14ac:dyDescent="0.2">
      <c r="C156" t="str">
        <f>IF($A$1&lt;COUNTIF($C$5:C155,"&lt;&gt;"),"",COUNTIF($C$5:C155,"&lt;&gt;"))</f>
        <v/>
      </c>
      <c r="D156" t="str">
        <f t="shared" ca="1" si="39"/>
        <v/>
      </c>
      <c r="E156" t="str">
        <f t="shared" ca="1" si="39"/>
        <v/>
      </c>
      <c r="F156" t="str">
        <f t="shared" ca="1" si="39"/>
        <v/>
      </c>
      <c r="G156" t="str">
        <f t="shared" ca="1" si="39"/>
        <v/>
      </c>
      <c r="H156" t="str">
        <f t="shared" ca="1" si="39"/>
        <v/>
      </c>
      <c r="I156" t="str">
        <f t="shared" ca="1" si="39"/>
        <v/>
      </c>
      <c r="J156" s="229" t="str">
        <f t="shared" ca="1" si="40"/>
        <v/>
      </c>
      <c r="K156" s="229" t="str">
        <f t="shared" ca="1" si="41"/>
        <v/>
      </c>
      <c r="L156" s="229" t="str">
        <f t="shared" ca="1" si="42"/>
        <v/>
      </c>
      <c r="M156" s="229" t="str">
        <f t="shared" ca="1" si="43"/>
        <v/>
      </c>
      <c r="N156" s="229" t="str">
        <f t="shared" ca="1" si="43"/>
        <v/>
      </c>
      <c r="O156" s="229" t="str">
        <f t="shared" ca="1" si="43"/>
        <v/>
      </c>
      <c r="P156" s="229" t="str">
        <f t="shared" ca="1" si="43"/>
        <v/>
      </c>
      <c r="Q156" s="229" t="str">
        <f t="shared" ca="1" si="44"/>
        <v/>
      </c>
      <c r="R156" s="234" t="str">
        <f t="shared" ca="1" si="36"/>
        <v/>
      </c>
      <c r="S156" s="234" t="str">
        <f t="shared" ca="1" si="45"/>
        <v/>
      </c>
      <c r="T156" s="231" t="str">
        <f t="shared" ca="1" si="46"/>
        <v/>
      </c>
      <c r="U156" s="234" t="str">
        <f ca="1">IF(T156="","",CleaningSheet!AH164)</f>
        <v/>
      </c>
      <c r="V156" t="str">
        <f t="shared" ca="1" si="47"/>
        <v/>
      </c>
      <c r="W156" s="229" t="str">
        <f t="shared" ca="1" si="48"/>
        <v/>
      </c>
    </row>
    <row r="157" spans="3:23" x14ac:dyDescent="0.2">
      <c r="C157" t="str">
        <f>IF($A$1&lt;COUNTIF($C$5:C156,"&lt;&gt;"),"",COUNTIF($C$5:C156,"&lt;&gt;"))</f>
        <v/>
      </c>
      <c r="D157" t="str">
        <f t="shared" ca="1" si="39"/>
        <v/>
      </c>
      <c r="E157" t="str">
        <f t="shared" ca="1" si="39"/>
        <v/>
      </c>
      <c r="F157" t="str">
        <f t="shared" ca="1" si="39"/>
        <v/>
      </c>
      <c r="G157" t="str">
        <f t="shared" ca="1" si="39"/>
        <v/>
      </c>
      <c r="H157" t="str">
        <f t="shared" ca="1" si="39"/>
        <v/>
      </c>
      <c r="I157" t="str">
        <f t="shared" ca="1" si="39"/>
        <v/>
      </c>
      <c r="J157" s="229" t="str">
        <f t="shared" ca="1" si="40"/>
        <v/>
      </c>
      <c r="K157" s="229" t="str">
        <f t="shared" ca="1" si="41"/>
        <v/>
      </c>
      <c r="L157" s="229" t="str">
        <f t="shared" ca="1" si="42"/>
        <v/>
      </c>
      <c r="M157" s="229" t="str">
        <f t="shared" ca="1" si="43"/>
        <v/>
      </c>
      <c r="N157" s="229" t="str">
        <f t="shared" ca="1" si="43"/>
        <v/>
      </c>
      <c r="O157" s="229" t="str">
        <f t="shared" ca="1" si="43"/>
        <v/>
      </c>
      <c r="P157" s="229" t="str">
        <f t="shared" ca="1" si="43"/>
        <v/>
      </c>
      <c r="Q157" s="229" t="str">
        <f t="shared" ca="1" si="44"/>
        <v/>
      </c>
      <c r="R157" s="234" t="str">
        <f t="shared" ca="1" si="36"/>
        <v/>
      </c>
      <c r="S157" s="234" t="str">
        <f t="shared" ca="1" si="45"/>
        <v/>
      </c>
      <c r="T157" s="231" t="str">
        <f t="shared" ca="1" si="46"/>
        <v/>
      </c>
      <c r="U157" s="234" t="str">
        <f ca="1">IF(T157="","",CleaningSheet!AH165)</f>
        <v/>
      </c>
      <c r="V157" t="str">
        <f t="shared" ca="1" si="47"/>
        <v/>
      </c>
      <c r="W157" s="229" t="str">
        <f t="shared" ca="1" si="48"/>
        <v/>
      </c>
    </row>
    <row r="158" spans="3:23" x14ac:dyDescent="0.2">
      <c r="C158" t="str">
        <f>IF($A$1&lt;COUNTIF($C$5:C157,"&lt;&gt;"),"",COUNTIF($C$5:C157,"&lt;&gt;"))</f>
        <v/>
      </c>
      <c r="D158" t="str">
        <f t="shared" ca="1" si="39"/>
        <v/>
      </c>
      <c r="E158" t="str">
        <f t="shared" ca="1" si="39"/>
        <v/>
      </c>
      <c r="F158" t="str">
        <f t="shared" ca="1" si="39"/>
        <v/>
      </c>
      <c r="G158" t="str">
        <f t="shared" ca="1" si="39"/>
        <v/>
      </c>
      <c r="H158" t="str">
        <f t="shared" ca="1" si="39"/>
        <v/>
      </c>
      <c r="I158" t="str">
        <f t="shared" ca="1" si="39"/>
        <v/>
      </c>
      <c r="J158" s="229" t="str">
        <f t="shared" ca="1" si="40"/>
        <v/>
      </c>
      <c r="K158" s="229" t="str">
        <f t="shared" ca="1" si="41"/>
        <v/>
      </c>
      <c r="L158" s="229" t="str">
        <f t="shared" ca="1" si="42"/>
        <v/>
      </c>
      <c r="M158" s="229" t="str">
        <f t="shared" ca="1" si="43"/>
        <v/>
      </c>
      <c r="N158" s="229" t="str">
        <f t="shared" ca="1" si="43"/>
        <v/>
      </c>
      <c r="O158" s="229" t="str">
        <f t="shared" ca="1" si="43"/>
        <v/>
      </c>
      <c r="P158" s="229" t="str">
        <f t="shared" ca="1" si="43"/>
        <v/>
      </c>
      <c r="Q158" s="229" t="str">
        <f t="shared" ca="1" si="44"/>
        <v/>
      </c>
      <c r="R158" s="234" t="str">
        <f t="shared" ca="1" si="36"/>
        <v/>
      </c>
      <c r="S158" s="234" t="str">
        <f t="shared" ca="1" si="45"/>
        <v/>
      </c>
      <c r="T158" s="231" t="str">
        <f t="shared" ca="1" si="46"/>
        <v/>
      </c>
      <c r="U158" s="234" t="str">
        <f ca="1">IF(T158="","",CleaningSheet!AH166)</f>
        <v/>
      </c>
      <c r="V158" t="str">
        <f t="shared" ca="1" si="47"/>
        <v/>
      </c>
      <c r="W158" s="229" t="str">
        <f t="shared" ca="1" si="48"/>
        <v/>
      </c>
    </row>
    <row r="159" spans="3:23" x14ac:dyDescent="0.2">
      <c r="C159" t="str">
        <f>IF($A$1&lt;COUNTIF($C$5:C158,"&lt;&gt;"),"",COUNTIF($C$5:C158,"&lt;&gt;"))</f>
        <v/>
      </c>
      <c r="D159" t="str">
        <f t="shared" ca="1" si="39"/>
        <v/>
      </c>
      <c r="E159" t="str">
        <f t="shared" ca="1" si="39"/>
        <v/>
      </c>
      <c r="F159" t="str">
        <f t="shared" ca="1" si="39"/>
        <v/>
      </c>
      <c r="G159" t="str">
        <f t="shared" ca="1" si="39"/>
        <v/>
      </c>
      <c r="H159" t="str">
        <f t="shared" ca="1" si="39"/>
        <v/>
      </c>
      <c r="I159" t="str">
        <f t="shared" ca="1" si="39"/>
        <v/>
      </c>
      <c r="J159" s="229" t="str">
        <f t="shared" ca="1" si="40"/>
        <v/>
      </c>
      <c r="K159" s="229" t="str">
        <f t="shared" ca="1" si="41"/>
        <v/>
      </c>
      <c r="L159" s="229" t="str">
        <f t="shared" ca="1" si="42"/>
        <v/>
      </c>
      <c r="M159" s="229" t="str">
        <f t="shared" ca="1" si="43"/>
        <v/>
      </c>
      <c r="N159" s="229" t="str">
        <f t="shared" ca="1" si="43"/>
        <v/>
      </c>
      <c r="O159" s="229" t="str">
        <f t="shared" ca="1" si="43"/>
        <v/>
      </c>
      <c r="P159" s="229" t="str">
        <f t="shared" ca="1" si="43"/>
        <v/>
      </c>
      <c r="Q159" s="229" t="str">
        <f t="shared" ca="1" si="44"/>
        <v/>
      </c>
      <c r="R159" s="234" t="str">
        <f t="shared" ca="1" si="36"/>
        <v/>
      </c>
      <c r="S159" s="234" t="str">
        <f t="shared" ca="1" si="45"/>
        <v/>
      </c>
      <c r="T159" s="231" t="str">
        <f t="shared" ca="1" si="46"/>
        <v/>
      </c>
      <c r="U159" s="234" t="str">
        <f ca="1">IF(T159="","",CleaningSheet!AH167)</f>
        <v/>
      </c>
      <c r="V159" t="str">
        <f t="shared" ca="1" si="47"/>
        <v/>
      </c>
      <c r="W159" s="229" t="str">
        <f t="shared" ca="1" si="48"/>
        <v/>
      </c>
    </row>
    <row r="160" spans="3:23" x14ac:dyDescent="0.2">
      <c r="C160" t="str">
        <f>IF($A$1&lt;COUNTIF($C$5:C159,"&lt;&gt;"),"",COUNTIF($C$5:C159,"&lt;&gt;"))</f>
        <v/>
      </c>
      <c r="D160" t="str">
        <f t="shared" ca="1" si="39"/>
        <v/>
      </c>
      <c r="E160" t="str">
        <f t="shared" ca="1" si="39"/>
        <v/>
      </c>
      <c r="F160" t="str">
        <f t="shared" ca="1" si="39"/>
        <v/>
      </c>
      <c r="G160" t="str">
        <f t="shared" ca="1" si="39"/>
        <v/>
      </c>
      <c r="H160" t="str">
        <f t="shared" ca="1" si="39"/>
        <v/>
      </c>
      <c r="I160" t="str">
        <f t="shared" ca="1" si="39"/>
        <v/>
      </c>
      <c r="J160" s="229" t="str">
        <f t="shared" ca="1" si="40"/>
        <v/>
      </c>
      <c r="K160" s="229" t="str">
        <f t="shared" ca="1" si="41"/>
        <v/>
      </c>
      <c r="L160" s="229" t="str">
        <f t="shared" ca="1" si="42"/>
        <v/>
      </c>
      <c r="M160" s="229" t="str">
        <f t="shared" ca="1" si="43"/>
        <v/>
      </c>
      <c r="N160" s="229" t="str">
        <f t="shared" ca="1" si="43"/>
        <v/>
      </c>
      <c r="O160" s="229" t="str">
        <f t="shared" ca="1" si="43"/>
        <v/>
      </c>
      <c r="P160" s="229" t="str">
        <f t="shared" ca="1" si="43"/>
        <v/>
      </c>
      <c r="Q160" s="229" t="str">
        <f t="shared" ca="1" si="44"/>
        <v/>
      </c>
      <c r="R160" s="234" t="str">
        <f t="shared" ca="1" si="36"/>
        <v/>
      </c>
      <c r="S160" s="234" t="str">
        <f t="shared" ca="1" si="45"/>
        <v/>
      </c>
      <c r="T160" s="231" t="str">
        <f t="shared" ca="1" si="46"/>
        <v/>
      </c>
      <c r="U160" s="234" t="str">
        <f ca="1">IF(T160="","",CleaningSheet!AH168)</f>
        <v/>
      </c>
      <c r="V160" t="str">
        <f t="shared" ca="1" si="47"/>
        <v/>
      </c>
      <c r="W160" s="229" t="str">
        <f t="shared" ca="1" si="48"/>
        <v/>
      </c>
    </row>
    <row r="161" spans="3:23" x14ac:dyDescent="0.2">
      <c r="C161" t="str">
        <f>IF($A$1&lt;COUNTIF($C$5:C160,"&lt;&gt;"),"",COUNTIF($C$5:C160,"&lt;&gt;"))</f>
        <v/>
      </c>
      <c r="D161" t="str">
        <f t="shared" ca="1" si="39"/>
        <v/>
      </c>
      <c r="E161" t="str">
        <f t="shared" ca="1" si="39"/>
        <v/>
      </c>
      <c r="F161" t="str">
        <f t="shared" ca="1" si="39"/>
        <v/>
      </c>
      <c r="G161" t="str">
        <f t="shared" ca="1" si="39"/>
        <v/>
      </c>
      <c r="H161" t="str">
        <f t="shared" ca="1" si="39"/>
        <v/>
      </c>
      <c r="I161" t="str">
        <f t="shared" ca="1" si="39"/>
        <v/>
      </c>
      <c r="J161" s="229" t="str">
        <f t="shared" ca="1" si="40"/>
        <v/>
      </c>
      <c r="K161" s="229" t="str">
        <f t="shared" ca="1" si="41"/>
        <v/>
      </c>
      <c r="L161" s="229" t="str">
        <f t="shared" ca="1" si="42"/>
        <v/>
      </c>
      <c r="M161" s="229" t="str">
        <f t="shared" ca="1" si="43"/>
        <v/>
      </c>
      <c r="N161" s="229" t="str">
        <f t="shared" ca="1" si="43"/>
        <v/>
      </c>
      <c r="O161" s="229" t="str">
        <f t="shared" ca="1" si="43"/>
        <v/>
      </c>
      <c r="P161" s="229" t="str">
        <f t="shared" ca="1" si="43"/>
        <v/>
      </c>
      <c r="Q161" s="229" t="str">
        <f t="shared" ca="1" si="44"/>
        <v/>
      </c>
      <c r="R161" s="234" t="str">
        <f t="shared" ca="1" si="36"/>
        <v/>
      </c>
      <c r="S161" s="234" t="str">
        <f t="shared" ca="1" si="45"/>
        <v/>
      </c>
      <c r="T161" s="231" t="str">
        <f t="shared" ca="1" si="46"/>
        <v/>
      </c>
      <c r="U161" s="234" t="str">
        <f ca="1">IF(T161="","",CleaningSheet!AH169)</f>
        <v/>
      </c>
      <c r="V161" t="str">
        <f t="shared" ca="1" si="47"/>
        <v/>
      </c>
      <c r="W161" s="229" t="str">
        <f t="shared" ca="1" si="48"/>
        <v/>
      </c>
    </row>
    <row r="162" spans="3:23" x14ac:dyDescent="0.2">
      <c r="C162" t="str">
        <f>IF($A$1&lt;COUNTIF($C$5:C161,"&lt;&gt;"),"",COUNTIF($C$5:C161,"&lt;&gt;"))</f>
        <v/>
      </c>
      <c r="D162" t="str">
        <f t="shared" ca="1" si="39"/>
        <v/>
      </c>
      <c r="E162" t="str">
        <f t="shared" ca="1" si="39"/>
        <v/>
      </c>
      <c r="F162" t="str">
        <f t="shared" ca="1" si="39"/>
        <v/>
      </c>
      <c r="G162" t="str">
        <f t="shared" ca="1" si="39"/>
        <v/>
      </c>
      <c r="H162" t="str">
        <f t="shared" ca="1" si="39"/>
        <v/>
      </c>
      <c r="I162" t="str">
        <f t="shared" ca="1" si="39"/>
        <v/>
      </c>
      <c r="J162" s="229" t="str">
        <f t="shared" ca="1" si="40"/>
        <v/>
      </c>
      <c r="K162" s="229" t="str">
        <f t="shared" ca="1" si="41"/>
        <v/>
      </c>
      <c r="L162" s="229" t="str">
        <f t="shared" ca="1" si="42"/>
        <v/>
      </c>
      <c r="M162" s="229" t="str">
        <f t="shared" ca="1" si="43"/>
        <v/>
      </c>
      <c r="N162" s="229" t="str">
        <f t="shared" ca="1" si="43"/>
        <v/>
      </c>
      <c r="O162" s="229" t="str">
        <f t="shared" ca="1" si="43"/>
        <v/>
      </c>
      <c r="P162" s="229" t="str">
        <f t="shared" ca="1" si="43"/>
        <v/>
      </c>
      <c r="Q162" s="229" t="str">
        <f t="shared" ca="1" si="44"/>
        <v/>
      </c>
      <c r="R162" s="234" t="str">
        <f t="shared" ca="1" si="36"/>
        <v/>
      </c>
      <c r="S162" s="234" t="str">
        <f t="shared" ca="1" si="45"/>
        <v/>
      </c>
      <c r="T162" s="231" t="str">
        <f t="shared" ca="1" si="46"/>
        <v/>
      </c>
      <c r="U162" s="234" t="str">
        <f ca="1">IF(T162="","",CleaningSheet!AH170)</f>
        <v/>
      </c>
      <c r="V162" t="str">
        <f t="shared" ca="1" si="47"/>
        <v/>
      </c>
      <c r="W162" s="229" t="str">
        <f t="shared" ca="1" si="48"/>
        <v/>
      </c>
    </row>
    <row r="163" spans="3:23" x14ac:dyDescent="0.2">
      <c r="C163" t="str">
        <f>IF($A$1&lt;COUNTIF($C$5:C162,"&lt;&gt;"),"",COUNTIF($C$5:C162,"&lt;&gt;"))</f>
        <v/>
      </c>
      <c r="D163" t="str">
        <f t="shared" ca="1" si="39"/>
        <v/>
      </c>
      <c r="E163" t="str">
        <f t="shared" ca="1" si="39"/>
        <v/>
      </c>
      <c r="F163" t="str">
        <f t="shared" ca="1" si="39"/>
        <v/>
      </c>
      <c r="G163" t="str">
        <f t="shared" ca="1" si="39"/>
        <v/>
      </c>
      <c r="H163" t="str">
        <f t="shared" ca="1" si="39"/>
        <v/>
      </c>
      <c r="I163" t="str">
        <f t="shared" ca="1" si="39"/>
        <v/>
      </c>
      <c r="J163" s="229" t="str">
        <f t="shared" ca="1" si="40"/>
        <v/>
      </c>
      <c r="K163" s="229" t="str">
        <f t="shared" ca="1" si="41"/>
        <v/>
      </c>
      <c r="L163" s="229" t="str">
        <f t="shared" ca="1" si="42"/>
        <v/>
      </c>
      <c r="M163" s="229" t="str">
        <f t="shared" ca="1" si="43"/>
        <v/>
      </c>
      <c r="N163" s="229" t="str">
        <f t="shared" ca="1" si="43"/>
        <v/>
      </c>
      <c r="O163" s="229" t="str">
        <f t="shared" ca="1" si="43"/>
        <v/>
      </c>
      <c r="P163" s="229" t="str">
        <f t="shared" ca="1" si="43"/>
        <v/>
      </c>
      <c r="Q163" s="229" t="str">
        <f t="shared" ca="1" si="44"/>
        <v/>
      </c>
      <c r="R163" s="234" t="str">
        <f t="shared" ca="1" si="36"/>
        <v/>
      </c>
      <c r="S163" s="234" t="str">
        <f t="shared" ca="1" si="45"/>
        <v/>
      </c>
      <c r="T163" s="231" t="str">
        <f t="shared" ca="1" si="46"/>
        <v/>
      </c>
      <c r="U163" s="234" t="str">
        <f ca="1">IF(T163="","",CleaningSheet!AH171)</f>
        <v/>
      </c>
      <c r="V163" t="str">
        <f t="shared" ca="1" si="47"/>
        <v/>
      </c>
      <c r="W163" s="229" t="str">
        <f t="shared" ca="1" si="48"/>
        <v/>
      </c>
    </row>
    <row r="164" spans="3:23" x14ac:dyDescent="0.2">
      <c r="C164" t="str">
        <f>IF($A$1&lt;COUNTIF($C$5:C163,"&lt;&gt;"),"",COUNTIF($C$5:C163,"&lt;&gt;"))</f>
        <v/>
      </c>
      <c r="D164" t="str">
        <f t="shared" ca="1" si="39"/>
        <v/>
      </c>
      <c r="E164" t="str">
        <f t="shared" ca="1" si="39"/>
        <v/>
      </c>
      <c r="F164" t="str">
        <f t="shared" ca="1" si="39"/>
        <v/>
      </c>
      <c r="G164" t="str">
        <f t="shared" ca="1" si="39"/>
        <v/>
      </c>
      <c r="H164" t="str">
        <f t="shared" ca="1" si="39"/>
        <v/>
      </c>
      <c r="I164" t="str">
        <f t="shared" ca="1" si="39"/>
        <v/>
      </c>
      <c r="J164" s="229" t="str">
        <f t="shared" ca="1" si="40"/>
        <v/>
      </c>
      <c r="K164" s="229" t="str">
        <f t="shared" ca="1" si="41"/>
        <v/>
      </c>
      <c r="L164" s="229" t="str">
        <f t="shared" ca="1" si="42"/>
        <v/>
      </c>
      <c r="M164" s="229" t="str">
        <f t="shared" ca="1" si="43"/>
        <v/>
      </c>
      <c r="N164" s="229" t="str">
        <f t="shared" ca="1" si="43"/>
        <v/>
      </c>
      <c r="O164" s="229" t="str">
        <f t="shared" ca="1" si="43"/>
        <v/>
      </c>
      <c r="P164" s="229" t="str">
        <f t="shared" ca="1" si="43"/>
        <v/>
      </c>
      <c r="Q164" s="229" t="str">
        <f t="shared" ca="1" si="44"/>
        <v/>
      </c>
      <c r="R164" s="234" t="str">
        <f t="shared" ca="1" si="36"/>
        <v/>
      </c>
      <c r="S164" s="234" t="str">
        <f t="shared" ca="1" si="45"/>
        <v/>
      </c>
      <c r="T164" s="231" t="str">
        <f t="shared" ca="1" si="46"/>
        <v/>
      </c>
      <c r="U164" s="234" t="str">
        <f ca="1">IF(T164="","",CleaningSheet!AH172)</f>
        <v/>
      </c>
      <c r="V164" t="str">
        <f t="shared" ca="1" si="47"/>
        <v/>
      </c>
      <c r="W164" s="229" t="str">
        <f t="shared" ca="1" si="48"/>
        <v/>
      </c>
    </row>
    <row r="165" spans="3:23" x14ac:dyDescent="0.2">
      <c r="C165" t="str">
        <f>IF($A$1&lt;COUNTIF($C$5:C164,"&lt;&gt;"),"",COUNTIF($C$5:C164,"&lt;&gt;"))</f>
        <v/>
      </c>
      <c r="D165" t="str">
        <f t="shared" ca="1" si="39"/>
        <v/>
      </c>
      <c r="E165" t="str">
        <f t="shared" ca="1" si="39"/>
        <v/>
      </c>
      <c r="F165" t="str">
        <f t="shared" ca="1" si="39"/>
        <v/>
      </c>
      <c r="G165" t="str">
        <f t="shared" ca="1" si="39"/>
        <v/>
      </c>
      <c r="H165" t="str">
        <f t="shared" ca="1" si="39"/>
        <v/>
      </c>
      <c r="I165" t="str">
        <f t="shared" ca="1" si="39"/>
        <v/>
      </c>
      <c r="J165" s="229" t="str">
        <f t="shared" ca="1" si="40"/>
        <v/>
      </c>
      <c r="K165" s="229" t="str">
        <f t="shared" ca="1" si="41"/>
        <v/>
      </c>
      <c r="L165" s="229" t="str">
        <f t="shared" ca="1" si="42"/>
        <v/>
      </c>
      <c r="M165" s="229" t="str">
        <f t="shared" ca="1" si="43"/>
        <v/>
      </c>
      <c r="N165" s="229" t="str">
        <f t="shared" ca="1" si="43"/>
        <v/>
      </c>
      <c r="O165" s="229" t="str">
        <f t="shared" ca="1" si="43"/>
        <v/>
      </c>
      <c r="P165" s="229" t="str">
        <f t="shared" ca="1" si="43"/>
        <v/>
      </c>
      <c r="Q165" s="229" t="str">
        <f t="shared" ca="1" si="44"/>
        <v/>
      </c>
      <c r="R165" s="234" t="str">
        <f t="shared" ca="1" si="36"/>
        <v/>
      </c>
      <c r="S165" s="234" t="str">
        <f t="shared" ca="1" si="45"/>
        <v/>
      </c>
      <c r="T165" s="231" t="str">
        <f t="shared" ca="1" si="46"/>
        <v/>
      </c>
      <c r="U165" s="234" t="str">
        <f ca="1">IF(T165="","",CleaningSheet!AH173)</f>
        <v/>
      </c>
      <c r="V165" t="str">
        <f t="shared" ca="1" si="47"/>
        <v/>
      </c>
      <c r="W165" s="229" t="str">
        <f t="shared" ca="1" si="48"/>
        <v/>
      </c>
    </row>
    <row r="166" spans="3:23" x14ac:dyDescent="0.2">
      <c r="C166" t="str">
        <f>IF($A$1&lt;COUNTIF($C$5:C165,"&lt;&gt;"),"",COUNTIF($C$5:C165,"&lt;&gt;"))</f>
        <v/>
      </c>
      <c r="D166" t="str">
        <f t="shared" ca="1" si="39"/>
        <v/>
      </c>
      <c r="E166" t="str">
        <f t="shared" ca="1" si="39"/>
        <v/>
      </c>
      <c r="F166" t="str">
        <f t="shared" ca="1" si="39"/>
        <v/>
      </c>
      <c r="G166" t="str">
        <f t="shared" ca="1" si="39"/>
        <v/>
      </c>
      <c r="H166" t="str">
        <f t="shared" ca="1" si="39"/>
        <v/>
      </c>
      <c r="I166" t="str">
        <f t="shared" ca="1" si="39"/>
        <v/>
      </c>
      <c r="J166" s="229" t="str">
        <f t="shared" ca="1" si="40"/>
        <v/>
      </c>
      <c r="K166" s="229" t="str">
        <f t="shared" ca="1" si="41"/>
        <v/>
      </c>
      <c r="L166" s="229" t="str">
        <f t="shared" ca="1" si="42"/>
        <v/>
      </c>
      <c r="M166" s="229" t="str">
        <f t="shared" ca="1" si="43"/>
        <v/>
      </c>
      <c r="N166" s="229" t="str">
        <f t="shared" ca="1" si="43"/>
        <v/>
      </c>
      <c r="O166" s="229" t="str">
        <f t="shared" ca="1" si="43"/>
        <v/>
      </c>
      <c r="P166" s="229" t="str">
        <f t="shared" ca="1" si="43"/>
        <v/>
      </c>
      <c r="Q166" s="229" t="str">
        <f t="shared" ca="1" si="44"/>
        <v/>
      </c>
      <c r="R166" s="234" t="str">
        <f t="shared" ref="R166:R204" ca="1" si="49">IFERROR(INDIRECT("'"&amp;$B$6&amp;$C166&amp;"'!"&amp;R$4),"")</f>
        <v/>
      </c>
      <c r="S166" s="234" t="str">
        <f t="shared" ca="1" si="45"/>
        <v/>
      </c>
      <c r="T166" s="231" t="str">
        <f t="shared" ca="1" si="46"/>
        <v/>
      </c>
      <c r="U166" s="234" t="str">
        <f ca="1">IF(T166="","",CleaningSheet!AH174)</f>
        <v/>
      </c>
      <c r="V166" t="str">
        <f t="shared" ca="1" si="47"/>
        <v/>
      </c>
      <c r="W166" s="229" t="str">
        <f t="shared" ca="1" si="48"/>
        <v/>
      </c>
    </row>
    <row r="167" spans="3:23" x14ac:dyDescent="0.2">
      <c r="C167" t="str">
        <f>IF($A$1&lt;COUNTIF($C$5:C166,"&lt;&gt;"),"",COUNTIF($C$5:C166,"&lt;&gt;"))</f>
        <v/>
      </c>
      <c r="D167" t="str">
        <f t="shared" ref="D167:I204" ca="1" si="50">IFERROR(INDIRECT("'"&amp;$B$6&amp;$C167&amp;"'!"&amp;D$4),"")</f>
        <v/>
      </c>
      <c r="E167" t="str">
        <f t="shared" ca="1" si="50"/>
        <v/>
      </c>
      <c r="F167" t="str">
        <f t="shared" ca="1" si="50"/>
        <v/>
      </c>
      <c r="G167" t="str">
        <f t="shared" ca="1" si="50"/>
        <v/>
      </c>
      <c r="H167" t="str">
        <f t="shared" ca="1" si="50"/>
        <v/>
      </c>
      <c r="I167" t="str">
        <f t="shared" ca="1" si="50"/>
        <v/>
      </c>
      <c r="J167" s="229" t="str">
        <f t="shared" ca="1" si="40"/>
        <v/>
      </c>
      <c r="K167" s="229" t="str">
        <f t="shared" ca="1" si="41"/>
        <v/>
      </c>
      <c r="L167" s="229" t="str">
        <f t="shared" ca="1" si="42"/>
        <v/>
      </c>
      <c r="M167" s="229" t="str">
        <f t="shared" ref="M167:P204" ca="1" si="51">IFERROR(INDIRECT("'"&amp;$B$6&amp;$C167&amp;"'!"&amp;M$4),"")</f>
        <v/>
      </c>
      <c r="N167" s="229" t="str">
        <f t="shared" ca="1" si="51"/>
        <v/>
      </c>
      <c r="O167" s="229" t="str">
        <f t="shared" ca="1" si="51"/>
        <v/>
      </c>
      <c r="P167" s="229" t="str">
        <f t="shared" ca="1" si="51"/>
        <v/>
      </c>
      <c r="Q167" s="229" t="str">
        <f t="shared" ca="1" si="44"/>
        <v/>
      </c>
      <c r="R167" s="234" t="str">
        <f t="shared" ca="1" si="49"/>
        <v/>
      </c>
      <c r="S167" s="234" t="str">
        <f t="shared" ca="1" si="45"/>
        <v/>
      </c>
      <c r="T167" s="231" t="str">
        <f t="shared" ca="1" si="46"/>
        <v/>
      </c>
      <c r="U167" s="234" t="str">
        <f ca="1">IF(T167="","",CleaningSheet!AH175)</f>
        <v/>
      </c>
      <c r="V167" t="str">
        <f t="shared" ca="1" si="47"/>
        <v/>
      </c>
      <c r="W167" s="229" t="str">
        <f t="shared" ca="1" si="48"/>
        <v/>
      </c>
    </row>
    <row r="168" spans="3:23" x14ac:dyDescent="0.2">
      <c r="C168" t="str">
        <f>IF($A$1&lt;COUNTIF($C$5:C167,"&lt;&gt;"),"",COUNTIF($C$5:C167,"&lt;&gt;"))</f>
        <v/>
      </c>
      <c r="D168" t="str">
        <f t="shared" ca="1" si="50"/>
        <v/>
      </c>
      <c r="E168" t="str">
        <f t="shared" ca="1" si="50"/>
        <v/>
      </c>
      <c r="F168" t="str">
        <f t="shared" ca="1" si="50"/>
        <v/>
      </c>
      <c r="G168" t="str">
        <f t="shared" ca="1" si="50"/>
        <v/>
      </c>
      <c r="H168" t="str">
        <f t="shared" ca="1" si="50"/>
        <v/>
      </c>
      <c r="I168" t="str">
        <f t="shared" ca="1" si="50"/>
        <v/>
      </c>
      <c r="J168" s="229" t="str">
        <f t="shared" ca="1" si="40"/>
        <v/>
      </c>
      <c r="K168" s="229" t="str">
        <f t="shared" ca="1" si="41"/>
        <v/>
      </c>
      <c r="L168" s="229" t="str">
        <f t="shared" ca="1" si="42"/>
        <v/>
      </c>
      <c r="M168" s="229" t="str">
        <f t="shared" ca="1" si="51"/>
        <v/>
      </c>
      <c r="N168" s="229" t="str">
        <f t="shared" ca="1" si="51"/>
        <v/>
      </c>
      <c r="O168" s="229" t="str">
        <f t="shared" ca="1" si="51"/>
        <v/>
      </c>
      <c r="P168" s="229" t="str">
        <f t="shared" ca="1" si="51"/>
        <v/>
      </c>
      <c r="Q168" s="229" t="str">
        <f t="shared" ca="1" si="44"/>
        <v/>
      </c>
      <c r="R168" s="234" t="str">
        <f t="shared" ca="1" si="49"/>
        <v/>
      </c>
      <c r="S168" s="234" t="str">
        <f t="shared" ca="1" si="45"/>
        <v/>
      </c>
      <c r="T168" s="231" t="str">
        <f t="shared" ca="1" si="46"/>
        <v/>
      </c>
      <c r="U168" s="234" t="str">
        <f ca="1">IF(T168="","",CleaningSheet!AH176)</f>
        <v/>
      </c>
      <c r="V168" t="str">
        <f t="shared" ca="1" si="47"/>
        <v/>
      </c>
      <c r="W168" s="229" t="str">
        <f t="shared" ca="1" si="48"/>
        <v/>
      </c>
    </row>
    <row r="169" spans="3:23" x14ac:dyDescent="0.2">
      <c r="C169" t="str">
        <f>IF($A$1&lt;COUNTIF($C$5:C168,"&lt;&gt;"),"",COUNTIF($C$5:C168,"&lt;&gt;"))</f>
        <v/>
      </c>
      <c r="D169" t="str">
        <f t="shared" ca="1" si="50"/>
        <v/>
      </c>
      <c r="E169" t="str">
        <f t="shared" ca="1" si="50"/>
        <v/>
      </c>
      <c r="F169" t="str">
        <f t="shared" ca="1" si="50"/>
        <v/>
      </c>
      <c r="G169" t="str">
        <f t="shared" ca="1" si="50"/>
        <v/>
      </c>
      <c r="H169" t="str">
        <f t="shared" ca="1" si="50"/>
        <v/>
      </c>
      <c r="I169" t="str">
        <f t="shared" ca="1" si="50"/>
        <v/>
      </c>
      <c r="J169" s="229" t="str">
        <f t="shared" ca="1" si="40"/>
        <v/>
      </c>
      <c r="K169" s="229" t="str">
        <f t="shared" ca="1" si="41"/>
        <v/>
      </c>
      <c r="L169" s="229" t="str">
        <f t="shared" ca="1" si="42"/>
        <v/>
      </c>
      <c r="M169" s="229" t="str">
        <f t="shared" ca="1" si="51"/>
        <v/>
      </c>
      <c r="N169" s="229" t="str">
        <f t="shared" ca="1" si="51"/>
        <v/>
      </c>
      <c r="O169" s="229" t="str">
        <f t="shared" ca="1" si="51"/>
        <v/>
      </c>
      <c r="P169" s="229" t="str">
        <f t="shared" ca="1" si="51"/>
        <v/>
      </c>
      <c r="Q169" s="229" t="str">
        <f t="shared" ca="1" si="44"/>
        <v/>
      </c>
      <c r="R169" s="234" t="str">
        <f t="shared" ca="1" si="49"/>
        <v/>
      </c>
      <c r="S169" s="234" t="str">
        <f t="shared" ca="1" si="45"/>
        <v/>
      </c>
      <c r="T169" s="231" t="str">
        <f t="shared" ca="1" si="46"/>
        <v/>
      </c>
      <c r="U169" s="234" t="str">
        <f ca="1">IF(T169="","",CleaningSheet!AH177)</f>
        <v/>
      </c>
      <c r="V169" t="str">
        <f t="shared" ca="1" si="47"/>
        <v/>
      </c>
      <c r="W169" s="229" t="str">
        <f t="shared" ca="1" si="48"/>
        <v/>
      </c>
    </row>
    <row r="170" spans="3:23" x14ac:dyDescent="0.2">
      <c r="C170" t="str">
        <f>IF($A$1&lt;COUNTIF($C$5:C169,"&lt;&gt;"),"",COUNTIF($C$5:C169,"&lt;&gt;"))</f>
        <v/>
      </c>
      <c r="D170" t="str">
        <f t="shared" ca="1" si="50"/>
        <v/>
      </c>
      <c r="E170" t="str">
        <f t="shared" ca="1" si="50"/>
        <v/>
      </c>
      <c r="F170" t="str">
        <f t="shared" ca="1" si="50"/>
        <v/>
      </c>
      <c r="G170" t="str">
        <f t="shared" ca="1" si="50"/>
        <v/>
      </c>
      <c r="H170" t="str">
        <f t="shared" ca="1" si="50"/>
        <v/>
      </c>
      <c r="I170" t="str">
        <f t="shared" ca="1" si="50"/>
        <v/>
      </c>
      <c r="J170" s="229" t="str">
        <f t="shared" ca="1" si="40"/>
        <v/>
      </c>
      <c r="K170" s="229" t="str">
        <f t="shared" ca="1" si="41"/>
        <v/>
      </c>
      <c r="L170" s="229" t="str">
        <f t="shared" ca="1" si="42"/>
        <v/>
      </c>
      <c r="M170" s="229" t="str">
        <f t="shared" ca="1" si="51"/>
        <v/>
      </c>
      <c r="N170" s="229" t="str">
        <f t="shared" ca="1" si="51"/>
        <v/>
      </c>
      <c r="O170" s="229" t="str">
        <f t="shared" ca="1" si="51"/>
        <v/>
      </c>
      <c r="P170" s="229" t="str">
        <f t="shared" ca="1" si="51"/>
        <v/>
      </c>
      <c r="Q170" s="229" t="str">
        <f t="shared" ca="1" si="44"/>
        <v/>
      </c>
      <c r="R170" s="234" t="str">
        <f t="shared" ca="1" si="49"/>
        <v/>
      </c>
      <c r="S170" s="234" t="str">
        <f t="shared" ca="1" si="45"/>
        <v/>
      </c>
      <c r="T170" s="231" t="str">
        <f t="shared" ca="1" si="46"/>
        <v/>
      </c>
      <c r="U170" s="234" t="str">
        <f ca="1">IF(T170="","",CleaningSheet!AH178)</f>
        <v/>
      </c>
      <c r="V170" t="str">
        <f t="shared" ca="1" si="47"/>
        <v/>
      </c>
      <c r="W170" s="229" t="str">
        <f t="shared" ca="1" si="48"/>
        <v/>
      </c>
    </row>
    <row r="171" spans="3:23" x14ac:dyDescent="0.2">
      <c r="C171" t="str">
        <f>IF($A$1&lt;COUNTIF($C$5:C170,"&lt;&gt;"),"",COUNTIF($C$5:C170,"&lt;&gt;"))</f>
        <v/>
      </c>
      <c r="D171" t="str">
        <f t="shared" ca="1" si="50"/>
        <v/>
      </c>
      <c r="E171" t="str">
        <f t="shared" ca="1" si="50"/>
        <v/>
      </c>
      <c r="F171" t="str">
        <f t="shared" ca="1" si="50"/>
        <v/>
      </c>
      <c r="G171" t="str">
        <f t="shared" ca="1" si="50"/>
        <v/>
      </c>
      <c r="H171" t="str">
        <f t="shared" ca="1" si="50"/>
        <v/>
      </c>
      <c r="I171" t="str">
        <f t="shared" ca="1" si="50"/>
        <v/>
      </c>
      <c r="J171" s="229" t="str">
        <f t="shared" ca="1" si="40"/>
        <v/>
      </c>
      <c r="K171" s="229" t="str">
        <f t="shared" ca="1" si="41"/>
        <v/>
      </c>
      <c r="L171" s="229" t="str">
        <f t="shared" ca="1" si="42"/>
        <v/>
      </c>
      <c r="M171" s="229" t="str">
        <f t="shared" ca="1" si="51"/>
        <v/>
      </c>
      <c r="N171" s="229" t="str">
        <f t="shared" ca="1" si="51"/>
        <v/>
      </c>
      <c r="O171" s="229" t="str">
        <f t="shared" ca="1" si="51"/>
        <v/>
      </c>
      <c r="P171" s="229" t="str">
        <f t="shared" ca="1" si="51"/>
        <v/>
      </c>
      <c r="Q171" s="229" t="str">
        <f t="shared" ca="1" si="44"/>
        <v/>
      </c>
      <c r="R171" s="234" t="str">
        <f t="shared" ca="1" si="49"/>
        <v/>
      </c>
      <c r="S171" s="234" t="str">
        <f t="shared" ca="1" si="45"/>
        <v/>
      </c>
      <c r="T171" s="231" t="str">
        <f t="shared" ca="1" si="46"/>
        <v/>
      </c>
      <c r="U171" s="234" t="str">
        <f ca="1">IF(T171="","",CleaningSheet!AH179)</f>
        <v/>
      </c>
      <c r="V171" t="str">
        <f t="shared" ca="1" si="47"/>
        <v/>
      </c>
      <c r="W171" s="229" t="str">
        <f t="shared" ca="1" si="48"/>
        <v/>
      </c>
    </row>
    <row r="172" spans="3:23" x14ac:dyDescent="0.2">
      <c r="C172" t="str">
        <f>IF($A$1&lt;COUNTIF($C$5:C171,"&lt;&gt;"),"",COUNTIF($C$5:C171,"&lt;&gt;"))</f>
        <v/>
      </c>
      <c r="D172" t="str">
        <f t="shared" ca="1" si="50"/>
        <v/>
      </c>
      <c r="E172" t="str">
        <f t="shared" ca="1" si="50"/>
        <v/>
      </c>
      <c r="F172" t="str">
        <f t="shared" ca="1" si="50"/>
        <v/>
      </c>
      <c r="G172" t="str">
        <f t="shared" ca="1" si="50"/>
        <v/>
      </c>
      <c r="H172" t="str">
        <f t="shared" ca="1" si="50"/>
        <v/>
      </c>
      <c r="I172" t="str">
        <f t="shared" ca="1" si="50"/>
        <v/>
      </c>
      <c r="J172" s="229" t="str">
        <f t="shared" ca="1" si="40"/>
        <v/>
      </c>
      <c r="K172" s="229" t="str">
        <f t="shared" ca="1" si="41"/>
        <v/>
      </c>
      <c r="L172" s="229" t="str">
        <f t="shared" ca="1" si="42"/>
        <v/>
      </c>
      <c r="M172" s="229" t="str">
        <f t="shared" ca="1" si="51"/>
        <v/>
      </c>
      <c r="N172" s="229" t="str">
        <f t="shared" ca="1" si="51"/>
        <v/>
      </c>
      <c r="O172" s="229" t="str">
        <f t="shared" ca="1" si="51"/>
        <v/>
      </c>
      <c r="P172" s="229" t="str">
        <f t="shared" ca="1" si="51"/>
        <v/>
      </c>
      <c r="Q172" s="229" t="str">
        <f t="shared" ca="1" si="44"/>
        <v/>
      </c>
      <c r="R172" s="234" t="str">
        <f t="shared" ca="1" si="49"/>
        <v/>
      </c>
      <c r="S172" s="234" t="str">
        <f t="shared" ca="1" si="45"/>
        <v/>
      </c>
      <c r="T172" s="231" t="str">
        <f t="shared" ca="1" si="46"/>
        <v/>
      </c>
      <c r="U172" s="234" t="str">
        <f ca="1">IF(T172="","",CleaningSheet!AH180)</f>
        <v/>
      </c>
      <c r="V172" t="str">
        <f t="shared" ca="1" si="47"/>
        <v/>
      </c>
      <c r="W172" s="229" t="str">
        <f t="shared" ca="1" si="48"/>
        <v/>
      </c>
    </row>
    <row r="173" spans="3:23" x14ac:dyDescent="0.2">
      <c r="C173" t="str">
        <f>IF($A$1&lt;COUNTIF($C$5:C172,"&lt;&gt;"),"",COUNTIF($C$5:C172,"&lt;&gt;"))</f>
        <v/>
      </c>
      <c r="D173" t="str">
        <f t="shared" ca="1" si="50"/>
        <v/>
      </c>
      <c r="E173" t="str">
        <f t="shared" ca="1" si="50"/>
        <v/>
      </c>
      <c r="F173" t="str">
        <f t="shared" ca="1" si="50"/>
        <v/>
      </c>
      <c r="G173" t="str">
        <f t="shared" ca="1" si="50"/>
        <v/>
      </c>
      <c r="H173" t="str">
        <f t="shared" ca="1" si="50"/>
        <v/>
      </c>
      <c r="I173" t="str">
        <f t="shared" ca="1" si="50"/>
        <v/>
      </c>
      <c r="J173" s="229" t="str">
        <f t="shared" ca="1" si="40"/>
        <v/>
      </c>
      <c r="K173" s="229" t="str">
        <f t="shared" ca="1" si="41"/>
        <v/>
      </c>
      <c r="L173" s="229" t="str">
        <f t="shared" ca="1" si="42"/>
        <v/>
      </c>
      <c r="M173" s="229" t="str">
        <f t="shared" ca="1" si="51"/>
        <v/>
      </c>
      <c r="N173" s="229" t="str">
        <f t="shared" ca="1" si="51"/>
        <v/>
      </c>
      <c r="O173" s="229" t="str">
        <f t="shared" ca="1" si="51"/>
        <v/>
      </c>
      <c r="P173" s="229" t="str">
        <f t="shared" ca="1" si="51"/>
        <v/>
      </c>
      <c r="Q173" s="229" t="str">
        <f t="shared" ca="1" si="44"/>
        <v/>
      </c>
      <c r="R173" s="234" t="str">
        <f t="shared" ca="1" si="49"/>
        <v/>
      </c>
      <c r="S173" s="234" t="str">
        <f t="shared" ca="1" si="45"/>
        <v/>
      </c>
      <c r="T173" s="231" t="str">
        <f t="shared" ca="1" si="46"/>
        <v/>
      </c>
      <c r="U173" s="234" t="str">
        <f ca="1">IF(T173="","",CleaningSheet!AH181)</f>
        <v/>
      </c>
      <c r="V173" t="str">
        <f t="shared" ca="1" si="47"/>
        <v/>
      </c>
      <c r="W173" s="229" t="str">
        <f t="shared" ca="1" si="48"/>
        <v/>
      </c>
    </row>
    <row r="174" spans="3:23" x14ac:dyDescent="0.2">
      <c r="C174" t="str">
        <f>IF($A$1&lt;COUNTIF($C$5:C173,"&lt;&gt;"),"",COUNTIF($C$5:C173,"&lt;&gt;"))</f>
        <v/>
      </c>
      <c r="D174" t="str">
        <f t="shared" ca="1" si="50"/>
        <v/>
      </c>
      <c r="E174" t="str">
        <f t="shared" ca="1" si="50"/>
        <v/>
      </c>
      <c r="F174" t="str">
        <f t="shared" ca="1" si="50"/>
        <v/>
      </c>
      <c r="G174" t="str">
        <f t="shared" ca="1" si="50"/>
        <v/>
      </c>
      <c r="H174" t="str">
        <f t="shared" ca="1" si="50"/>
        <v/>
      </c>
      <c r="I174" t="str">
        <f t="shared" ca="1" si="50"/>
        <v/>
      </c>
      <c r="J174" s="229" t="str">
        <f t="shared" ca="1" si="40"/>
        <v/>
      </c>
      <c r="K174" s="229" t="str">
        <f t="shared" ca="1" si="41"/>
        <v/>
      </c>
      <c r="L174" s="229" t="str">
        <f t="shared" ca="1" si="42"/>
        <v/>
      </c>
      <c r="M174" s="229" t="str">
        <f t="shared" ca="1" si="51"/>
        <v/>
      </c>
      <c r="N174" s="229" t="str">
        <f t="shared" ca="1" si="51"/>
        <v/>
      </c>
      <c r="O174" s="229" t="str">
        <f t="shared" ca="1" si="51"/>
        <v/>
      </c>
      <c r="P174" s="229" t="str">
        <f t="shared" ca="1" si="51"/>
        <v/>
      </c>
      <c r="Q174" s="229" t="str">
        <f t="shared" ca="1" si="44"/>
        <v/>
      </c>
      <c r="R174" s="234" t="str">
        <f t="shared" ca="1" si="49"/>
        <v/>
      </c>
      <c r="S174" s="234" t="str">
        <f t="shared" ca="1" si="45"/>
        <v/>
      </c>
      <c r="T174" s="231" t="str">
        <f t="shared" ca="1" si="46"/>
        <v/>
      </c>
      <c r="U174" s="234" t="str">
        <f ca="1">IF(T174="","",CleaningSheet!AH182)</f>
        <v/>
      </c>
      <c r="V174" t="str">
        <f t="shared" ca="1" si="47"/>
        <v/>
      </c>
      <c r="W174" s="229" t="str">
        <f t="shared" ca="1" si="48"/>
        <v/>
      </c>
    </row>
    <row r="175" spans="3:23" x14ac:dyDescent="0.2">
      <c r="C175" t="str">
        <f>IF($A$1&lt;COUNTIF($C$5:C174,"&lt;&gt;"),"",COUNTIF($C$5:C174,"&lt;&gt;"))</f>
        <v/>
      </c>
      <c r="D175" t="str">
        <f t="shared" ca="1" si="50"/>
        <v/>
      </c>
      <c r="E175" t="str">
        <f t="shared" ca="1" si="50"/>
        <v/>
      </c>
      <c r="F175" t="str">
        <f t="shared" ca="1" si="50"/>
        <v/>
      </c>
      <c r="G175" t="str">
        <f t="shared" ca="1" si="50"/>
        <v/>
      </c>
      <c r="H175" t="str">
        <f t="shared" ca="1" si="50"/>
        <v/>
      </c>
      <c r="I175" t="str">
        <f t="shared" ca="1" si="50"/>
        <v/>
      </c>
      <c r="J175" s="229" t="str">
        <f t="shared" ca="1" si="40"/>
        <v/>
      </c>
      <c r="K175" s="229" t="str">
        <f t="shared" ca="1" si="41"/>
        <v/>
      </c>
      <c r="L175" s="229" t="str">
        <f t="shared" ca="1" si="42"/>
        <v/>
      </c>
      <c r="M175" s="229" t="str">
        <f t="shared" ca="1" si="51"/>
        <v/>
      </c>
      <c r="N175" s="229" t="str">
        <f t="shared" ca="1" si="51"/>
        <v/>
      </c>
      <c r="O175" s="229" t="str">
        <f t="shared" ca="1" si="51"/>
        <v/>
      </c>
      <c r="P175" s="229" t="str">
        <f t="shared" ca="1" si="51"/>
        <v/>
      </c>
      <c r="Q175" s="229" t="str">
        <f t="shared" ca="1" si="44"/>
        <v/>
      </c>
      <c r="R175" s="234" t="str">
        <f t="shared" ca="1" si="49"/>
        <v/>
      </c>
      <c r="S175" s="234" t="str">
        <f t="shared" ca="1" si="45"/>
        <v/>
      </c>
      <c r="T175" s="231" t="str">
        <f t="shared" ca="1" si="46"/>
        <v/>
      </c>
      <c r="U175" s="234" t="str">
        <f ca="1">IF(T175="","",CleaningSheet!AH183)</f>
        <v/>
      </c>
      <c r="V175" t="str">
        <f t="shared" ca="1" si="47"/>
        <v/>
      </c>
      <c r="W175" s="229" t="str">
        <f t="shared" ca="1" si="48"/>
        <v/>
      </c>
    </row>
    <row r="176" spans="3:23" x14ac:dyDescent="0.2">
      <c r="C176" t="str">
        <f>IF($A$1&lt;COUNTIF($C$5:C175,"&lt;&gt;"),"",COUNTIF($C$5:C175,"&lt;&gt;"))</f>
        <v/>
      </c>
      <c r="D176" t="str">
        <f t="shared" ca="1" si="50"/>
        <v/>
      </c>
      <c r="E176" t="str">
        <f t="shared" ca="1" si="50"/>
        <v/>
      </c>
      <c r="F176" t="str">
        <f t="shared" ca="1" si="50"/>
        <v/>
      </c>
      <c r="G176" t="str">
        <f t="shared" ca="1" si="50"/>
        <v/>
      </c>
      <c r="H176" t="str">
        <f t="shared" ca="1" si="50"/>
        <v/>
      </c>
      <c r="I176" t="str">
        <f t="shared" ca="1" si="50"/>
        <v/>
      </c>
      <c r="J176" s="229" t="str">
        <f t="shared" ca="1" si="40"/>
        <v/>
      </c>
      <c r="K176" s="229" t="str">
        <f t="shared" ca="1" si="41"/>
        <v/>
      </c>
      <c r="L176" s="229" t="str">
        <f t="shared" ca="1" si="42"/>
        <v/>
      </c>
      <c r="M176" s="229" t="str">
        <f t="shared" ca="1" si="51"/>
        <v/>
      </c>
      <c r="N176" s="229" t="str">
        <f t="shared" ca="1" si="51"/>
        <v/>
      </c>
      <c r="O176" s="229" t="str">
        <f t="shared" ca="1" si="51"/>
        <v/>
      </c>
      <c r="P176" s="229" t="str">
        <f t="shared" ca="1" si="51"/>
        <v/>
      </c>
      <c r="Q176" s="229" t="str">
        <f t="shared" ca="1" si="44"/>
        <v/>
      </c>
      <c r="R176" s="234" t="str">
        <f t="shared" ca="1" si="49"/>
        <v/>
      </c>
      <c r="S176" s="234" t="str">
        <f t="shared" ca="1" si="45"/>
        <v/>
      </c>
      <c r="T176" s="231" t="str">
        <f t="shared" ca="1" si="46"/>
        <v/>
      </c>
      <c r="U176" s="234" t="str">
        <f ca="1">IF(T176="","",CleaningSheet!AH184)</f>
        <v/>
      </c>
      <c r="V176" t="str">
        <f t="shared" ca="1" si="47"/>
        <v/>
      </c>
      <c r="W176" s="229" t="str">
        <f t="shared" ca="1" si="48"/>
        <v/>
      </c>
    </row>
    <row r="177" spans="3:23" x14ac:dyDescent="0.2">
      <c r="C177" t="str">
        <f>IF($A$1&lt;COUNTIF($C$5:C176,"&lt;&gt;"),"",COUNTIF($C$5:C176,"&lt;&gt;"))</f>
        <v/>
      </c>
      <c r="D177" t="str">
        <f t="shared" ca="1" si="50"/>
        <v/>
      </c>
      <c r="E177" t="str">
        <f t="shared" ca="1" si="50"/>
        <v/>
      </c>
      <c r="F177" t="str">
        <f t="shared" ca="1" si="50"/>
        <v/>
      </c>
      <c r="G177" t="str">
        <f t="shared" ca="1" si="50"/>
        <v/>
      </c>
      <c r="H177" t="str">
        <f t="shared" ca="1" si="50"/>
        <v/>
      </c>
      <c r="I177" t="str">
        <f t="shared" ca="1" si="50"/>
        <v/>
      </c>
      <c r="J177" s="229" t="str">
        <f t="shared" ca="1" si="40"/>
        <v/>
      </c>
      <c r="K177" s="229" t="str">
        <f t="shared" ca="1" si="41"/>
        <v/>
      </c>
      <c r="L177" s="229" t="str">
        <f t="shared" ca="1" si="42"/>
        <v/>
      </c>
      <c r="M177" s="229" t="str">
        <f t="shared" ca="1" si="51"/>
        <v/>
      </c>
      <c r="N177" s="229" t="str">
        <f t="shared" ca="1" si="51"/>
        <v/>
      </c>
      <c r="O177" s="229" t="str">
        <f t="shared" ca="1" si="51"/>
        <v/>
      </c>
      <c r="P177" s="229" t="str">
        <f t="shared" ca="1" si="51"/>
        <v/>
      </c>
      <c r="Q177" s="229" t="str">
        <f t="shared" ca="1" si="44"/>
        <v/>
      </c>
      <c r="R177" s="234" t="str">
        <f t="shared" ca="1" si="49"/>
        <v/>
      </c>
      <c r="S177" s="234" t="str">
        <f t="shared" ca="1" si="45"/>
        <v/>
      </c>
      <c r="T177" s="231" t="str">
        <f t="shared" ca="1" si="46"/>
        <v/>
      </c>
      <c r="U177" s="234" t="str">
        <f ca="1">IF(T177="","",CleaningSheet!AH185)</f>
        <v/>
      </c>
      <c r="V177" t="str">
        <f t="shared" ca="1" si="47"/>
        <v/>
      </c>
      <c r="W177" s="229" t="str">
        <f t="shared" ca="1" si="48"/>
        <v/>
      </c>
    </row>
    <row r="178" spans="3:23" x14ac:dyDescent="0.2">
      <c r="C178" t="str">
        <f>IF($A$1&lt;COUNTIF($C$5:C177,"&lt;&gt;"),"",COUNTIF($C$5:C177,"&lt;&gt;"))</f>
        <v/>
      </c>
      <c r="D178" t="str">
        <f t="shared" ca="1" si="50"/>
        <v/>
      </c>
      <c r="E178" t="str">
        <f t="shared" ca="1" si="50"/>
        <v/>
      </c>
      <c r="F178" t="str">
        <f t="shared" ca="1" si="50"/>
        <v/>
      </c>
      <c r="G178" t="str">
        <f t="shared" ca="1" si="50"/>
        <v/>
      </c>
      <c r="H178" t="str">
        <f t="shared" ca="1" si="50"/>
        <v/>
      </c>
      <c r="I178" t="str">
        <f t="shared" ca="1" si="50"/>
        <v/>
      </c>
      <c r="J178" s="229" t="str">
        <f t="shared" ca="1" si="40"/>
        <v/>
      </c>
      <c r="K178" s="229" t="str">
        <f t="shared" ca="1" si="41"/>
        <v/>
      </c>
      <c r="L178" s="229" t="str">
        <f t="shared" ca="1" si="42"/>
        <v/>
      </c>
      <c r="M178" s="229" t="str">
        <f t="shared" ca="1" si="51"/>
        <v/>
      </c>
      <c r="N178" s="229" t="str">
        <f t="shared" ca="1" si="51"/>
        <v/>
      </c>
      <c r="O178" s="229" t="str">
        <f t="shared" ca="1" si="51"/>
        <v/>
      </c>
      <c r="P178" s="229" t="str">
        <f t="shared" ca="1" si="51"/>
        <v/>
      </c>
      <c r="Q178" s="229" t="str">
        <f t="shared" ca="1" si="44"/>
        <v/>
      </c>
      <c r="R178" s="234" t="str">
        <f t="shared" ca="1" si="49"/>
        <v/>
      </c>
      <c r="S178" s="234" t="str">
        <f t="shared" ca="1" si="45"/>
        <v/>
      </c>
      <c r="T178" s="231" t="str">
        <f t="shared" ca="1" si="46"/>
        <v/>
      </c>
      <c r="U178" s="234" t="str">
        <f ca="1">IF(T178="","",CleaningSheet!AH186)</f>
        <v/>
      </c>
      <c r="V178" t="str">
        <f t="shared" ca="1" si="47"/>
        <v/>
      </c>
      <c r="W178" s="229" t="str">
        <f t="shared" ca="1" si="48"/>
        <v/>
      </c>
    </row>
    <row r="179" spans="3:23" x14ac:dyDescent="0.2">
      <c r="C179" t="str">
        <f>IF($A$1&lt;COUNTIF($C$5:C178,"&lt;&gt;"),"",COUNTIF($C$5:C178,"&lt;&gt;"))</f>
        <v/>
      </c>
      <c r="D179" t="str">
        <f t="shared" ca="1" si="50"/>
        <v/>
      </c>
      <c r="E179" t="str">
        <f t="shared" ca="1" si="50"/>
        <v/>
      </c>
      <c r="F179" t="str">
        <f t="shared" ca="1" si="50"/>
        <v/>
      </c>
      <c r="G179" t="str">
        <f t="shared" ca="1" si="50"/>
        <v/>
      </c>
      <c r="H179" t="str">
        <f t="shared" ca="1" si="50"/>
        <v/>
      </c>
      <c r="I179" t="str">
        <f t="shared" ca="1" si="50"/>
        <v/>
      </c>
      <c r="J179" s="229" t="str">
        <f t="shared" ca="1" si="40"/>
        <v/>
      </c>
      <c r="K179" s="229" t="str">
        <f t="shared" ca="1" si="41"/>
        <v/>
      </c>
      <c r="L179" s="229" t="str">
        <f t="shared" ca="1" si="42"/>
        <v/>
      </c>
      <c r="M179" s="229" t="str">
        <f t="shared" ca="1" si="51"/>
        <v/>
      </c>
      <c r="N179" s="229" t="str">
        <f t="shared" ca="1" si="51"/>
        <v/>
      </c>
      <c r="O179" s="229" t="str">
        <f t="shared" ca="1" si="51"/>
        <v/>
      </c>
      <c r="P179" s="229" t="str">
        <f t="shared" ca="1" si="51"/>
        <v/>
      </c>
      <c r="Q179" s="229" t="str">
        <f t="shared" ca="1" si="44"/>
        <v/>
      </c>
      <c r="R179" s="234" t="str">
        <f t="shared" ca="1" si="49"/>
        <v/>
      </c>
      <c r="S179" s="234" t="str">
        <f t="shared" ca="1" si="45"/>
        <v/>
      </c>
      <c r="T179" s="231" t="str">
        <f t="shared" ca="1" si="46"/>
        <v/>
      </c>
      <c r="U179" s="234" t="str">
        <f ca="1">IF(T179="","",CleaningSheet!AH187)</f>
        <v/>
      </c>
      <c r="V179" t="str">
        <f t="shared" ca="1" si="47"/>
        <v/>
      </c>
      <c r="W179" s="229" t="str">
        <f t="shared" ca="1" si="48"/>
        <v/>
      </c>
    </row>
    <row r="180" spans="3:23" x14ac:dyDescent="0.2">
      <c r="C180" t="str">
        <f>IF($A$1&lt;COUNTIF($C$5:C179,"&lt;&gt;"),"",COUNTIF($C$5:C179,"&lt;&gt;"))</f>
        <v/>
      </c>
      <c r="D180" t="str">
        <f t="shared" ca="1" si="50"/>
        <v/>
      </c>
      <c r="E180" t="str">
        <f t="shared" ca="1" si="50"/>
        <v/>
      </c>
      <c r="F180" t="str">
        <f t="shared" ca="1" si="50"/>
        <v/>
      </c>
      <c r="G180" t="str">
        <f t="shared" ca="1" si="50"/>
        <v/>
      </c>
      <c r="H180" t="str">
        <f t="shared" ca="1" si="50"/>
        <v/>
      </c>
      <c r="I180" t="str">
        <f t="shared" ca="1" si="50"/>
        <v/>
      </c>
      <c r="J180" s="229" t="str">
        <f t="shared" ca="1" si="40"/>
        <v/>
      </c>
      <c r="K180" s="229" t="str">
        <f t="shared" ca="1" si="41"/>
        <v/>
      </c>
      <c r="L180" s="229" t="str">
        <f t="shared" ca="1" si="42"/>
        <v/>
      </c>
      <c r="M180" s="229" t="str">
        <f t="shared" ca="1" si="51"/>
        <v/>
      </c>
      <c r="N180" s="229" t="str">
        <f t="shared" ca="1" si="51"/>
        <v/>
      </c>
      <c r="O180" s="229" t="str">
        <f t="shared" ca="1" si="51"/>
        <v/>
      </c>
      <c r="P180" s="229" t="str">
        <f t="shared" ca="1" si="51"/>
        <v/>
      </c>
      <c r="Q180" s="229" t="str">
        <f t="shared" ca="1" si="44"/>
        <v/>
      </c>
      <c r="R180" s="234" t="str">
        <f t="shared" ca="1" si="49"/>
        <v/>
      </c>
      <c r="S180" s="234" t="str">
        <f t="shared" ca="1" si="45"/>
        <v/>
      </c>
      <c r="T180" s="231" t="str">
        <f t="shared" ca="1" si="46"/>
        <v/>
      </c>
      <c r="U180" s="234" t="str">
        <f ca="1">IF(T180="","",CleaningSheet!AH188)</f>
        <v/>
      </c>
      <c r="V180" t="str">
        <f t="shared" ca="1" si="47"/>
        <v/>
      </c>
      <c r="W180" s="229" t="str">
        <f t="shared" ca="1" si="48"/>
        <v/>
      </c>
    </row>
    <row r="181" spans="3:23" x14ac:dyDescent="0.2">
      <c r="C181" t="str">
        <f>IF($A$1&lt;COUNTIF($C$5:C180,"&lt;&gt;"),"",COUNTIF($C$5:C180,"&lt;&gt;"))</f>
        <v/>
      </c>
      <c r="D181" t="str">
        <f t="shared" ca="1" si="50"/>
        <v/>
      </c>
      <c r="E181" t="str">
        <f t="shared" ca="1" si="50"/>
        <v/>
      </c>
      <c r="F181" t="str">
        <f t="shared" ca="1" si="50"/>
        <v/>
      </c>
      <c r="G181" t="str">
        <f t="shared" ca="1" si="50"/>
        <v/>
      </c>
      <c r="H181" t="str">
        <f t="shared" ca="1" si="50"/>
        <v/>
      </c>
      <c r="I181" t="str">
        <f t="shared" ca="1" si="50"/>
        <v/>
      </c>
      <c r="J181" s="229" t="str">
        <f t="shared" ca="1" si="40"/>
        <v/>
      </c>
      <c r="K181" s="229" t="str">
        <f t="shared" ca="1" si="41"/>
        <v/>
      </c>
      <c r="L181" s="229" t="str">
        <f t="shared" ca="1" si="42"/>
        <v/>
      </c>
      <c r="M181" s="229" t="str">
        <f t="shared" ca="1" si="51"/>
        <v/>
      </c>
      <c r="N181" s="229" t="str">
        <f t="shared" ca="1" si="51"/>
        <v/>
      </c>
      <c r="O181" s="229" t="str">
        <f t="shared" ca="1" si="51"/>
        <v/>
      </c>
      <c r="P181" s="229" t="str">
        <f t="shared" ca="1" si="51"/>
        <v/>
      </c>
      <c r="Q181" s="229" t="str">
        <f t="shared" ca="1" si="44"/>
        <v/>
      </c>
      <c r="R181" s="234" t="str">
        <f t="shared" ca="1" si="49"/>
        <v/>
      </c>
      <c r="S181" s="234" t="str">
        <f t="shared" ca="1" si="45"/>
        <v/>
      </c>
      <c r="T181" s="231" t="str">
        <f t="shared" ca="1" si="46"/>
        <v/>
      </c>
      <c r="U181" s="234" t="str">
        <f ca="1">IF(T181="","",CleaningSheet!AH189)</f>
        <v/>
      </c>
      <c r="V181" t="str">
        <f t="shared" ca="1" si="47"/>
        <v/>
      </c>
      <c r="W181" s="229" t="str">
        <f t="shared" ca="1" si="48"/>
        <v/>
      </c>
    </row>
    <row r="182" spans="3:23" x14ac:dyDescent="0.2">
      <c r="C182" t="str">
        <f>IF($A$1&lt;COUNTIF($C$5:C181,"&lt;&gt;"),"",COUNTIF($C$5:C181,"&lt;&gt;"))</f>
        <v/>
      </c>
      <c r="D182" t="str">
        <f t="shared" ca="1" si="50"/>
        <v/>
      </c>
      <c r="E182" t="str">
        <f t="shared" ca="1" si="50"/>
        <v/>
      </c>
      <c r="F182" t="str">
        <f t="shared" ca="1" si="50"/>
        <v/>
      </c>
      <c r="G182" t="str">
        <f t="shared" ca="1" si="50"/>
        <v/>
      </c>
      <c r="H182" t="str">
        <f t="shared" ca="1" si="50"/>
        <v/>
      </c>
      <c r="I182" t="str">
        <f t="shared" ca="1" si="50"/>
        <v/>
      </c>
      <c r="J182" s="229" t="str">
        <f t="shared" ca="1" si="40"/>
        <v/>
      </c>
      <c r="K182" s="229" t="str">
        <f t="shared" ca="1" si="41"/>
        <v/>
      </c>
      <c r="L182" s="229" t="str">
        <f t="shared" ca="1" si="42"/>
        <v/>
      </c>
      <c r="M182" s="229" t="str">
        <f t="shared" ca="1" si="51"/>
        <v/>
      </c>
      <c r="N182" s="229" t="str">
        <f t="shared" ca="1" si="51"/>
        <v/>
      </c>
      <c r="O182" s="229" t="str">
        <f t="shared" ca="1" si="51"/>
        <v/>
      </c>
      <c r="P182" s="229" t="str">
        <f t="shared" ca="1" si="51"/>
        <v/>
      </c>
      <c r="Q182" s="229" t="str">
        <f t="shared" ca="1" si="44"/>
        <v/>
      </c>
      <c r="R182" s="234" t="str">
        <f t="shared" ca="1" si="49"/>
        <v/>
      </c>
      <c r="S182" s="234" t="str">
        <f t="shared" ca="1" si="45"/>
        <v/>
      </c>
      <c r="T182" s="231" t="str">
        <f t="shared" ca="1" si="46"/>
        <v/>
      </c>
      <c r="U182" s="234" t="str">
        <f ca="1">IF(T182="","",CleaningSheet!AH190)</f>
        <v/>
      </c>
      <c r="V182" t="str">
        <f t="shared" ca="1" si="47"/>
        <v/>
      </c>
      <c r="W182" s="229" t="str">
        <f t="shared" ca="1" si="48"/>
        <v/>
      </c>
    </row>
    <row r="183" spans="3:23" x14ac:dyDescent="0.2">
      <c r="C183" t="str">
        <f>IF($A$1&lt;COUNTIF($C$5:C182,"&lt;&gt;"),"",COUNTIF($C$5:C182,"&lt;&gt;"))</f>
        <v/>
      </c>
      <c r="D183" t="str">
        <f t="shared" ca="1" si="50"/>
        <v/>
      </c>
      <c r="E183" t="str">
        <f t="shared" ca="1" si="50"/>
        <v/>
      </c>
      <c r="F183" t="str">
        <f t="shared" ca="1" si="50"/>
        <v/>
      </c>
      <c r="G183" t="str">
        <f t="shared" ca="1" si="50"/>
        <v/>
      </c>
      <c r="H183" t="str">
        <f t="shared" ca="1" si="50"/>
        <v/>
      </c>
      <c r="I183" t="str">
        <f t="shared" ca="1" si="50"/>
        <v/>
      </c>
      <c r="J183" s="229" t="str">
        <f t="shared" ca="1" si="40"/>
        <v/>
      </c>
      <c r="K183" s="229" t="str">
        <f t="shared" ca="1" si="41"/>
        <v/>
      </c>
      <c r="L183" s="229" t="str">
        <f t="shared" ca="1" si="42"/>
        <v/>
      </c>
      <c r="M183" s="229" t="str">
        <f t="shared" ca="1" si="51"/>
        <v/>
      </c>
      <c r="N183" s="229" t="str">
        <f t="shared" ca="1" si="51"/>
        <v/>
      </c>
      <c r="O183" s="229" t="str">
        <f t="shared" ca="1" si="51"/>
        <v/>
      </c>
      <c r="P183" s="229" t="str">
        <f t="shared" ca="1" si="51"/>
        <v/>
      </c>
      <c r="Q183" s="229" t="str">
        <f t="shared" ca="1" si="44"/>
        <v/>
      </c>
      <c r="R183" s="234" t="str">
        <f t="shared" ca="1" si="49"/>
        <v/>
      </c>
      <c r="S183" s="234" t="str">
        <f t="shared" ca="1" si="45"/>
        <v/>
      </c>
      <c r="T183" s="231" t="str">
        <f t="shared" ca="1" si="46"/>
        <v/>
      </c>
      <c r="U183" s="234" t="str">
        <f ca="1">IF(T183="","",CleaningSheet!AH191)</f>
        <v/>
      </c>
      <c r="V183" t="str">
        <f t="shared" ca="1" si="47"/>
        <v/>
      </c>
      <c r="W183" s="229" t="str">
        <f t="shared" ca="1" si="48"/>
        <v/>
      </c>
    </row>
    <row r="184" spans="3:23" x14ac:dyDescent="0.2">
      <c r="C184" t="str">
        <f>IF($A$1&lt;COUNTIF($C$5:C183,"&lt;&gt;"),"",COUNTIF($C$5:C183,"&lt;&gt;"))</f>
        <v/>
      </c>
      <c r="D184" t="str">
        <f t="shared" ca="1" si="50"/>
        <v/>
      </c>
      <c r="E184" t="str">
        <f t="shared" ca="1" si="50"/>
        <v/>
      </c>
      <c r="F184" t="str">
        <f t="shared" ca="1" si="50"/>
        <v/>
      </c>
      <c r="G184" t="str">
        <f t="shared" ca="1" si="50"/>
        <v/>
      </c>
      <c r="H184" t="str">
        <f t="shared" ca="1" si="50"/>
        <v/>
      </c>
      <c r="I184" t="str">
        <f t="shared" ca="1" si="50"/>
        <v/>
      </c>
      <c r="J184" s="229" t="str">
        <f t="shared" ca="1" si="40"/>
        <v/>
      </c>
      <c r="K184" s="229" t="str">
        <f t="shared" ca="1" si="41"/>
        <v/>
      </c>
      <c r="L184" s="229" t="str">
        <f t="shared" ca="1" si="42"/>
        <v/>
      </c>
      <c r="M184" s="229" t="str">
        <f t="shared" ca="1" si="51"/>
        <v/>
      </c>
      <c r="N184" s="229" t="str">
        <f t="shared" ca="1" si="51"/>
        <v/>
      </c>
      <c r="O184" s="229" t="str">
        <f t="shared" ca="1" si="51"/>
        <v/>
      </c>
      <c r="P184" s="229" t="str">
        <f t="shared" ca="1" si="51"/>
        <v/>
      </c>
      <c r="Q184" s="229" t="str">
        <f t="shared" ca="1" si="44"/>
        <v/>
      </c>
      <c r="R184" s="234" t="str">
        <f t="shared" ca="1" si="49"/>
        <v/>
      </c>
      <c r="S184" s="234" t="str">
        <f t="shared" ca="1" si="45"/>
        <v/>
      </c>
      <c r="T184" s="231" t="str">
        <f t="shared" ca="1" si="46"/>
        <v/>
      </c>
      <c r="U184" s="234" t="str">
        <f ca="1">IF(T184="","",CleaningSheet!AH192)</f>
        <v/>
      </c>
      <c r="V184" t="str">
        <f t="shared" ca="1" si="47"/>
        <v/>
      </c>
      <c r="W184" s="229" t="str">
        <f t="shared" ca="1" si="48"/>
        <v/>
      </c>
    </row>
    <row r="185" spans="3:23" x14ac:dyDescent="0.2">
      <c r="C185" t="str">
        <f>IF($A$1&lt;COUNTIF($C$5:C184,"&lt;&gt;"),"",COUNTIF($C$5:C184,"&lt;&gt;"))</f>
        <v/>
      </c>
      <c r="D185" t="str">
        <f t="shared" ca="1" si="50"/>
        <v/>
      </c>
      <c r="E185" t="str">
        <f t="shared" ca="1" si="50"/>
        <v/>
      </c>
      <c r="F185" t="str">
        <f t="shared" ca="1" si="50"/>
        <v/>
      </c>
      <c r="G185" t="str">
        <f t="shared" ca="1" si="50"/>
        <v/>
      </c>
      <c r="H185" t="str">
        <f t="shared" ca="1" si="50"/>
        <v/>
      </c>
      <c r="I185" t="str">
        <f t="shared" ca="1" si="50"/>
        <v/>
      </c>
      <c r="J185" s="229" t="str">
        <f t="shared" ca="1" si="40"/>
        <v/>
      </c>
      <c r="K185" s="229" t="str">
        <f t="shared" ca="1" si="41"/>
        <v/>
      </c>
      <c r="L185" s="229" t="str">
        <f t="shared" ca="1" si="42"/>
        <v/>
      </c>
      <c r="M185" s="229" t="str">
        <f t="shared" ca="1" si="51"/>
        <v/>
      </c>
      <c r="N185" s="229" t="str">
        <f t="shared" ca="1" si="51"/>
        <v/>
      </c>
      <c r="O185" s="229" t="str">
        <f t="shared" ca="1" si="51"/>
        <v/>
      </c>
      <c r="P185" s="229" t="str">
        <f t="shared" ca="1" si="51"/>
        <v/>
      </c>
      <c r="Q185" s="229" t="str">
        <f t="shared" ca="1" si="44"/>
        <v/>
      </c>
      <c r="R185" s="234" t="str">
        <f t="shared" ca="1" si="49"/>
        <v/>
      </c>
      <c r="S185" s="234" t="str">
        <f t="shared" ca="1" si="45"/>
        <v/>
      </c>
      <c r="T185" s="231" t="str">
        <f t="shared" ca="1" si="46"/>
        <v/>
      </c>
      <c r="U185" s="234" t="str">
        <f ca="1">IF(T185="","",CleaningSheet!AH193)</f>
        <v/>
      </c>
      <c r="V185" t="str">
        <f t="shared" ca="1" si="47"/>
        <v/>
      </c>
      <c r="W185" s="229" t="str">
        <f t="shared" ca="1" si="48"/>
        <v/>
      </c>
    </row>
    <row r="186" spans="3:23" x14ac:dyDescent="0.2">
      <c r="C186" t="str">
        <f>IF($A$1&lt;COUNTIF($C$5:C185,"&lt;&gt;"),"",COUNTIF($C$5:C185,"&lt;&gt;"))</f>
        <v/>
      </c>
      <c r="D186" t="str">
        <f t="shared" ca="1" si="50"/>
        <v/>
      </c>
      <c r="E186" t="str">
        <f t="shared" ca="1" si="50"/>
        <v/>
      </c>
      <c r="F186" t="str">
        <f t="shared" ca="1" si="50"/>
        <v/>
      </c>
      <c r="G186" t="str">
        <f t="shared" ca="1" si="50"/>
        <v/>
      </c>
      <c r="H186" t="str">
        <f t="shared" ca="1" si="50"/>
        <v/>
      </c>
      <c r="I186" t="str">
        <f t="shared" ca="1" si="50"/>
        <v/>
      </c>
      <c r="J186" s="229" t="str">
        <f t="shared" ca="1" si="40"/>
        <v/>
      </c>
      <c r="K186" s="229" t="str">
        <f t="shared" ca="1" si="41"/>
        <v/>
      </c>
      <c r="L186" s="229" t="str">
        <f t="shared" ca="1" si="42"/>
        <v/>
      </c>
      <c r="M186" s="229" t="str">
        <f t="shared" ca="1" si="51"/>
        <v/>
      </c>
      <c r="N186" s="229" t="str">
        <f t="shared" ca="1" si="51"/>
        <v/>
      </c>
      <c r="O186" s="229" t="str">
        <f t="shared" ca="1" si="51"/>
        <v/>
      </c>
      <c r="P186" s="229" t="str">
        <f t="shared" ca="1" si="51"/>
        <v/>
      </c>
      <c r="Q186" s="229" t="str">
        <f t="shared" ca="1" si="44"/>
        <v/>
      </c>
      <c r="R186" s="234" t="str">
        <f t="shared" ca="1" si="49"/>
        <v/>
      </c>
      <c r="S186" s="234" t="str">
        <f t="shared" ca="1" si="45"/>
        <v/>
      </c>
      <c r="T186" s="231" t="str">
        <f t="shared" ca="1" si="46"/>
        <v/>
      </c>
      <c r="U186" s="234" t="str">
        <f ca="1">IF(T186="","",CleaningSheet!AH194)</f>
        <v/>
      </c>
      <c r="V186" t="str">
        <f t="shared" ca="1" si="47"/>
        <v/>
      </c>
      <c r="W186" s="229" t="str">
        <f t="shared" ca="1" si="48"/>
        <v/>
      </c>
    </row>
    <row r="187" spans="3:23" x14ac:dyDescent="0.2">
      <c r="C187" t="str">
        <f>IF($A$1&lt;COUNTIF($C$5:C186,"&lt;&gt;"),"",COUNTIF($C$5:C186,"&lt;&gt;"))</f>
        <v/>
      </c>
      <c r="D187" t="str">
        <f t="shared" ca="1" si="50"/>
        <v/>
      </c>
      <c r="E187" t="str">
        <f t="shared" ca="1" si="50"/>
        <v/>
      </c>
      <c r="F187" t="str">
        <f t="shared" ca="1" si="50"/>
        <v/>
      </c>
      <c r="G187" t="str">
        <f t="shared" ca="1" si="50"/>
        <v/>
      </c>
      <c r="H187" t="str">
        <f t="shared" ca="1" si="50"/>
        <v/>
      </c>
      <c r="I187" t="str">
        <f t="shared" ca="1" si="50"/>
        <v/>
      </c>
      <c r="J187" s="229" t="str">
        <f t="shared" ca="1" si="40"/>
        <v/>
      </c>
      <c r="K187" s="229" t="str">
        <f t="shared" ca="1" si="41"/>
        <v/>
      </c>
      <c r="L187" s="229" t="str">
        <f t="shared" ca="1" si="42"/>
        <v/>
      </c>
      <c r="M187" s="229" t="str">
        <f t="shared" ca="1" si="51"/>
        <v/>
      </c>
      <c r="N187" s="229" t="str">
        <f t="shared" ca="1" si="51"/>
        <v/>
      </c>
      <c r="O187" s="229" t="str">
        <f t="shared" ca="1" si="51"/>
        <v/>
      </c>
      <c r="P187" s="229" t="str">
        <f t="shared" ca="1" si="51"/>
        <v/>
      </c>
      <c r="Q187" s="229" t="str">
        <f t="shared" ca="1" si="44"/>
        <v/>
      </c>
      <c r="R187" s="234" t="str">
        <f t="shared" ca="1" si="49"/>
        <v/>
      </c>
      <c r="S187" s="234" t="str">
        <f t="shared" ca="1" si="45"/>
        <v/>
      </c>
      <c r="T187" s="231" t="str">
        <f t="shared" ca="1" si="46"/>
        <v/>
      </c>
      <c r="U187" s="234" t="str">
        <f ca="1">IF(T187="","",CleaningSheet!AH195)</f>
        <v/>
      </c>
      <c r="V187" t="str">
        <f t="shared" ca="1" si="47"/>
        <v/>
      </c>
      <c r="W187" s="229" t="str">
        <f t="shared" ca="1" si="48"/>
        <v/>
      </c>
    </row>
    <row r="188" spans="3:23" x14ac:dyDescent="0.2">
      <c r="C188" t="str">
        <f>IF($A$1&lt;COUNTIF($C$5:C187,"&lt;&gt;"),"",COUNTIF($C$5:C187,"&lt;&gt;"))</f>
        <v/>
      </c>
      <c r="D188" t="str">
        <f t="shared" ca="1" si="50"/>
        <v/>
      </c>
      <c r="E188" t="str">
        <f t="shared" ca="1" si="50"/>
        <v/>
      </c>
      <c r="F188" t="str">
        <f t="shared" ca="1" si="50"/>
        <v/>
      </c>
      <c r="G188" t="str">
        <f t="shared" ca="1" si="50"/>
        <v/>
      </c>
      <c r="H188" t="str">
        <f t="shared" ca="1" si="50"/>
        <v/>
      </c>
      <c r="I188" t="str">
        <f t="shared" ca="1" si="50"/>
        <v/>
      </c>
      <c r="J188" s="229" t="str">
        <f t="shared" ca="1" si="40"/>
        <v/>
      </c>
      <c r="K188" s="229" t="str">
        <f t="shared" ca="1" si="41"/>
        <v/>
      </c>
      <c r="L188" s="229" t="str">
        <f t="shared" ca="1" si="42"/>
        <v/>
      </c>
      <c r="M188" s="229" t="str">
        <f t="shared" ca="1" si="51"/>
        <v/>
      </c>
      <c r="N188" s="229" t="str">
        <f t="shared" ca="1" si="51"/>
        <v/>
      </c>
      <c r="O188" s="229" t="str">
        <f t="shared" ca="1" si="51"/>
        <v/>
      </c>
      <c r="P188" s="229" t="str">
        <f t="shared" ca="1" si="51"/>
        <v/>
      </c>
      <c r="Q188" s="229" t="str">
        <f t="shared" ca="1" si="44"/>
        <v/>
      </c>
      <c r="R188" s="234" t="str">
        <f t="shared" ca="1" si="49"/>
        <v/>
      </c>
      <c r="S188" s="234" t="str">
        <f t="shared" ca="1" si="45"/>
        <v/>
      </c>
      <c r="T188" s="231" t="str">
        <f t="shared" ca="1" si="46"/>
        <v/>
      </c>
      <c r="U188" s="234" t="str">
        <f ca="1">IF(T188="","",CleaningSheet!AH196)</f>
        <v/>
      </c>
      <c r="V188" t="str">
        <f t="shared" ca="1" si="47"/>
        <v/>
      </c>
      <c r="W188" s="229" t="str">
        <f t="shared" ca="1" si="48"/>
        <v/>
      </c>
    </row>
    <row r="189" spans="3:23" x14ac:dyDescent="0.2">
      <c r="C189" t="str">
        <f>IF($A$1&lt;COUNTIF($C$5:C188,"&lt;&gt;"),"",COUNTIF($C$5:C188,"&lt;&gt;"))</f>
        <v/>
      </c>
      <c r="D189" t="str">
        <f t="shared" ca="1" si="50"/>
        <v/>
      </c>
      <c r="E189" t="str">
        <f t="shared" ca="1" si="50"/>
        <v/>
      </c>
      <c r="F189" t="str">
        <f t="shared" ca="1" si="50"/>
        <v/>
      </c>
      <c r="G189" t="str">
        <f t="shared" ca="1" si="50"/>
        <v/>
      </c>
      <c r="H189" t="str">
        <f t="shared" ca="1" si="50"/>
        <v/>
      </c>
      <c r="I189" t="str">
        <f t="shared" ca="1" si="50"/>
        <v/>
      </c>
      <c r="J189" s="229" t="str">
        <f t="shared" ca="1" si="40"/>
        <v/>
      </c>
      <c r="K189" s="229" t="str">
        <f t="shared" ca="1" si="41"/>
        <v/>
      </c>
      <c r="L189" s="229" t="str">
        <f t="shared" ca="1" si="42"/>
        <v/>
      </c>
      <c r="M189" s="229" t="str">
        <f t="shared" ca="1" si="51"/>
        <v/>
      </c>
      <c r="N189" s="229" t="str">
        <f t="shared" ca="1" si="51"/>
        <v/>
      </c>
      <c r="O189" s="229" t="str">
        <f t="shared" ca="1" si="51"/>
        <v/>
      </c>
      <c r="P189" s="229" t="str">
        <f t="shared" ca="1" si="51"/>
        <v/>
      </c>
      <c r="Q189" s="229" t="str">
        <f t="shared" ca="1" si="44"/>
        <v/>
      </c>
      <c r="R189" s="234" t="str">
        <f t="shared" ca="1" si="49"/>
        <v/>
      </c>
      <c r="S189" s="234" t="str">
        <f t="shared" ca="1" si="45"/>
        <v/>
      </c>
      <c r="T189" s="231" t="str">
        <f t="shared" ca="1" si="46"/>
        <v/>
      </c>
      <c r="U189" s="234" t="str">
        <f ca="1">IF(T189="","",CleaningSheet!AH197)</f>
        <v/>
      </c>
      <c r="V189" t="str">
        <f t="shared" ca="1" si="47"/>
        <v/>
      </c>
      <c r="W189" s="229" t="str">
        <f t="shared" ca="1" si="48"/>
        <v/>
      </c>
    </row>
    <row r="190" spans="3:23" x14ac:dyDescent="0.2">
      <c r="C190" t="str">
        <f>IF($A$1&lt;COUNTIF($C$5:C189,"&lt;&gt;"),"",COUNTIF($C$5:C189,"&lt;&gt;"))</f>
        <v/>
      </c>
      <c r="D190" t="str">
        <f t="shared" ca="1" si="50"/>
        <v/>
      </c>
      <c r="E190" t="str">
        <f t="shared" ca="1" si="50"/>
        <v/>
      </c>
      <c r="F190" t="str">
        <f t="shared" ca="1" si="50"/>
        <v/>
      </c>
      <c r="G190" t="str">
        <f t="shared" ca="1" si="50"/>
        <v/>
      </c>
      <c r="H190" t="str">
        <f t="shared" ca="1" si="50"/>
        <v/>
      </c>
      <c r="I190" t="str">
        <f t="shared" ca="1" si="50"/>
        <v/>
      </c>
      <c r="J190" s="229" t="str">
        <f t="shared" ca="1" si="40"/>
        <v/>
      </c>
      <c r="K190" s="229" t="str">
        <f t="shared" ca="1" si="41"/>
        <v/>
      </c>
      <c r="L190" s="229" t="str">
        <f t="shared" ca="1" si="42"/>
        <v/>
      </c>
      <c r="M190" s="229" t="str">
        <f t="shared" ca="1" si="51"/>
        <v/>
      </c>
      <c r="N190" s="229" t="str">
        <f t="shared" ca="1" si="51"/>
        <v/>
      </c>
      <c r="O190" s="229" t="str">
        <f t="shared" ca="1" si="51"/>
        <v/>
      </c>
      <c r="P190" s="229" t="str">
        <f t="shared" ca="1" si="51"/>
        <v/>
      </c>
      <c r="Q190" s="229" t="str">
        <f t="shared" ca="1" si="44"/>
        <v/>
      </c>
      <c r="R190" s="234" t="str">
        <f t="shared" ca="1" si="49"/>
        <v/>
      </c>
      <c r="S190" s="234" t="str">
        <f t="shared" ca="1" si="45"/>
        <v/>
      </c>
      <c r="T190" s="231" t="str">
        <f t="shared" ca="1" si="46"/>
        <v/>
      </c>
      <c r="U190" s="234" t="str">
        <f ca="1">IF(T190="","",CleaningSheet!AH198)</f>
        <v/>
      </c>
      <c r="V190" t="str">
        <f t="shared" ca="1" si="47"/>
        <v/>
      </c>
      <c r="W190" s="229" t="str">
        <f t="shared" ca="1" si="48"/>
        <v/>
      </c>
    </row>
    <row r="191" spans="3:23" x14ac:dyDescent="0.2">
      <c r="C191" t="str">
        <f>IF($A$1&lt;COUNTIF($C$5:C190,"&lt;&gt;"),"",COUNTIF($C$5:C190,"&lt;&gt;"))</f>
        <v/>
      </c>
      <c r="D191" t="str">
        <f t="shared" ca="1" si="50"/>
        <v/>
      </c>
      <c r="E191" t="str">
        <f t="shared" ca="1" si="50"/>
        <v/>
      </c>
      <c r="F191" t="str">
        <f t="shared" ca="1" si="50"/>
        <v/>
      </c>
      <c r="G191" t="str">
        <f t="shared" ca="1" si="50"/>
        <v/>
      </c>
      <c r="H191" t="str">
        <f t="shared" ca="1" si="50"/>
        <v/>
      </c>
      <c r="I191" t="str">
        <f t="shared" ca="1" si="50"/>
        <v/>
      </c>
      <c r="J191" s="229" t="str">
        <f t="shared" ca="1" si="40"/>
        <v/>
      </c>
      <c r="K191" s="229" t="str">
        <f t="shared" ca="1" si="41"/>
        <v/>
      </c>
      <c r="L191" s="229" t="str">
        <f t="shared" ca="1" si="42"/>
        <v/>
      </c>
      <c r="M191" s="229" t="str">
        <f t="shared" ca="1" si="51"/>
        <v/>
      </c>
      <c r="N191" s="229" t="str">
        <f t="shared" ca="1" si="51"/>
        <v/>
      </c>
      <c r="O191" s="229" t="str">
        <f t="shared" ca="1" si="51"/>
        <v/>
      </c>
      <c r="P191" s="229" t="str">
        <f t="shared" ca="1" si="51"/>
        <v/>
      </c>
      <c r="Q191" s="229" t="str">
        <f t="shared" ca="1" si="44"/>
        <v/>
      </c>
      <c r="R191" s="234" t="str">
        <f t="shared" ca="1" si="49"/>
        <v/>
      </c>
      <c r="S191" s="234" t="str">
        <f t="shared" ca="1" si="45"/>
        <v/>
      </c>
      <c r="T191" s="231" t="str">
        <f t="shared" ca="1" si="46"/>
        <v/>
      </c>
      <c r="U191" s="234" t="str">
        <f ca="1">IF(T191="","",CleaningSheet!AH199)</f>
        <v/>
      </c>
      <c r="V191" t="str">
        <f t="shared" ca="1" si="47"/>
        <v/>
      </c>
      <c r="W191" s="229" t="str">
        <f t="shared" ca="1" si="48"/>
        <v/>
      </c>
    </row>
    <row r="192" spans="3:23" x14ac:dyDescent="0.2">
      <c r="C192" t="str">
        <f>IF($A$1&lt;COUNTIF($C$5:C191,"&lt;&gt;"),"",COUNTIF($C$5:C191,"&lt;&gt;"))</f>
        <v/>
      </c>
      <c r="D192" t="str">
        <f t="shared" ca="1" si="50"/>
        <v/>
      </c>
      <c r="E192" t="str">
        <f t="shared" ca="1" si="50"/>
        <v/>
      </c>
      <c r="F192" t="str">
        <f t="shared" ca="1" si="50"/>
        <v/>
      </c>
      <c r="G192" t="str">
        <f t="shared" ca="1" si="50"/>
        <v/>
      </c>
      <c r="H192" t="str">
        <f t="shared" ca="1" si="50"/>
        <v/>
      </c>
      <c r="I192" t="str">
        <f t="shared" ca="1" si="50"/>
        <v/>
      </c>
      <c r="J192" s="229" t="str">
        <f t="shared" ca="1" si="40"/>
        <v/>
      </c>
      <c r="K192" s="229" t="str">
        <f t="shared" ca="1" si="41"/>
        <v/>
      </c>
      <c r="L192" s="229" t="str">
        <f t="shared" ca="1" si="42"/>
        <v/>
      </c>
      <c r="M192" s="229" t="str">
        <f t="shared" ca="1" si="51"/>
        <v/>
      </c>
      <c r="N192" s="229" t="str">
        <f t="shared" ca="1" si="51"/>
        <v/>
      </c>
      <c r="O192" s="229" t="str">
        <f t="shared" ca="1" si="51"/>
        <v/>
      </c>
      <c r="P192" s="229" t="str">
        <f t="shared" ca="1" si="51"/>
        <v/>
      </c>
      <c r="Q192" s="229" t="str">
        <f t="shared" ca="1" si="44"/>
        <v/>
      </c>
      <c r="R192" s="234" t="str">
        <f t="shared" ca="1" si="49"/>
        <v/>
      </c>
      <c r="S192" s="234" t="str">
        <f t="shared" ca="1" si="45"/>
        <v/>
      </c>
      <c r="T192" s="231" t="str">
        <f t="shared" ca="1" si="46"/>
        <v/>
      </c>
      <c r="U192" s="234" t="str">
        <f ca="1">IF(T192="","",CleaningSheet!AH200)</f>
        <v/>
      </c>
      <c r="V192" t="str">
        <f t="shared" ca="1" si="47"/>
        <v/>
      </c>
      <c r="W192" s="229" t="str">
        <f t="shared" ca="1" si="48"/>
        <v/>
      </c>
    </row>
    <row r="193" spans="3:23" x14ac:dyDescent="0.2">
      <c r="C193" t="str">
        <f>IF($A$1&lt;COUNTIF($C$5:C192,"&lt;&gt;"),"",COUNTIF($C$5:C192,"&lt;&gt;"))</f>
        <v/>
      </c>
      <c r="D193" t="str">
        <f t="shared" ca="1" si="50"/>
        <v/>
      </c>
      <c r="E193" t="str">
        <f t="shared" ca="1" si="50"/>
        <v/>
      </c>
      <c r="F193" t="str">
        <f t="shared" ca="1" si="50"/>
        <v/>
      </c>
      <c r="G193" t="str">
        <f t="shared" ca="1" si="50"/>
        <v/>
      </c>
      <c r="H193" t="str">
        <f t="shared" ca="1" si="50"/>
        <v/>
      </c>
      <c r="I193" t="str">
        <f t="shared" ca="1" si="50"/>
        <v/>
      </c>
      <c r="J193" s="229" t="str">
        <f t="shared" ca="1" si="40"/>
        <v/>
      </c>
      <c r="K193" s="229" t="str">
        <f t="shared" ca="1" si="41"/>
        <v/>
      </c>
      <c r="L193" s="229" t="str">
        <f t="shared" ca="1" si="42"/>
        <v/>
      </c>
      <c r="M193" s="229" t="str">
        <f t="shared" ca="1" si="51"/>
        <v/>
      </c>
      <c r="N193" s="229" t="str">
        <f t="shared" ca="1" si="51"/>
        <v/>
      </c>
      <c r="O193" s="229" t="str">
        <f t="shared" ca="1" si="51"/>
        <v/>
      </c>
      <c r="P193" s="229" t="str">
        <f t="shared" ca="1" si="51"/>
        <v/>
      </c>
      <c r="Q193" s="229" t="str">
        <f t="shared" ca="1" si="44"/>
        <v/>
      </c>
      <c r="R193" s="234" t="str">
        <f t="shared" ca="1" si="49"/>
        <v/>
      </c>
      <c r="S193" s="234" t="str">
        <f t="shared" ca="1" si="45"/>
        <v/>
      </c>
      <c r="T193" s="231" t="str">
        <f t="shared" ca="1" si="46"/>
        <v/>
      </c>
      <c r="U193" s="234" t="str">
        <f ca="1">IF(T193="","",CleaningSheet!AH201)</f>
        <v/>
      </c>
      <c r="V193" t="str">
        <f t="shared" ca="1" si="47"/>
        <v/>
      </c>
      <c r="W193" s="229" t="str">
        <f t="shared" ca="1" si="48"/>
        <v/>
      </c>
    </row>
    <row r="194" spans="3:23" x14ac:dyDescent="0.2">
      <c r="C194" t="str">
        <f>IF($A$1&lt;COUNTIF($C$5:C193,"&lt;&gt;"),"",COUNTIF($C$5:C193,"&lt;&gt;"))</f>
        <v/>
      </c>
      <c r="D194" t="str">
        <f t="shared" ca="1" si="50"/>
        <v/>
      </c>
      <c r="E194" t="str">
        <f t="shared" ca="1" si="50"/>
        <v/>
      </c>
      <c r="F194" t="str">
        <f t="shared" ca="1" si="50"/>
        <v/>
      </c>
      <c r="G194" t="str">
        <f t="shared" ca="1" si="50"/>
        <v/>
      </c>
      <c r="H194" t="str">
        <f t="shared" ca="1" si="50"/>
        <v/>
      </c>
      <c r="I194" t="str">
        <f t="shared" ca="1" si="50"/>
        <v/>
      </c>
      <c r="J194" s="229" t="str">
        <f t="shared" ca="1" si="40"/>
        <v/>
      </c>
      <c r="K194" s="229" t="str">
        <f t="shared" ca="1" si="41"/>
        <v/>
      </c>
      <c r="L194" s="229" t="str">
        <f t="shared" ca="1" si="42"/>
        <v/>
      </c>
      <c r="M194" s="229" t="str">
        <f t="shared" ca="1" si="51"/>
        <v/>
      </c>
      <c r="N194" s="229" t="str">
        <f t="shared" ca="1" si="51"/>
        <v/>
      </c>
      <c r="O194" s="229" t="str">
        <f t="shared" ca="1" si="51"/>
        <v/>
      </c>
      <c r="P194" s="229" t="str">
        <f t="shared" ca="1" si="51"/>
        <v/>
      </c>
      <c r="Q194" s="229" t="str">
        <f t="shared" ca="1" si="44"/>
        <v/>
      </c>
      <c r="R194" s="234" t="str">
        <f t="shared" ca="1" si="49"/>
        <v/>
      </c>
      <c r="S194" s="234" t="str">
        <f t="shared" ca="1" si="45"/>
        <v/>
      </c>
      <c r="T194" s="231" t="str">
        <f t="shared" ca="1" si="46"/>
        <v/>
      </c>
      <c r="U194" s="234" t="str">
        <f ca="1">IF(T194="","",CleaningSheet!AH202)</f>
        <v/>
      </c>
      <c r="V194" t="str">
        <f t="shared" ca="1" si="47"/>
        <v/>
      </c>
      <c r="W194" s="229" t="str">
        <f t="shared" ca="1" si="48"/>
        <v/>
      </c>
    </row>
    <row r="195" spans="3:23" x14ac:dyDescent="0.2">
      <c r="C195" t="str">
        <f>IF($A$1&lt;COUNTIF($C$5:C194,"&lt;&gt;"),"",COUNTIF($C$5:C194,"&lt;&gt;"))</f>
        <v/>
      </c>
      <c r="D195" t="str">
        <f t="shared" ca="1" si="50"/>
        <v/>
      </c>
      <c r="E195" t="str">
        <f t="shared" ca="1" si="50"/>
        <v/>
      </c>
      <c r="F195" t="str">
        <f t="shared" ca="1" si="50"/>
        <v/>
      </c>
      <c r="G195" t="str">
        <f t="shared" ca="1" si="50"/>
        <v/>
      </c>
      <c r="H195" t="str">
        <f t="shared" ca="1" si="50"/>
        <v/>
      </c>
      <c r="I195" t="str">
        <f t="shared" ca="1" si="50"/>
        <v/>
      </c>
      <c r="J195" s="229" t="str">
        <f t="shared" ca="1" si="40"/>
        <v/>
      </c>
      <c r="K195" s="229" t="str">
        <f t="shared" ca="1" si="41"/>
        <v/>
      </c>
      <c r="L195" s="229" t="str">
        <f t="shared" ca="1" si="42"/>
        <v/>
      </c>
      <c r="M195" s="229" t="str">
        <f t="shared" ca="1" si="51"/>
        <v/>
      </c>
      <c r="N195" s="229" t="str">
        <f t="shared" ca="1" si="51"/>
        <v/>
      </c>
      <c r="O195" s="229" t="str">
        <f t="shared" ca="1" si="51"/>
        <v/>
      </c>
      <c r="P195" s="229" t="str">
        <f t="shared" ca="1" si="51"/>
        <v/>
      </c>
      <c r="Q195" s="229" t="str">
        <f t="shared" ca="1" si="44"/>
        <v/>
      </c>
      <c r="R195" s="234" t="str">
        <f t="shared" ca="1" si="49"/>
        <v/>
      </c>
      <c r="S195" s="234" t="str">
        <f t="shared" ca="1" si="45"/>
        <v/>
      </c>
      <c r="T195" s="231" t="str">
        <f t="shared" ca="1" si="46"/>
        <v/>
      </c>
      <c r="U195" s="234" t="str">
        <f ca="1">IF(T195="","",CleaningSheet!AH203)</f>
        <v/>
      </c>
      <c r="V195" t="str">
        <f t="shared" ca="1" si="47"/>
        <v/>
      </c>
      <c r="W195" s="229" t="str">
        <f t="shared" ca="1" si="48"/>
        <v/>
      </c>
    </row>
    <row r="196" spans="3:23" x14ac:dyDescent="0.2">
      <c r="C196" t="str">
        <f>IF($A$1&lt;COUNTIF($C$5:C195,"&lt;&gt;"),"",COUNTIF($C$5:C195,"&lt;&gt;"))</f>
        <v/>
      </c>
      <c r="D196" t="str">
        <f t="shared" ca="1" si="50"/>
        <v/>
      </c>
      <c r="E196" t="str">
        <f t="shared" ca="1" si="50"/>
        <v/>
      </c>
      <c r="F196" t="str">
        <f t="shared" ca="1" si="50"/>
        <v/>
      </c>
      <c r="G196" t="str">
        <f t="shared" ca="1" si="50"/>
        <v/>
      </c>
      <c r="H196" t="str">
        <f t="shared" ca="1" si="50"/>
        <v/>
      </c>
      <c r="I196" t="str">
        <f t="shared" ca="1" si="50"/>
        <v/>
      </c>
      <c r="J196" s="229" t="str">
        <f t="shared" ca="1" si="40"/>
        <v/>
      </c>
      <c r="K196" s="229" t="str">
        <f t="shared" ca="1" si="41"/>
        <v/>
      </c>
      <c r="L196" s="229" t="str">
        <f t="shared" ca="1" si="42"/>
        <v/>
      </c>
      <c r="M196" s="229" t="str">
        <f t="shared" ca="1" si="51"/>
        <v/>
      </c>
      <c r="N196" s="229" t="str">
        <f t="shared" ca="1" si="51"/>
        <v/>
      </c>
      <c r="O196" s="229" t="str">
        <f t="shared" ca="1" si="51"/>
        <v/>
      </c>
      <c r="P196" s="229" t="str">
        <f t="shared" ca="1" si="51"/>
        <v/>
      </c>
      <c r="Q196" s="229" t="str">
        <f t="shared" ca="1" si="44"/>
        <v/>
      </c>
      <c r="R196" s="234" t="str">
        <f t="shared" ca="1" si="49"/>
        <v/>
      </c>
      <c r="S196" s="234" t="str">
        <f t="shared" ca="1" si="45"/>
        <v/>
      </c>
      <c r="T196" s="231" t="str">
        <f t="shared" ca="1" si="46"/>
        <v/>
      </c>
      <c r="U196" s="234" t="str">
        <f ca="1">IF(T196="","",CleaningSheet!AH204)</f>
        <v/>
      </c>
      <c r="V196" t="str">
        <f t="shared" ca="1" si="47"/>
        <v/>
      </c>
      <c r="W196" s="229" t="str">
        <f t="shared" ca="1" si="48"/>
        <v/>
      </c>
    </row>
    <row r="197" spans="3:23" x14ac:dyDescent="0.2">
      <c r="C197" t="str">
        <f>IF($A$1&lt;COUNTIF($C$5:C196,"&lt;&gt;"),"",COUNTIF($C$5:C196,"&lt;&gt;"))</f>
        <v/>
      </c>
      <c r="D197" t="str">
        <f t="shared" ca="1" si="50"/>
        <v/>
      </c>
      <c r="E197" t="str">
        <f t="shared" ca="1" si="50"/>
        <v/>
      </c>
      <c r="F197" t="str">
        <f t="shared" ca="1" si="50"/>
        <v/>
      </c>
      <c r="G197" t="str">
        <f t="shared" ca="1" si="50"/>
        <v/>
      </c>
      <c r="H197" t="str">
        <f t="shared" ca="1" si="50"/>
        <v/>
      </c>
      <c r="I197" t="str">
        <f t="shared" ca="1" si="50"/>
        <v/>
      </c>
      <c r="J197" s="229" t="str">
        <f t="shared" ca="1" si="40"/>
        <v/>
      </c>
      <c r="K197" s="229" t="str">
        <f t="shared" ca="1" si="41"/>
        <v/>
      </c>
      <c r="L197" s="229" t="str">
        <f t="shared" ca="1" si="42"/>
        <v/>
      </c>
      <c r="M197" s="229" t="str">
        <f t="shared" ca="1" si="51"/>
        <v/>
      </c>
      <c r="N197" s="229" t="str">
        <f t="shared" ca="1" si="51"/>
        <v/>
      </c>
      <c r="O197" s="229" t="str">
        <f t="shared" ca="1" si="51"/>
        <v/>
      </c>
      <c r="P197" s="229" t="str">
        <f t="shared" ca="1" si="51"/>
        <v/>
      </c>
      <c r="Q197" s="229" t="str">
        <f t="shared" ca="1" si="44"/>
        <v/>
      </c>
      <c r="R197" s="234" t="str">
        <f t="shared" ca="1" si="49"/>
        <v/>
      </c>
      <c r="S197" s="234" t="str">
        <f t="shared" ca="1" si="45"/>
        <v/>
      </c>
      <c r="T197" s="231" t="str">
        <f t="shared" ca="1" si="46"/>
        <v/>
      </c>
      <c r="U197" s="234" t="str">
        <f ca="1">IF(T197="","",CleaningSheet!AH205)</f>
        <v/>
      </c>
      <c r="V197" t="str">
        <f t="shared" ca="1" si="47"/>
        <v/>
      </c>
      <c r="W197" s="229" t="str">
        <f t="shared" ca="1" si="48"/>
        <v/>
      </c>
    </row>
    <row r="198" spans="3:23" x14ac:dyDescent="0.2">
      <c r="C198" t="str">
        <f>IF($A$1&lt;COUNTIF($C$5:C197,"&lt;&gt;"),"",COUNTIF($C$5:C197,"&lt;&gt;"))</f>
        <v/>
      </c>
      <c r="D198" t="str">
        <f t="shared" ca="1" si="50"/>
        <v/>
      </c>
      <c r="E198" t="str">
        <f t="shared" ca="1" si="50"/>
        <v/>
      </c>
      <c r="F198" t="str">
        <f t="shared" ca="1" si="50"/>
        <v/>
      </c>
      <c r="G198" t="str">
        <f t="shared" ca="1" si="50"/>
        <v/>
      </c>
      <c r="H198" t="str">
        <f t="shared" ca="1" si="50"/>
        <v/>
      </c>
      <c r="I198" t="str">
        <f t="shared" ca="1" si="50"/>
        <v/>
      </c>
      <c r="J198" s="229" t="str">
        <f t="shared" ca="1" si="40"/>
        <v/>
      </c>
      <c r="K198" s="229" t="str">
        <f t="shared" ca="1" si="41"/>
        <v/>
      </c>
      <c r="L198" s="229" t="str">
        <f t="shared" ca="1" si="42"/>
        <v/>
      </c>
      <c r="M198" s="229" t="str">
        <f t="shared" ca="1" si="51"/>
        <v/>
      </c>
      <c r="N198" s="229" t="str">
        <f t="shared" ca="1" si="51"/>
        <v/>
      </c>
      <c r="O198" s="229" t="str">
        <f t="shared" ca="1" si="51"/>
        <v/>
      </c>
      <c r="P198" s="229" t="str">
        <f t="shared" ca="1" si="51"/>
        <v/>
      </c>
      <c r="Q198" s="229" t="str">
        <f t="shared" ca="1" si="44"/>
        <v/>
      </c>
      <c r="R198" s="234" t="str">
        <f t="shared" ca="1" si="49"/>
        <v/>
      </c>
      <c r="S198" s="234" t="str">
        <f t="shared" ca="1" si="45"/>
        <v/>
      </c>
      <c r="T198" s="231" t="str">
        <f t="shared" ca="1" si="46"/>
        <v/>
      </c>
      <c r="U198" s="234" t="str">
        <f ca="1">IF(T198="","",CleaningSheet!AH206)</f>
        <v/>
      </c>
      <c r="V198" t="str">
        <f t="shared" ca="1" si="47"/>
        <v/>
      </c>
      <c r="W198" s="229" t="str">
        <f t="shared" ca="1" si="48"/>
        <v/>
      </c>
    </row>
    <row r="199" spans="3:23" x14ac:dyDescent="0.2">
      <c r="C199" t="str">
        <f>IF($A$1&lt;COUNTIF($C$5:C198,"&lt;&gt;"),"",COUNTIF($C$5:C198,"&lt;&gt;"))</f>
        <v/>
      </c>
      <c r="D199" t="str">
        <f t="shared" ca="1" si="50"/>
        <v/>
      </c>
      <c r="E199" t="str">
        <f t="shared" ca="1" si="50"/>
        <v/>
      </c>
      <c r="F199" t="str">
        <f t="shared" ca="1" si="50"/>
        <v/>
      </c>
      <c r="G199" t="str">
        <f t="shared" ca="1" si="50"/>
        <v/>
      </c>
      <c r="H199" t="str">
        <f t="shared" ca="1" si="50"/>
        <v/>
      </c>
      <c r="I199" t="str">
        <f t="shared" ca="1" si="50"/>
        <v/>
      </c>
      <c r="J199" s="229" t="str">
        <f t="shared" ref="J199:J204" ca="1" si="52">IFERROR(K199/I199,"")</f>
        <v/>
      </c>
      <c r="K199" s="229" t="str">
        <f t="shared" ref="K199:K204" ca="1" si="53">IFERROR(INDIRECT("'"&amp;$B$6&amp;$C199&amp;"'!"&amp;K$4),"")</f>
        <v/>
      </c>
      <c r="L199" s="229" t="str">
        <f t="shared" ref="L199:L204" ca="1" si="54">IFERROR(N199-K199,"")</f>
        <v/>
      </c>
      <c r="M199" s="229" t="str">
        <f t="shared" ca="1" si="51"/>
        <v/>
      </c>
      <c r="N199" s="229" t="str">
        <f t="shared" ca="1" si="51"/>
        <v/>
      </c>
      <c r="O199" s="229" t="str">
        <f t="shared" ca="1" si="51"/>
        <v/>
      </c>
      <c r="P199" s="229" t="str">
        <f t="shared" ca="1" si="51"/>
        <v/>
      </c>
      <c r="Q199" s="229" t="str">
        <f t="shared" ref="Q199:Q204" ca="1" si="55">IF(SUM(N199:P199)=0,"",SUM(N199:P199))</f>
        <v/>
      </c>
      <c r="R199" s="234" t="str">
        <f t="shared" ca="1" si="49"/>
        <v/>
      </c>
      <c r="S199" s="234" t="str">
        <f t="shared" ref="S199:S204" ca="1" si="56">IFERROR(R199*$S$4/0.725,"")</f>
        <v/>
      </c>
      <c r="T199" s="231" t="str">
        <f t="shared" ref="T199:T204" ca="1" si="57">IFERROR(S199/SUM(N199:P199)*100,"")</f>
        <v/>
      </c>
      <c r="U199" s="234" t="str">
        <f ca="1">IF(T199="","",CleaningSheet!AH207)</f>
        <v/>
      </c>
      <c r="V199" t="str">
        <f t="shared" ref="V199:V204" ca="1" si="58">IFERROR(U199*V$4,"")</f>
        <v/>
      </c>
      <c r="W199" s="229" t="str">
        <f t="shared" ca="1" si="48"/>
        <v/>
      </c>
    </row>
    <row r="200" spans="3:23" x14ac:dyDescent="0.2">
      <c r="C200" t="str">
        <f>IF($A$1&lt;COUNTIF($C$5:C199,"&lt;&gt;"),"",COUNTIF($C$5:C199,"&lt;&gt;"))</f>
        <v/>
      </c>
      <c r="D200" t="str">
        <f t="shared" ca="1" si="50"/>
        <v/>
      </c>
      <c r="E200" t="str">
        <f t="shared" ca="1" si="50"/>
        <v/>
      </c>
      <c r="F200" t="str">
        <f t="shared" ca="1" si="50"/>
        <v/>
      </c>
      <c r="G200" t="str">
        <f t="shared" ca="1" si="50"/>
        <v/>
      </c>
      <c r="H200" t="str">
        <f t="shared" ca="1" si="50"/>
        <v/>
      </c>
      <c r="I200" t="str">
        <f t="shared" ca="1" si="50"/>
        <v/>
      </c>
      <c r="J200" s="229" t="str">
        <f t="shared" ca="1" si="52"/>
        <v/>
      </c>
      <c r="K200" s="229" t="str">
        <f t="shared" ca="1" si="53"/>
        <v/>
      </c>
      <c r="L200" s="229" t="str">
        <f t="shared" ca="1" si="54"/>
        <v/>
      </c>
      <c r="M200" s="229" t="str">
        <f t="shared" ca="1" si="51"/>
        <v/>
      </c>
      <c r="N200" s="229" t="str">
        <f t="shared" ca="1" si="51"/>
        <v/>
      </c>
      <c r="O200" s="229" t="str">
        <f t="shared" ca="1" si="51"/>
        <v/>
      </c>
      <c r="P200" s="229" t="str">
        <f t="shared" ca="1" si="51"/>
        <v/>
      </c>
      <c r="Q200" s="229" t="str">
        <f t="shared" ca="1" si="55"/>
        <v/>
      </c>
      <c r="R200" s="234" t="str">
        <f t="shared" ca="1" si="49"/>
        <v/>
      </c>
      <c r="S200" s="234" t="str">
        <f t="shared" ca="1" si="56"/>
        <v/>
      </c>
      <c r="T200" s="231" t="str">
        <f t="shared" ca="1" si="57"/>
        <v/>
      </c>
      <c r="U200" s="234" t="str">
        <f ca="1">IF(T200="","",CleaningSheet!AH208)</f>
        <v/>
      </c>
      <c r="V200" t="str">
        <f t="shared" ca="1" si="58"/>
        <v/>
      </c>
      <c r="W200" s="229" t="str">
        <f ca="1">IFERROR(V200/0.725,"")</f>
        <v/>
      </c>
    </row>
    <row r="201" spans="3:23" x14ac:dyDescent="0.2">
      <c r="C201" t="str">
        <f>IF($A$1&lt;COUNTIF($C$5:C200,"&lt;&gt;"),"",COUNTIF($C$5:C200,"&lt;&gt;"))</f>
        <v/>
      </c>
      <c r="D201" t="str">
        <f t="shared" ca="1" si="50"/>
        <v/>
      </c>
      <c r="E201" t="str">
        <f t="shared" ca="1" si="50"/>
        <v/>
      </c>
      <c r="F201" t="str">
        <f t="shared" ca="1" si="50"/>
        <v/>
      </c>
      <c r="G201" t="str">
        <f t="shared" ca="1" si="50"/>
        <v/>
      </c>
      <c r="H201" t="str">
        <f t="shared" ca="1" si="50"/>
        <v/>
      </c>
      <c r="I201" t="str">
        <f t="shared" ca="1" si="50"/>
        <v/>
      </c>
      <c r="J201" s="229" t="str">
        <f t="shared" ca="1" si="52"/>
        <v/>
      </c>
      <c r="K201" s="229" t="str">
        <f t="shared" ca="1" si="53"/>
        <v/>
      </c>
      <c r="L201" s="229" t="str">
        <f t="shared" ca="1" si="54"/>
        <v/>
      </c>
      <c r="M201" s="229" t="str">
        <f t="shared" ca="1" si="51"/>
        <v/>
      </c>
      <c r="N201" s="229" t="str">
        <f t="shared" ca="1" si="51"/>
        <v/>
      </c>
      <c r="O201" s="229" t="str">
        <f t="shared" ca="1" si="51"/>
        <v/>
      </c>
      <c r="P201" s="229" t="str">
        <f t="shared" ca="1" si="51"/>
        <v/>
      </c>
      <c r="Q201" s="229" t="str">
        <f t="shared" ca="1" si="55"/>
        <v/>
      </c>
      <c r="R201" s="234" t="str">
        <f t="shared" ca="1" si="49"/>
        <v/>
      </c>
      <c r="S201" s="234" t="str">
        <f t="shared" ca="1" si="56"/>
        <v/>
      </c>
      <c r="T201" s="231" t="str">
        <f t="shared" ca="1" si="57"/>
        <v/>
      </c>
      <c r="U201" s="234" t="str">
        <f ca="1">IF(T201="","",CleaningSheet!AH209)</f>
        <v/>
      </c>
      <c r="V201" t="str">
        <f t="shared" ca="1" si="58"/>
        <v/>
      </c>
      <c r="W201" s="229" t="str">
        <f ca="1">IFERROR(V201/0.725,"")</f>
        <v/>
      </c>
    </row>
    <row r="202" spans="3:23" x14ac:dyDescent="0.2">
      <c r="C202" t="str">
        <f>IF($A$1&lt;COUNTIF($C$5:C201,"&lt;&gt;"),"",COUNTIF($C$5:C201,"&lt;&gt;"))</f>
        <v/>
      </c>
      <c r="D202" t="str">
        <f t="shared" ca="1" si="50"/>
        <v/>
      </c>
      <c r="E202" t="str">
        <f t="shared" ca="1" si="50"/>
        <v/>
      </c>
      <c r="F202" t="str">
        <f t="shared" ca="1" si="50"/>
        <v/>
      </c>
      <c r="G202" t="str">
        <f t="shared" ca="1" si="50"/>
        <v/>
      </c>
      <c r="H202" t="str">
        <f t="shared" ca="1" si="50"/>
        <v/>
      </c>
      <c r="I202" t="str">
        <f t="shared" ca="1" si="50"/>
        <v/>
      </c>
      <c r="J202" s="229" t="str">
        <f t="shared" ca="1" si="52"/>
        <v/>
      </c>
      <c r="K202" s="229" t="str">
        <f t="shared" ca="1" si="53"/>
        <v/>
      </c>
      <c r="L202" s="229" t="str">
        <f t="shared" ca="1" si="54"/>
        <v/>
      </c>
      <c r="M202" s="229" t="str">
        <f t="shared" ca="1" si="51"/>
        <v/>
      </c>
      <c r="N202" s="229" t="str">
        <f t="shared" ca="1" si="51"/>
        <v/>
      </c>
      <c r="O202" s="229" t="str">
        <f t="shared" ca="1" si="51"/>
        <v/>
      </c>
      <c r="P202" s="229" t="str">
        <f t="shared" ca="1" si="51"/>
        <v/>
      </c>
      <c r="Q202" s="229" t="str">
        <f t="shared" ca="1" si="55"/>
        <v/>
      </c>
      <c r="R202" s="234" t="str">
        <f t="shared" ca="1" si="49"/>
        <v/>
      </c>
      <c r="S202" s="234" t="str">
        <f t="shared" ca="1" si="56"/>
        <v/>
      </c>
      <c r="T202" s="231" t="str">
        <f t="shared" ca="1" si="57"/>
        <v/>
      </c>
      <c r="U202" s="234" t="str">
        <f ca="1">IF(T202="","",CleaningSheet!AH210)</f>
        <v/>
      </c>
      <c r="V202" t="str">
        <f t="shared" ca="1" si="58"/>
        <v/>
      </c>
      <c r="W202" s="229" t="str">
        <f ca="1">IFERROR(V202/0.725,"")</f>
        <v/>
      </c>
    </row>
    <row r="203" spans="3:23" x14ac:dyDescent="0.2">
      <c r="C203" t="str">
        <f>IF($A$1&lt;COUNTIF($C$5:C202,"&lt;&gt;"),"",COUNTIF($C$5:C202,"&lt;&gt;"))</f>
        <v/>
      </c>
      <c r="D203" t="str">
        <f t="shared" ca="1" si="50"/>
        <v/>
      </c>
      <c r="E203" t="str">
        <f t="shared" ca="1" si="50"/>
        <v/>
      </c>
      <c r="F203" t="str">
        <f t="shared" ca="1" si="50"/>
        <v/>
      </c>
      <c r="G203" t="str">
        <f t="shared" ca="1" si="50"/>
        <v/>
      </c>
      <c r="H203" t="str">
        <f t="shared" ca="1" si="50"/>
        <v/>
      </c>
      <c r="I203" t="str">
        <f t="shared" ca="1" si="50"/>
        <v/>
      </c>
      <c r="J203" s="229" t="str">
        <f t="shared" ca="1" si="52"/>
        <v/>
      </c>
      <c r="K203" s="229" t="str">
        <f t="shared" ca="1" si="53"/>
        <v/>
      </c>
      <c r="L203" s="229" t="str">
        <f t="shared" ca="1" si="54"/>
        <v/>
      </c>
      <c r="M203" s="229" t="str">
        <f t="shared" ca="1" si="51"/>
        <v/>
      </c>
      <c r="N203" s="229" t="str">
        <f t="shared" ca="1" si="51"/>
        <v/>
      </c>
      <c r="O203" s="229" t="str">
        <f t="shared" ca="1" si="51"/>
        <v/>
      </c>
      <c r="P203" s="229" t="str">
        <f t="shared" ca="1" si="51"/>
        <v/>
      </c>
      <c r="Q203" s="229" t="str">
        <f t="shared" ca="1" si="55"/>
        <v/>
      </c>
      <c r="R203" s="234" t="str">
        <f t="shared" ca="1" si="49"/>
        <v/>
      </c>
      <c r="S203" s="234" t="str">
        <f t="shared" ca="1" si="56"/>
        <v/>
      </c>
      <c r="T203" s="231" t="str">
        <f t="shared" ca="1" si="57"/>
        <v/>
      </c>
      <c r="U203" s="234" t="str">
        <f ca="1">IF(T203="","",CleaningSheet!AH211)</f>
        <v/>
      </c>
      <c r="V203" t="str">
        <f t="shared" ca="1" si="58"/>
        <v/>
      </c>
      <c r="W203" s="229" t="str">
        <f ca="1">IFERROR(V203/0.725,"")</f>
        <v/>
      </c>
    </row>
    <row r="204" spans="3:23" x14ac:dyDescent="0.2">
      <c r="C204" t="str">
        <f>IF($A$1&lt;COUNTIF($C$5:C203,"&lt;&gt;"),"",COUNTIF($C$5:C203,"&lt;&gt;"))</f>
        <v/>
      </c>
      <c r="D204" t="str">
        <f t="shared" ca="1" si="50"/>
        <v/>
      </c>
      <c r="E204" t="str">
        <f t="shared" ca="1" si="50"/>
        <v/>
      </c>
      <c r="F204" t="str">
        <f t="shared" ca="1" si="50"/>
        <v/>
      </c>
      <c r="G204" t="str">
        <f t="shared" ca="1" si="50"/>
        <v/>
      </c>
      <c r="H204" t="str">
        <f t="shared" ca="1" si="50"/>
        <v/>
      </c>
      <c r="I204" t="str">
        <f t="shared" ca="1" si="50"/>
        <v/>
      </c>
      <c r="J204" s="229" t="str">
        <f t="shared" ca="1" si="52"/>
        <v/>
      </c>
      <c r="K204" s="229" t="str">
        <f t="shared" ca="1" si="53"/>
        <v/>
      </c>
      <c r="L204" s="229" t="str">
        <f t="shared" ca="1" si="54"/>
        <v/>
      </c>
      <c r="M204" s="229" t="str">
        <f t="shared" ca="1" si="51"/>
        <v/>
      </c>
      <c r="N204" s="229" t="str">
        <f t="shared" ca="1" si="51"/>
        <v/>
      </c>
      <c r="O204" s="229" t="str">
        <f t="shared" ca="1" si="51"/>
        <v/>
      </c>
      <c r="P204" s="229" t="str">
        <f t="shared" ca="1" si="51"/>
        <v/>
      </c>
      <c r="Q204" s="229" t="str">
        <f t="shared" ca="1" si="55"/>
        <v/>
      </c>
      <c r="R204" s="234" t="str">
        <f t="shared" ca="1" si="49"/>
        <v/>
      </c>
      <c r="S204" s="234" t="str">
        <f t="shared" ca="1" si="56"/>
        <v/>
      </c>
      <c r="T204" s="231" t="str">
        <f t="shared" ca="1" si="57"/>
        <v/>
      </c>
      <c r="U204" s="234" t="str">
        <f ca="1">IF(T204="","",CleaningSheet!AH212)</f>
        <v/>
      </c>
      <c r="V204" t="str">
        <f t="shared" ca="1" si="58"/>
        <v/>
      </c>
      <c r="W204" s="229" t="str">
        <f ca="1">IFERROR(V204/0.725,"")</f>
        <v/>
      </c>
    </row>
  </sheetData>
  <autoFilter ref="K2:V7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/>
  </sheetPr>
  <dimension ref="B2:U71"/>
  <sheetViews>
    <sheetView workbookViewId="0">
      <selection activeCell="H33" sqref="H32:H33"/>
    </sheetView>
  </sheetViews>
  <sheetFormatPr defaultRowHeight="12.75" x14ac:dyDescent="0.2"/>
  <cols>
    <col min="2" max="2" width="13.85546875" customWidth="1"/>
    <col min="3" max="3" width="18" customWidth="1"/>
    <col min="4" max="4" width="27" customWidth="1"/>
    <col min="5" max="5" width="26.85546875" customWidth="1"/>
    <col min="6" max="6" width="5.5703125" customWidth="1"/>
    <col min="7" max="7" width="13.85546875" customWidth="1"/>
    <col min="8" max="8" width="18" customWidth="1"/>
    <col min="9" max="9" width="27" customWidth="1"/>
    <col min="10" max="10" width="26.85546875" bestFit="1" customWidth="1"/>
    <col min="15" max="15" width="14.140625" customWidth="1"/>
    <col min="16" max="16" width="18" customWidth="1"/>
    <col min="17" max="17" width="27" customWidth="1"/>
    <col min="18" max="18" width="26.85546875" customWidth="1"/>
  </cols>
  <sheetData>
    <row r="2" spans="2:21" ht="13.5" thickBot="1" x14ac:dyDescent="0.25"/>
    <row r="3" spans="2:21" ht="13.5" thickBot="1" x14ac:dyDescent="0.25">
      <c r="B3" s="301" t="s">
        <v>991</v>
      </c>
      <c r="C3" s="302"/>
      <c r="D3" s="303"/>
      <c r="E3" s="263"/>
      <c r="G3" s="259" t="s">
        <v>996</v>
      </c>
      <c r="H3" s="260"/>
      <c r="I3" s="261"/>
      <c r="J3" s="263"/>
      <c r="K3" s="263"/>
      <c r="L3" s="263"/>
      <c r="M3" s="263"/>
      <c r="O3" s="269"/>
      <c r="P3" s="260"/>
      <c r="Q3" s="260"/>
      <c r="R3" s="260"/>
      <c r="S3" s="260"/>
      <c r="T3" s="260"/>
      <c r="U3" s="261"/>
    </row>
    <row r="4" spans="2:21" x14ac:dyDescent="0.2">
      <c r="B4" s="262" t="s">
        <v>1001</v>
      </c>
      <c r="C4" s="263">
        <f>AccountLevelSummary!B3</f>
        <v>0</v>
      </c>
      <c r="D4" s="264"/>
      <c r="E4" s="263"/>
      <c r="G4" s="265" t="s">
        <v>997</v>
      </c>
      <c r="H4" s="272">
        <f ca="1">AccountLevelSummary!H3</f>
        <v>19940.848358578889</v>
      </c>
      <c r="I4" s="264"/>
      <c r="J4" s="263"/>
      <c r="K4" s="263"/>
      <c r="L4" s="263"/>
      <c r="M4" s="263"/>
      <c r="O4" s="262" t="s">
        <v>1005</v>
      </c>
      <c r="P4" s="263"/>
      <c r="Q4" s="263"/>
      <c r="R4" s="263"/>
      <c r="S4" s="263"/>
      <c r="T4" s="263"/>
      <c r="U4" s="264"/>
    </row>
    <row r="5" spans="2:21" x14ac:dyDescent="0.2">
      <c r="B5" s="262" t="s">
        <v>1002</v>
      </c>
      <c r="C5" s="263" t="str">
        <f>CONCATENATE(AccountLevelSummary!B5)</f>
        <v>12 Test</v>
      </c>
      <c r="D5" s="264"/>
      <c r="E5" s="263"/>
      <c r="G5" s="262" t="s">
        <v>1022</v>
      </c>
      <c r="H5" s="263"/>
      <c r="I5" s="264"/>
      <c r="J5" s="263"/>
      <c r="K5" s="263"/>
      <c r="L5" s="263"/>
      <c r="M5" s="263"/>
      <c r="O5" s="262"/>
      <c r="P5" s="263"/>
      <c r="Q5" s="263"/>
      <c r="R5" s="263"/>
      <c r="S5" s="263"/>
      <c r="T5" s="263"/>
      <c r="U5" s="264"/>
    </row>
    <row r="6" spans="2:21" x14ac:dyDescent="0.2">
      <c r="B6" s="262" t="s">
        <v>992</v>
      </c>
      <c r="C6" s="263" t="str">
        <f>CONCATENATE(AccountLevelSummary!B6," ",AccountLevelSummary!B7,", ",AccountLevelSummary!B8)</f>
        <v>Tampa Florida, 12345</v>
      </c>
      <c r="D6" s="264"/>
      <c r="E6" s="263"/>
      <c r="G6" s="262" t="s">
        <v>1021</v>
      </c>
      <c r="H6" s="271">
        <f>AccountLevelSummary!F5</f>
        <v>-0.05</v>
      </c>
      <c r="I6" s="264"/>
      <c r="J6" s="263"/>
      <c r="K6" s="263"/>
      <c r="L6" s="263"/>
      <c r="M6" s="263"/>
      <c r="O6" s="262"/>
      <c r="P6" s="263"/>
      <c r="Q6" s="263"/>
      <c r="R6" s="263"/>
      <c r="S6" s="263"/>
      <c r="T6" s="263"/>
      <c r="U6" s="264"/>
    </row>
    <row r="7" spans="2:21" x14ac:dyDescent="0.2">
      <c r="B7" s="290" t="s">
        <v>995</v>
      </c>
      <c r="C7" s="291"/>
      <c r="D7" s="300"/>
      <c r="E7" s="263"/>
      <c r="G7" s="262" t="s">
        <v>622</v>
      </c>
      <c r="H7" s="271">
        <f>AccountLevelSummary!F6</f>
        <v>0</v>
      </c>
      <c r="I7" s="264"/>
      <c r="J7" s="263"/>
      <c r="K7" s="263"/>
      <c r="L7" s="263"/>
      <c r="M7" s="263"/>
      <c r="O7" s="262"/>
      <c r="P7" s="263"/>
      <c r="Q7" s="263"/>
      <c r="R7" s="263"/>
      <c r="S7" s="263"/>
      <c r="T7" s="263"/>
      <c r="U7" s="264"/>
    </row>
    <row r="8" spans="2:21" x14ac:dyDescent="0.2">
      <c r="B8" s="262" t="s">
        <v>993</v>
      </c>
      <c r="C8" s="263">
        <f>AccountLevelSummary!B10</f>
        <v>0</v>
      </c>
      <c r="D8" s="264"/>
      <c r="E8" s="263"/>
      <c r="G8" s="262" t="s">
        <v>998</v>
      </c>
      <c r="H8" s="271">
        <f>AccountLevelSummary!F7</f>
        <v>-9.9999999999999978E-2</v>
      </c>
      <c r="I8" s="264"/>
      <c r="J8" s="263"/>
      <c r="K8" s="263"/>
      <c r="L8" s="263"/>
      <c r="M8" s="263"/>
      <c r="O8" s="262"/>
      <c r="P8" s="263"/>
      <c r="Q8" s="263"/>
      <c r="R8" s="263"/>
      <c r="S8" s="263"/>
      <c r="T8" s="263"/>
      <c r="U8" s="264"/>
    </row>
    <row r="9" spans="2:21" x14ac:dyDescent="0.2">
      <c r="B9" s="262" t="s">
        <v>994</v>
      </c>
      <c r="C9" s="263">
        <f>AccountLevelSummary!B12</f>
        <v>0</v>
      </c>
      <c r="D9" s="264"/>
      <c r="E9" s="263"/>
      <c r="G9" s="265" t="s">
        <v>1024</v>
      </c>
      <c r="H9" s="273">
        <f>SUM(H6:H8)</f>
        <v>-0.14999999999999997</v>
      </c>
      <c r="I9" s="264"/>
      <c r="J9" s="263"/>
      <c r="K9" s="263"/>
      <c r="L9" s="263"/>
      <c r="M9" s="263"/>
      <c r="O9" s="262"/>
      <c r="P9" s="263"/>
      <c r="Q9" s="263"/>
      <c r="R9" s="263"/>
      <c r="S9" s="263"/>
      <c r="T9" s="263"/>
      <c r="U9" s="264"/>
    </row>
    <row r="10" spans="2:21" x14ac:dyDescent="0.2">
      <c r="B10" s="262"/>
      <c r="C10" s="263"/>
      <c r="D10" s="264"/>
      <c r="E10" s="263"/>
      <c r="G10" s="265" t="s">
        <v>1023</v>
      </c>
      <c r="H10" s="274">
        <f>AccountLevelSummary!H9</f>
        <v>1</v>
      </c>
      <c r="I10" s="264"/>
      <c r="J10" s="263"/>
      <c r="K10" s="263"/>
      <c r="L10" s="263"/>
      <c r="M10" s="263"/>
      <c r="O10" s="262"/>
      <c r="P10" s="263"/>
      <c r="Q10" s="263"/>
      <c r="R10" s="263"/>
      <c r="S10" s="263"/>
      <c r="T10" s="263"/>
      <c r="U10" s="264"/>
    </row>
    <row r="11" spans="2:21" x14ac:dyDescent="0.2">
      <c r="B11" s="262"/>
      <c r="C11" s="263"/>
      <c r="D11" s="264"/>
      <c r="E11" s="263"/>
      <c r="G11" s="265" t="s">
        <v>1025</v>
      </c>
      <c r="H11" s="275">
        <f ca="1">H4*(1+H9)*H10</f>
        <v>16949.721104792057</v>
      </c>
      <c r="I11" s="264"/>
      <c r="J11" s="263"/>
      <c r="K11" s="263"/>
      <c r="L11" s="263"/>
      <c r="M11" s="263"/>
      <c r="O11" s="262"/>
      <c r="P11" s="263"/>
      <c r="Q11" s="263"/>
      <c r="R11" s="263"/>
      <c r="S11" s="263"/>
      <c r="T11" s="263"/>
      <c r="U11" s="264"/>
    </row>
    <row r="12" spans="2:21" x14ac:dyDescent="0.2">
      <c r="B12" s="262"/>
      <c r="C12" s="263"/>
      <c r="D12" s="264"/>
      <c r="E12" s="263"/>
      <c r="G12" s="265" t="s">
        <v>999</v>
      </c>
      <c r="H12" s="276"/>
      <c r="I12" s="264"/>
      <c r="J12" s="263"/>
      <c r="K12" s="263"/>
      <c r="L12" s="263"/>
      <c r="M12" s="263"/>
      <c r="O12" s="262"/>
      <c r="P12" s="263"/>
      <c r="Q12" s="263"/>
      <c r="R12" s="263"/>
      <c r="S12" s="263"/>
      <c r="T12" s="263"/>
      <c r="U12" s="264"/>
    </row>
    <row r="13" spans="2:21" x14ac:dyDescent="0.2">
      <c r="B13" s="262"/>
      <c r="C13" s="263"/>
      <c r="D13" s="264"/>
      <c r="E13" s="263"/>
      <c r="G13" s="262"/>
      <c r="H13" s="263"/>
      <c r="I13" s="264"/>
      <c r="J13" s="263"/>
      <c r="K13" s="263"/>
      <c r="L13" s="263"/>
      <c r="M13" s="263"/>
      <c r="O13" s="262"/>
      <c r="P13" s="263"/>
      <c r="Q13" s="263"/>
      <c r="R13" s="263"/>
      <c r="S13" s="263"/>
      <c r="T13" s="263"/>
      <c r="U13" s="264"/>
    </row>
    <row r="14" spans="2:21" x14ac:dyDescent="0.2">
      <c r="B14" s="265" t="s">
        <v>1000</v>
      </c>
      <c r="C14" s="263"/>
      <c r="D14" s="264"/>
      <c r="E14" s="263"/>
      <c r="G14" s="262" t="s">
        <v>281</v>
      </c>
      <c r="H14" s="263"/>
      <c r="I14" s="264"/>
      <c r="J14" s="263"/>
      <c r="K14" s="263"/>
      <c r="L14" s="263"/>
      <c r="M14" s="263"/>
      <c r="O14" s="262"/>
      <c r="P14" s="263"/>
      <c r="Q14" s="263"/>
      <c r="R14" s="263"/>
      <c r="S14" s="263"/>
      <c r="T14" s="263"/>
      <c r="U14" s="264"/>
    </row>
    <row r="15" spans="2:21" ht="13.5" thickBot="1" x14ac:dyDescent="0.25">
      <c r="B15" s="266"/>
      <c r="C15" s="267"/>
      <c r="D15" s="268"/>
      <c r="E15" s="263"/>
      <c r="G15" s="266"/>
      <c r="H15" s="267"/>
      <c r="I15" s="268"/>
      <c r="J15" s="263"/>
      <c r="K15" s="263"/>
      <c r="L15" s="263"/>
      <c r="M15" s="263"/>
      <c r="O15" s="266"/>
      <c r="P15" s="267"/>
      <c r="Q15" s="267"/>
      <c r="R15" s="267"/>
      <c r="S15" s="267"/>
      <c r="T15" s="267"/>
      <c r="U15" s="268"/>
    </row>
    <row r="17" spans="8:13" x14ac:dyDescent="0.2">
      <c r="H17" s="294" t="s">
        <v>1058</v>
      </c>
      <c r="I17" s="295"/>
    </row>
    <row r="18" spans="8:13" x14ac:dyDescent="0.2">
      <c r="H18" s="296" t="s">
        <v>1057</v>
      </c>
      <c r="I18" s="297"/>
    </row>
    <row r="19" spans="8:13" x14ac:dyDescent="0.2">
      <c r="H19" s="219" t="s">
        <v>62</v>
      </c>
      <c r="I19" s="221" t="str">
        <f ca="1">IFERROR(INDIRECT("'"&amp;"AOPBuilding"&amp;$M$19&amp;"'!"&amp;$M20),"")</f>
        <v>Office</v>
      </c>
      <c r="M19" t="str">
        <f>TRIM(LEFT(listbox_export,2))</f>
        <v>8</v>
      </c>
    </row>
    <row r="20" spans="8:13" x14ac:dyDescent="0.2">
      <c r="H20" s="219" t="s">
        <v>76</v>
      </c>
      <c r="I20" s="221">
        <f ca="1">IFERROR(INDIRECT("'"&amp;"AOPBuilding"&amp;$M$19&amp;"'!"&amp;$M21),"")</f>
        <v>1920</v>
      </c>
      <c r="M20" t="s">
        <v>930</v>
      </c>
    </row>
    <row r="21" spans="8:13" x14ac:dyDescent="0.2">
      <c r="H21" s="219" t="s">
        <v>50</v>
      </c>
      <c r="I21" s="221" t="str">
        <f ca="1">IFERROR(INDIRECT("'"&amp;"AOPBuilding"&amp;$M$19&amp;"'!"&amp;$M22),"")</f>
        <v>ISO 3 – Non-Combustible</v>
      </c>
      <c r="M21" t="s">
        <v>931</v>
      </c>
    </row>
    <row r="22" spans="8:13" x14ac:dyDescent="0.2">
      <c r="H22" s="219" t="s">
        <v>78</v>
      </c>
      <c r="I22" s="221" t="str">
        <f ca="1">IFERROR(INDIRECT("'"&amp;"AOPBuilding"&amp;$M$19&amp;"'!"&amp;$M23),"")</f>
        <v>Partial, No Central Alarm</v>
      </c>
      <c r="M22" t="s">
        <v>932</v>
      </c>
    </row>
    <row r="23" spans="8:13" x14ac:dyDescent="0.2">
      <c r="H23" s="219" t="s">
        <v>328</v>
      </c>
      <c r="I23" s="293">
        <f ca="1">IFERROR(INDIRECT("'"&amp;"AOPBuilding"&amp;$M$19&amp;"'!"&amp;$M24),"")</f>
        <v>145000</v>
      </c>
      <c r="M23" t="s">
        <v>933</v>
      </c>
    </row>
    <row r="24" spans="8:13" x14ac:dyDescent="0.2">
      <c r="H24" s="219" t="s">
        <v>329</v>
      </c>
      <c r="I24" s="293">
        <f ca="1">IFERROR(INDIRECT("'"&amp;"AOPBuilding"&amp;$M$19&amp;"'!"&amp;$M25),"")</f>
        <v>35000</v>
      </c>
      <c r="M24" t="s">
        <v>934</v>
      </c>
    </row>
    <row r="25" spans="8:13" x14ac:dyDescent="0.2">
      <c r="H25" s="219" t="s">
        <v>712</v>
      </c>
      <c r="I25" s="293">
        <f ca="1">IFERROR(INDIRECT("'"&amp;"AOPBuilding"&amp;$M$19&amp;"'!"&amp;$M26),"")</f>
        <v>0</v>
      </c>
      <c r="M25" t="s">
        <v>935</v>
      </c>
    </row>
    <row r="26" spans="8:13" x14ac:dyDescent="0.2">
      <c r="H26" s="219" t="s">
        <v>196</v>
      </c>
      <c r="I26" s="293">
        <f ca="1">IFERROR(INDIRECT("'"&amp;"AOPBuilding"&amp;$M$19&amp;"'!"&amp;$M27),"")</f>
        <v>368000</v>
      </c>
      <c r="M26" t="s">
        <v>936</v>
      </c>
    </row>
    <row r="27" spans="8:13" x14ac:dyDescent="0.2">
      <c r="H27" s="219" t="s">
        <v>80</v>
      </c>
      <c r="I27" s="293">
        <f ca="1">IFERROR(INDIRECT("'"&amp;"AOPBuilding"&amp;$M$19&amp;"'!"&amp;$M28),"")</f>
        <v>50000</v>
      </c>
      <c r="M27" t="s">
        <v>1055</v>
      </c>
    </row>
    <row r="28" spans="8:13" x14ac:dyDescent="0.2">
      <c r="H28" s="298" t="s">
        <v>1056</v>
      </c>
      <c r="I28" s="299">
        <f ca="1">IFERROR(INDIRECT("'"&amp;"AOPBuilding"&amp;$M$19&amp;"'!"&amp;$M29),"")</f>
        <v>310.90401758895007</v>
      </c>
      <c r="M28" t="s">
        <v>948</v>
      </c>
    </row>
    <row r="29" spans="8:13" x14ac:dyDescent="0.2">
      <c r="M29" t="s">
        <v>940</v>
      </c>
    </row>
    <row r="34" spans="2:18" x14ac:dyDescent="0.2">
      <c r="C34" s="258" t="s">
        <v>988</v>
      </c>
      <c r="H34" s="258" t="s">
        <v>989</v>
      </c>
      <c r="P34" s="258" t="s">
        <v>990</v>
      </c>
    </row>
    <row r="36" spans="2:18" x14ac:dyDescent="0.2">
      <c r="B36" s="248" t="s">
        <v>981</v>
      </c>
      <c r="C36" t="s">
        <v>983</v>
      </c>
      <c r="D36" t="s">
        <v>984</v>
      </c>
      <c r="E36" t="s">
        <v>985</v>
      </c>
      <c r="G36" s="248" t="s">
        <v>981</v>
      </c>
      <c r="H36" t="s">
        <v>983</v>
      </c>
      <c r="I36" t="s">
        <v>984</v>
      </c>
      <c r="J36" t="s">
        <v>985</v>
      </c>
      <c r="O36" s="248" t="s">
        <v>981</v>
      </c>
      <c r="P36" t="s">
        <v>983</v>
      </c>
      <c r="Q36" t="s">
        <v>984</v>
      </c>
      <c r="R36" t="s">
        <v>985</v>
      </c>
    </row>
    <row r="37" spans="2:18" x14ac:dyDescent="0.2">
      <c r="B37" s="249"/>
      <c r="C37" s="236">
        <v>0</v>
      </c>
      <c r="D37" s="236">
        <v>0</v>
      </c>
      <c r="E37" s="236">
        <v>0</v>
      </c>
      <c r="G37" s="249">
        <v>1920</v>
      </c>
      <c r="H37" s="236">
        <v>723000</v>
      </c>
      <c r="I37" s="236">
        <v>2403.4799749775489</v>
      </c>
      <c r="J37" s="236">
        <v>0</v>
      </c>
      <c r="O37" s="249"/>
      <c r="P37" s="236">
        <v>0</v>
      </c>
      <c r="Q37" s="236">
        <v>0</v>
      </c>
      <c r="R37" s="236">
        <v>0</v>
      </c>
    </row>
    <row r="38" spans="2:18" x14ac:dyDescent="0.2">
      <c r="B38" s="249" t="s">
        <v>611</v>
      </c>
      <c r="C38" s="236">
        <v>793000</v>
      </c>
      <c r="D38" s="236">
        <v>2530.2491077090349</v>
      </c>
      <c r="E38" s="236">
        <v>0</v>
      </c>
      <c r="G38" s="249">
        <v>1987</v>
      </c>
      <c r="H38" s="236">
        <v>1510923</v>
      </c>
      <c r="I38" s="236">
        <v>4189.941088882756</v>
      </c>
      <c r="J38" s="236">
        <v>0</v>
      </c>
      <c r="O38" s="249" t="s">
        <v>120</v>
      </c>
      <c r="P38" s="236">
        <v>1377500</v>
      </c>
      <c r="Q38" s="236">
        <v>3339.0385116597577</v>
      </c>
      <c r="R38" s="236">
        <v>0</v>
      </c>
    </row>
    <row r="39" spans="2:18" x14ac:dyDescent="0.2">
      <c r="B39" s="249" t="s">
        <v>614</v>
      </c>
      <c r="C39" s="236">
        <v>712500</v>
      </c>
      <c r="D39" s="236">
        <v>1345.6163899038261</v>
      </c>
      <c r="E39" s="236">
        <v>0</v>
      </c>
      <c r="G39" s="249">
        <v>1990</v>
      </c>
      <c r="H39" s="236">
        <v>68040</v>
      </c>
      <c r="I39" s="236">
        <v>177.63190639609658</v>
      </c>
      <c r="J39" s="236">
        <v>0</v>
      </c>
      <c r="O39" s="249" t="s">
        <v>127</v>
      </c>
      <c r="P39" s="236">
        <v>6513963</v>
      </c>
      <c r="Q39" s="236">
        <v>18000.915333697405</v>
      </c>
      <c r="R39" s="236">
        <v>0</v>
      </c>
    </row>
    <row r="40" spans="2:18" x14ac:dyDescent="0.2">
      <c r="B40" s="249" t="s">
        <v>613</v>
      </c>
      <c r="C40" s="236">
        <v>6928963</v>
      </c>
      <c r="D40" s="236">
        <v>19503.060164169288</v>
      </c>
      <c r="E40" s="236">
        <v>0</v>
      </c>
      <c r="G40" s="249">
        <v>1994</v>
      </c>
      <c r="H40" s="236">
        <v>900000</v>
      </c>
      <c r="I40" s="236">
        <v>2332.5845384762069</v>
      </c>
      <c r="J40" s="236">
        <v>0</v>
      </c>
      <c r="O40" s="249" t="s">
        <v>543</v>
      </c>
      <c r="P40" s="236">
        <v>543000</v>
      </c>
      <c r="Q40" s="236">
        <v>2038.9718164249866</v>
      </c>
      <c r="R40" s="236">
        <v>0</v>
      </c>
    </row>
    <row r="41" spans="2:18" x14ac:dyDescent="0.2">
      <c r="B41" s="249" t="s">
        <v>982</v>
      </c>
      <c r="C41" s="236">
        <v>8434463</v>
      </c>
      <c r="D41" s="236">
        <v>23378.925661782148</v>
      </c>
      <c r="E41" s="236">
        <v>0</v>
      </c>
      <c r="G41" s="249">
        <v>1996</v>
      </c>
      <c r="H41" s="236">
        <v>4700000</v>
      </c>
      <c r="I41" s="236">
        <v>13294.179921698276</v>
      </c>
      <c r="J41" s="236">
        <v>0</v>
      </c>
      <c r="O41" s="249" t="s">
        <v>982</v>
      </c>
      <c r="P41" s="236">
        <v>8434463</v>
      </c>
      <c r="Q41" s="236">
        <v>23378.925661782148</v>
      </c>
      <c r="R41" s="236">
        <v>0</v>
      </c>
    </row>
    <row r="42" spans="2:18" x14ac:dyDescent="0.2">
      <c r="G42" s="249">
        <v>2000</v>
      </c>
      <c r="H42" s="236">
        <v>465000</v>
      </c>
      <c r="I42" s="236">
        <v>866.50824202644844</v>
      </c>
      <c r="J42" s="236">
        <v>0</v>
      </c>
    </row>
    <row r="43" spans="2:18" x14ac:dyDescent="0.2">
      <c r="G43" s="249">
        <v>2005</v>
      </c>
      <c r="H43" s="236">
        <v>67500</v>
      </c>
      <c r="I43" s="236">
        <v>114.59998932481554</v>
      </c>
      <c r="J43" s="236">
        <v>0</v>
      </c>
    </row>
    <row r="44" spans="2:18" x14ac:dyDescent="0.2">
      <c r="G44" s="249"/>
      <c r="H44" s="236">
        <v>0</v>
      </c>
      <c r="I44" s="236">
        <v>0</v>
      </c>
      <c r="J44" s="236">
        <v>0</v>
      </c>
    </row>
    <row r="45" spans="2:18" x14ac:dyDescent="0.2">
      <c r="G45" s="249" t="s">
        <v>982</v>
      </c>
      <c r="H45" s="236">
        <v>8434463</v>
      </c>
      <c r="I45" s="236">
        <v>23378.925661782148</v>
      </c>
      <c r="J45" s="236">
        <v>0</v>
      </c>
    </row>
    <row r="53" spans="2:6" x14ac:dyDescent="0.2">
      <c r="B53" s="249"/>
      <c r="C53" s="236"/>
      <c r="D53" s="236"/>
      <c r="E53" s="236"/>
      <c r="F53" s="236"/>
    </row>
    <row r="54" spans="2:6" x14ac:dyDescent="0.2">
      <c r="B54" s="249"/>
      <c r="C54" s="236"/>
      <c r="D54" s="236"/>
      <c r="E54" s="236"/>
      <c r="F54" s="236"/>
    </row>
    <row r="59" spans="2:6" x14ac:dyDescent="0.2">
      <c r="B59" s="248" t="s">
        <v>981</v>
      </c>
      <c r="C59" t="s">
        <v>983</v>
      </c>
    </row>
    <row r="60" spans="2:6" x14ac:dyDescent="0.2">
      <c r="B60" s="249">
        <v>6</v>
      </c>
      <c r="C60" s="236">
        <v>4700000</v>
      </c>
    </row>
    <row r="61" spans="2:6" x14ac:dyDescent="0.2">
      <c r="B61" s="249">
        <v>4</v>
      </c>
      <c r="C61" s="236">
        <v>900000</v>
      </c>
    </row>
    <row r="62" spans="2:6" x14ac:dyDescent="0.2">
      <c r="B62" s="249">
        <v>1</v>
      </c>
      <c r="C62" s="236">
        <v>665000</v>
      </c>
    </row>
    <row r="63" spans="2:6" x14ac:dyDescent="0.2">
      <c r="B63" s="249">
        <v>2</v>
      </c>
      <c r="C63" s="236">
        <v>643553</v>
      </c>
    </row>
    <row r="64" spans="2:6" x14ac:dyDescent="0.2">
      <c r="B64" s="249">
        <v>9</v>
      </c>
      <c r="C64" s="236">
        <v>465000</v>
      </c>
    </row>
    <row r="65" spans="2:3" x14ac:dyDescent="0.2">
      <c r="B65" s="249">
        <v>10</v>
      </c>
      <c r="C65" s="236">
        <v>415000</v>
      </c>
    </row>
    <row r="66" spans="2:3" x14ac:dyDescent="0.2">
      <c r="B66" s="249">
        <v>3</v>
      </c>
      <c r="C66" s="236">
        <v>202370</v>
      </c>
    </row>
    <row r="67" spans="2:3" x14ac:dyDescent="0.2">
      <c r="B67" s="249">
        <v>8</v>
      </c>
      <c r="C67" s="236">
        <v>180000</v>
      </c>
    </row>
    <row r="68" spans="2:3" x14ac:dyDescent="0.2">
      <c r="B68" s="249">
        <v>11</v>
      </c>
      <c r="C68" s="236">
        <v>128000</v>
      </c>
    </row>
    <row r="69" spans="2:3" x14ac:dyDescent="0.2">
      <c r="B69" s="249">
        <v>5</v>
      </c>
      <c r="C69" s="236">
        <v>68040</v>
      </c>
    </row>
    <row r="70" spans="2:3" x14ac:dyDescent="0.2">
      <c r="B70" s="249">
        <v>7</v>
      </c>
      <c r="C70" s="236">
        <v>67500</v>
      </c>
    </row>
    <row r="71" spans="2:3" x14ac:dyDescent="0.2">
      <c r="B71" s="249" t="s">
        <v>982</v>
      </c>
      <c r="C71" s="236">
        <v>8434463</v>
      </c>
    </row>
  </sheetData>
  <mergeCells count="4">
    <mergeCell ref="B3:D3"/>
    <mergeCell ref="B7:D7"/>
    <mergeCell ref="H18:I18"/>
    <mergeCell ref="H17:I17"/>
  </mergeCells>
  <pageMargins left="0.7" right="0.7" top="0.75" bottom="0.75" header="0.3" footer="0.3"/>
  <pageSetup paperSize="0" orientation="portrait" r:id="rId5"/>
  <drawing r:id="rId6"/>
  <legacyDrawing r:id="rId7"/>
  <controls>
    <mc:AlternateContent xmlns:mc="http://schemas.openxmlformats.org/markup-compatibility/2006">
      <mc:Choice Requires="x14">
        <control shapeId="479233" r:id="rId8" name="ListBox1">
          <controlPr defaultSize="0" autoLine="0" r:id="rId9">
            <anchor moveWithCells="1">
              <from>
                <xdr:col>0</xdr:col>
                <xdr:colOff>590550</xdr:colOff>
                <xdr:row>18</xdr:row>
                <xdr:rowOff>9525</xdr:rowOff>
              </from>
              <to>
                <xdr:col>5</xdr:col>
                <xdr:colOff>314325</xdr:colOff>
                <xdr:row>27</xdr:row>
                <xdr:rowOff>114300</xdr:rowOff>
              </to>
            </anchor>
          </controlPr>
        </control>
      </mc:Choice>
      <mc:Fallback>
        <control shapeId="479233" r:id="rId8" name="ListBox1"/>
      </mc:Fallback>
    </mc:AlternateContent>
    <mc:AlternateContent xmlns:mc="http://schemas.openxmlformats.org/markup-compatibility/2006">
      <mc:Choice Requires="x14">
        <control shapeId="479234" r:id="rId10" name="Button 2">
          <controlPr defaultSize="0" print="0" autoFill="0" autoPict="0" macro="[0]!Sheet8.populate_listbox1">
            <anchor moveWithCells="1" sizeWithCells="1">
              <from>
                <xdr:col>2</xdr:col>
                <xdr:colOff>933450</xdr:colOff>
                <xdr:row>10</xdr:row>
                <xdr:rowOff>85725</xdr:rowOff>
              </from>
              <to>
                <xdr:col>3</xdr:col>
                <xdr:colOff>752475</xdr:colOff>
                <xdr:row>12</xdr:row>
                <xdr:rowOff>133350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P36"/>
  <sheetViews>
    <sheetView showGridLines="0" tabSelected="1" zoomScale="124" zoomScaleNormal="124" workbookViewId="0">
      <selection activeCell="B34" sqref="B34"/>
    </sheetView>
  </sheetViews>
  <sheetFormatPr defaultColWidth="9.140625" defaultRowHeight="12.75" x14ac:dyDescent="0.2"/>
  <cols>
    <col min="1" max="1" width="33.7109375" style="86" customWidth="1"/>
    <col min="2" max="2" width="22.7109375" style="86" customWidth="1"/>
    <col min="3" max="3" width="9.140625" style="86"/>
    <col min="4" max="4" width="47.85546875" style="86" bestFit="1" customWidth="1"/>
    <col min="5" max="8" width="12.7109375" style="86" customWidth="1"/>
    <col min="9" max="10" width="9.140625" style="86"/>
    <col min="11" max="11" width="10.5703125" style="86" bestFit="1" customWidth="1"/>
    <col min="12" max="14" width="9.140625" style="86"/>
    <col min="15" max="15" width="25.7109375" style="86" customWidth="1"/>
    <col min="16" max="16" width="12.7109375" style="86" customWidth="1"/>
    <col min="17" max="16384" width="9.140625" style="86"/>
  </cols>
  <sheetData>
    <row r="1" spans="1:16" x14ac:dyDescent="0.2">
      <c r="A1" s="85" t="s">
        <v>185</v>
      </c>
      <c r="B1" s="85"/>
      <c r="D1" s="87" t="s">
        <v>288</v>
      </c>
      <c r="E1" s="87"/>
      <c r="F1" s="87"/>
      <c r="G1" s="87"/>
      <c r="H1" s="87"/>
      <c r="K1" s="292" t="s">
        <v>376</v>
      </c>
      <c r="L1" s="292"/>
      <c r="M1" s="292"/>
      <c r="O1" s="292" t="s">
        <v>297</v>
      </c>
      <c r="P1" s="292"/>
    </row>
    <row r="2" spans="1:16" x14ac:dyDescent="0.2">
      <c r="A2" s="86" t="s">
        <v>186</v>
      </c>
      <c r="B2" s="90"/>
      <c r="D2" s="116" t="s">
        <v>266</v>
      </c>
      <c r="E2" s="117" t="s">
        <v>636</v>
      </c>
      <c r="F2" s="117" t="s">
        <v>267</v>
      </c>
      <c r="G2" s="117" t="s">
        <v>268</v>
      </c>
      <c r="H2" s="117" t="s">
        <v>269</v>
      </c>
      <c r="K2" s="86" t="s">
        <v>377</v>
      </c>
      <c r="L2" s="120">
        <f ca="1">H18/$H$26*$L$4</f>
        <v>25861.684282471804</v>
      </c>
      <c r="M2" s="121">
        <f ca="1">L2/$L$4</f>
        <v>1</v>
      </c>
      <c r="O2" s="118" t="s">
        <v>375</v>
      </c>
      <c r="P2" s="119" t="s">
        <v>298</v>
      </c>
    </row>
    <row r="3" spans="1:16" x14ac:dyDescent="0.2">
      <c r="A3" s="86" t="s">
        <v>187</v>
      </c>
      <c r="B3" s="88"/>
      <c r="D3" s="86" t="s">
        <v>645</v>
      </c>
      <c r="E3" s="172">
        <f>SUM(AOPStart:AOPEnd!H28,AOPStart:AOPEnd!H31,AOPStart:AOPEnd!H32)</f>
        <v>8434463</v>
      </c>
      <c r="F3" s="172">
        <f ca="1">SUM(AOPStart:AOPEnd!H48)</f>
        <v>19940.848358578889</v>
      </c>
      <c r="G3" s="123"/>
      <c r="H3" s="247">
        <f ca="1">IF(G3="",F3,G3)</f>
        <v>19940.848358578889</v>
      </c>
      <c r="K3" s="86" t="s">
        <v>335</v>
      </c>
      <c r="L3" s="120">
        <f ca="1">H23/$H$26*$L$4</f>
        <v>0</v>
      </c>
      <c r="M3" s="121">
        <f ca="1">L3/$L$4</f>
        <v>0</v>
      </c>
      <c r="O3" s="124"/>
      <c r="P3" s="125"/>
    </row>
    <row r="4" spans="1:16" x14ac:dyDescent="0.2">
      <c r="A4" s="86" t="s">
        <v>257</v>
      </c>
      <c r="D4" s="86" t="s">
        <v>270</v>
      </c>
      <c r="E4" s="173">
        <f>SUM(AOPStart:AOPEnd!P50)</f>
        <v>0</v>
      </c>
      <c r="F4" s="172">
        <f>SUM(AOPStart:AOPEnd!H53)</f>
        <v>0</v>
      </c>
      <c r="G4" s="123"/>
      <c r="H4" s="172">
        <f>IF(G4="",F4,G4)</f>
        <v>0</v>
      </c>
      <c r="K4" s="86" t="s">
        <v>188</v>
      </c>
      <c r="L4" s="120">
        <f ca="1">H28</f>
        <v>25861.684282471804</v>
      </c>
      <c r="M4" s="121">
        <f ca="1">L4/$L$4</f>
        <v>1</v>
      </c>
      <c r="O4" s="124"/>
      <c r="P4" s="125"/>
    </row>
    <row r="5" spans="1:16" x14ac:dyDescent="0.2">
      <c r="A5" s="110" t="s">
        <v>258</v>
      </c>
      <c r="B5" s="86" t="s">
        <v>1003</v>
      </c>
      <c r="D5" s="109" t="s">
        <v>275</v>
      </c>
      <c r="E5" s="174"/>
      <c r="F5" s="175">
        <f>-1*VLOOKUP(COUNT(AOPStart:AOPEnd!B3),RatingFactorTables!$CN$3:$CP$7,3)</f>
        <v>-0.05</v>
      </c>
      <c r="G5" s="126"/>
      <c r="H5" s="172">
        <f ca="1">IF(G5="",F5,G5)*($H$3)</f>
        <v>-997.04241792894447</v>
      </c>
      <c r="O5" s="124"/>
      <c r="P5" s="125"/>
    </row>
    <row r="6" spans="1:16" x14ac:dyDescent="0.2">
      <c r="A6" s="110" t="s">
        <v>218</v>
      </c>
      <c r="B6" s="86" t="s">
        <v>1004</v>
      </c>
      <c r="D6" s="109" t="s">
        <v>274</v>
      </c>
      <c r="E6" s="174"/>
      <c r="F6" s="176">
        <v>0</v>
      </c>
      <c r="G6" s="126"/>
      <c r="H6" s="172">
        <f ca="1">IF(G6="",F6,G6)*($H$3)</f>
        <v>0</v>
      </c>
      <c r="O6" s="124"/>
      <c r="P6" s="125"/>
    </row>
    <row r="7" spans="1:16" x14ac:dyDescent="0.2">
      <c r="A7" s="110" t="s">
        <v>74</v>
      </c>
      <c r="B7" s="99" t="s">
        <v>23</v>
      </c>
      <c r="D7" s="109" t="s">
        <v>306</v>
      </c>
      <c r="E7" s="174"/>
      <c r="F7" s="175">
        <f>VLOOKUP(B31,RatingFactorTables!$AN$3:$AO$8,2,FALSE)-1</f>
        <v>-9.9999999999999978E-2</v>
      </c>
      <c r="G7" s="126"/>
      <c r="H7" s="189">
        <f ca="1">IF(G7="",F7,G7)*(SUM(H3:H4))</f>
        <v>-1994.0848358578885</v>
      </c>
      <c r="K7" s="292" t="s">
        <v>714</v>
      </c>
      <c r="L7" s="292"/>
      <c r="M7" s="292"/>
      <c r="O7" s="124"/>
      <c r="P7" s="125"/>
    </row>
    <row r="8" spans="1:16" x14ac:dyDescent="0.2">
      <c r="A8" s="110" t="s">
        <v>259</v>
      </c>
      <c r="B8" s="86">
        <v>12345</v>
      </c>
      <c r="D8" s="127" t="s">
        <v>640</v>
      </c>
      <c r="E8" s="177"/>
      <c r="F8" s="178"/>
      <c r="G8" s="98"/>
      <c r="H8" s="187">
        <f ca="1">SUM(H3:H7)</f>
        <v>16949.721104792057</v>
      </c>
      <c r="L8" s="214" t="s">
        <v>390</v>
      </c>
      <c r="M8" s="214" t="s">
        <v>718</v>
      </c>
      <c r="O8" s="124"/>
      <c r="P8" s="125"/>
    </row>
    <row r="9" spans="1:16" x14ac:dyDescent="0.2">
      <c r="A9" s="86" t="s">
        <v>260</v>
      </c>
      <c r="D9" s="127" t="s">
        <v>647</v>
      </c>
      <c r="E9" s="177"/>
      <c r="F9" s="178"/>
      <c r="G9" s="98"/>
      <c r="H9" s="207">
        <f>IF(B25="Yes",LayerPricingFactor("XLC",B26,B27),1)</f>
        <v>1</v>
      </c>
      <c r="K9" s="86" t="s">
        <v>715</v>
      </c>
      <c r="L9" s="122">
        <f>L10*0.85</f>
        <v>0</v>
      </c>
      <c r="M9" s="210" t="str">
        <f>IFERROR(L9/Catastrophe!$B$3,"")</f>
        <v/>
      </c>
      <c r="N9" s="120">
        <f>L9-L10</f>
        <v>0</v>
      </c>
      <c r="O9" s="124"/>
      <c r="P9" s="125"/>
    </row>
    <row r="10" spans="1:16" x14ac:dyDescent="0.2">
      <c r="A10" s="110" t="s">
        <v>285</v>
      </c>
      <c r="D10" s="116" t="s">
        <v>642</v>
      </c>
      <c r="E10" s="179"/>
      <c r="F10" s="179"/>
      <c r="G10" s="116"/>
      <c r="H10" s="188">
        <f ca="1">H8*H9</f>
        <v>16949.721104792057</v>
      </c>
      <c r="K10" s="86" t="s">
        <v>716</v>
      </c>
      <c r="L10" s="122">
        <f>F21</f>
        <v>0</v>
      </c>
      <c r="M10" s="210" t="str">
        <f>IFERROR(L10/Catastrophe!$B$3,"")</f>
        <v/>
      </c>
      <c r="O10" s="124"/>
      <c r="P10" s="125"/>
    </row>
    <row r="11" spans="1:16" x14ac:dyDescent="0.2">
      <c r="A11" s="110" t="s">
        <v>286</v>
      </c>
      <c r="D11" s="129" t="s">
        <v>63</v>
      </c>
      <c r="E11" s="180"/>
      <c r="F11" s="151"/>
      <c r="H11" s="172"/>
      <c r="K11" s="86" t="s">
        <v>717</v>
      </c>
      <c r="L11" s="122">
        <f>L10*1.15</f>
        <v>0</v>
      </c>
      <c r="M11" s="210" t="str">
        <f>IFERROR(L11/Catastrophe!$B$3,"")</f>
        <v/>
      </c>
      <c r="N11" s="120">
        <f>L11-L10</f>
        <v>0</v>
      </c>
      <c r="O11" s="124"/>
      <c r="P11" s="125"/>
    </row>
    <row r="12" spans="1:16" x14ac:dyDescent="0.2">
      <c r="A12" s="110" t="s">
        <v>287</v>
      </c>
      <c r="D12" s="110" t="s">
        <v>83</v>
      </c>
      <c r="E12" s="181"/>
      <c r="F12" s="182">
        <f ca="1">IF(UPPER(B20)="YES",MIN(RatingFactorTables!$CY$4,MAX(RatingFactorTables!CY3*SUM(H3:H4),RatingFactorTables!CY2*AccountBuildingCount)),0)</f>
        <v>1800</v>
      </c>
      <c r="G12" s="123"/>
      <c r="H12" s="172">
        <f ca="1">IF(G12="",F12,G12)</f>
        <v>1800</v>
      </c>
      <c r="O12" s="124"/>
      <c r="P12" s="125"/>
    </row>
    <row r="13" spans="1:16" x14ac:dyDescent="0.2">
      <c r="D13" s="110" t="s">
        <v>68</v>
      </c>
      <c r="E13" s="181"/>
      <c r="F13" s="172">
        <f>SUM(AOPStart:AOPEnd!H51)</f>
        <v>0</v>
      </c>
      <c r="G13" s="123"/>
      <c r="H13" s="172">
        <f>IF(G13="",F13,G13)</f>
        <v>0</v>
      </c>
      <c r="O13" s="124"/>
      <c r="P13" s="125"/>
    </row>
    <row r="14" spans="1:16" x14ac:dyDescent="0.2">
      <c r="A14" s="85" t="s">
        <v>282</v>
      </c>
      <c r="B14" s="104"/>
      <c r="D14" s="110" t="s">
        <v>271</v>
      </c>
      <c r="E14" s="181"/>
      <c r="F14" s="172">
        <f ca="1">SUM(AOPStart:AOPEnd!H50)</f>
        <v>0</v>
      </c>
      <c r="G14" s="123"/>
      <c r="H14" s="247">
        <f ca="1">IF(G14="",F14,G14)</f>
        <v>0</v>
      </c>
      <c r="O14" s="124"/>
      <c r="P14" s="125"/>
    </row>
    <row r="15" spans="1:16" x14ac:dyDescent="0.2">
      <c r="A15" s="86" t="s">
        <v>79</v>
      </c>
      <c r="B15" s="99" t="s">
        <v>49</v>
      </c>
      <c r="D15" s="130" t="s">
        <v>648</v>
      </c>
      <c r="E15" s="183"/>
      <c r="F15" s="184"/>
      <c r="G15" s="131"/>
      <c r="H15" s="190">
        <f ca="1">SUM(H10:H14)</f>
        <v>18749.721104792057</v>
      </c>
      <c r="O15" s="124"/>
      <c r="P15" s="125"/>
    </row>
    <row r="16" spans="1:16" x14ac:dyDescent="0.2">
      <c r="A16" s="86" t="s">
        <v>632</v>
      </c>
      <c r="B16" s="99" t="s">
        <v>158</v>
      </c>
      <c r="D16" s="132" t="str">
        <f>"AOP Loss Costs ("&amp;TEXT($B$28,"#.0%")&amp;" Participation)"</f>
        <v>AOP Loss Costs (100.0% Participation)</v>
      </c>
      <c r="E16" s="185"/>
      <c r="F16" s="179"/>
      <c r="G16" s="116"/>
      <c r="H16" s="188">
        <f ca="1">H15*$B$28</f>
        <v>18749.721104792057</v>
      </c>
      <c r="O16" s="124"/>
      <c r="P16" s="125"/>
    </row>
    <row r="17" spans="1:16" x14ac:dyDescent="0.2">
      <c r="A17" s="94"/>
      <c r="B17" s="94"/>
      <c r="D17" s="129" t="s">
        <v>643</v>
      </c>
      <c r="E17" s="180"/>
      <c r="F17" s="156"/>
      <c r="H17" s="172">
        <f ca="1">H18-H16</f>
        <v>7111.9631776797469</v>
      </c>
      <c r="O17" s="124"/>
      <c r="P17" s="125"/>
    </row>
    <row r="18" spans="1:16" x14ac:dyDescent="0.2">
      <c r="D18" s="132" t="str">
        <f>"AOP Premium ("&amp;TEXT(B28,"#.0%")&amp;" Participation)"</f>
        <v>AOP Premium (100.0% Participation)</v>
      </c>
      <c r="E18" s="185"/>
      <c r="F18" s="179"/>
      <c r="G18" s="116"/>
      <c r="H18" s="188">
        <f ca="1">H16/(1-RatingFactorTables!$CS$2)</f>
        <v>25861.684282471804</v>
      </c>
      <c r="O18" s="124"/>
      <c r="P18" s="125"/>
    </row>
    <row r="19" spans="1:16" x14ac:dyDescent="0.2">
      <c r="A19" s="85" t="s">
        <v>63</v>
      </c>
      <c r="B19" s="104"/>
      <c r="E19" s="156"/>
      <c r="F19" s="156"/>
      <c r="H19" s="156"/>
      <c r="O19" s="124"/>
      <c r="P19" s="125"/>
    </row>
    <row r="20" spans="1:16" ht="13.5" thickBot="1" x14ac:dyDescent="0.25">
      <c r="A20" s="133" t="s">
        <v>83</v>
      </c>
      <c r="B20" s="134" t="s">
        <v>56</v>
      </c>
      <c r="D20" s="116" t="s">
        <v>644</v>
      </c>
      <c r="E20" s="179"/>
      <c r="F20" s="186" t="s">
        <v>267</v>
      </c>
      <c r="G20" s="117" t="s">
        <v>268</v>
      </c>
      <c r="H20" s="186" t="s">
        <v>269</v>
      </c>
      <c r="I20" s="86" t="s">
        <v>987</v>
      </c>
      <c r="O20" s="124"/>
      <c r="P20" s="125"/>
    </row>
    <row r="21" spans="1:16" ht="13.5" thickBot="1" x14ac:dyDescent="0.25">
      <c r="A21" s="98" t="s">
        <v>68</v>
      </c>
      <c r="B21" s="134" t="s">
        <v>57</v>
      </c>
      <c r="D21" s="127" t="s">
        <v>713</v>
      </c>
      <c r="E21" s="177"/>
      <c r="F21" s="187">
        <f>Catastrophe!E8</f>
        <v>0</v>
      </c>
      <c r="G21" s="135">
        <f>VLOOKUP(I21,K9:L11,2)</f>
        <v>0</v>
      </c>
      <c r="H21" s="187">
        <f>IF(G21="",F21,G21)</f>
        <v>0</v>
      </c>
      <c r="I21" s="257" t="s">
        <v>715</v>
      </c>
      <c r="O21" s="124"/>
      <c r="P21" s="125"/>
    </row>
    <row r="22" spans="1:16" x14ac:dyDescent="0.2">
      <c r="A22" s="86" t="s">
        <v>271</v>
      </c>
      <c r="B22" s="99" t="s">
        <v>57</v>
      </c>
      <c r="D22" s="129" t="s">
        <v>204</v>
      </c>
      <c r="E22" s="180"/>
      <c r="F22" s="172"/>
      <c r="G22" s="122"/>
      <c r="H22" s="172">
        <f>H23-H21</f>
        <v>0</v>
      </c>
      <c r="O22" s="124"/>
      <c r="P22" s="125"/>
    </row>
    <row r="23" spans="1:16" x14ac:dyDescent="0.2">
      <c r="D23" s="132" t="s">
        <v>280</v>
      </c>
      <c r="E23" s="185"/>
      <c r="F23" s="188"/>
      <c r="G23" s="128"/>
      <c r="H23" s="188">
        <f>H21/(1-RatingFactorTables!$CS$2)</f>
        <v>0</v>
      </c>
      <c r="O23" s="124"/>
      <c r="P23" s="125"/>
    </row>
    <row r="24" spans="1:16" x14ac:dyDescent="0.2">
      <c r="A24" s="85" t="s">
        <v>637</v>
      </c>
      <c r="B24" s="104"/>
      <c r="O24" s="124"/>
      <c r="P24" s="125"/>
    </row>
    <row r="25" spans="1:16" x14ac:dyDescent="0.2">
      <c r="A25" s="86" t="s">
        <v>641</v>
      </c>
      <c r="B25" s="134" t="s">
        <v>57</v>
      </c>
      <c r="D25" s="87" t="s">
        <v>281</v>
      </c>
      <c r="E25" s="87"/>
      <c r="F25" s="87"/>
      <c r="G25" s="87"/>
      <c r="H25" s="87"/>
      <c r="O25" s="136"/>
      <c r="P25" s="137"/>
    </row>
    <row r="26" spans="1:16" x14ac:dyDescent="0.2">
      <c r="A26" s="86" t="s">
        <v>638</v>
      </c>
      <c r="B26" s="194">
        <v>10000000</v>
      </c>
      <c r="D26" s="138" t="s">
        <v>281</v>
      </c>
      <c r="E26" s="138"/>
      <c r="F26" s="139"/>
      <c r="G26" s="139"/>
      <c r="H26" s="191">
        <f ca="1">H18+H23</f>
        <v>25861.684282471804</v>
      </c>
    </row>
    <row r="27" spans="1:16" x14ac:dyDescent="0.2">
      <c r="A27" s="86" t="s">
        <v>228</v>
      </c>
      <c r="B27" s="194">
        <f>CleaningSheet!AP12</f>
        <v>0</v>
      </c>
      <c r="D27" s="138" t="s">
        <v>268</v>
      </c>
      <c r="E27" s="138"/>
      <c r="F27" s="138"/>
      <c r="G27" s="138"/>
      <c r="H27" s="140"/>
    </row>
    <row r="28" spans="1:16" x14ac:dyDescent="0.2">
      <c r="A28" s="86" t="s">
        <v>639</v>
      </c>
      <c r="B28" s="195">
        <f>CleaningSheet!AQ12/100</f>
        <v>1</v>
      </c>
      <c r="D28" s="141" t="s">
        <v>296</v>
      </c>
      <c r="E28" s="142"/>
      <c r="F28" s="142"/>
      <c r="G28" s="142"/>
      <c r="H28" s="192">
        <f ca="1">IF(H27="",H26,H27)</f>
        <v>25861.684282471804</v>
      </c>
    </row>
    <row r="30" spans="1:16" x14ac:dyDescent="0.2">
      <c r="A30" s="85" t="s">
        <v>283</v>
      </c>
      <c r="B30" s="104"/>
      <c r="G30" s="86" t="s">
        <v>1060</v>
      </c>
      <c r="H30" s="210">
        <v>1200</v>
      </c>
    </row>
    <row r="31" spans="1:16" x14ac:dyDescent="0.2">
      <c r="A31" s="98" t="s">
        <v>284</v>
      </c>
      <c r="B31" s="134" t="s">
        <v>93</v>
      </c>
      <c r="G31" s="86" t="s">
        <v>1061</v>
      </c>
      <c r="H31" s="210">
        <v>35</v>
      </c>
    </row>
    <row r="32" spans="1:16" x14ac:dyDescent="0.2">
      <c r="D32" s="86">
        <v>72801</v>
      </c>
      <c r="E32" s="86" t="s">
        <v>1065</v>
      </c>
      <c r="G32" s="86" t="s">
        <v>1059</v>
      </c>
      <c r="H32" s="210">
        <v>5613.15</v>
      </c>
    </row>
    <row r="33" spans="1:8" x14ac:dyDescent="0.2">
      <c r="A33" s="85" t="s">
        <v>75</v>
      </c>
      <c r="B33" s="104"/>
      <c r="D33" s="86">
        <v>96453</v>
      </c>
      <c r="E33" s="86" t="s">
        <v>1064</v>
      </c>
      <c r="G33" s="86" t="s">
        <v>1062</v>
      </c>
      <c r="H33" s="210">
        <v>168.39</v>
      </c>
    </row>
    <row r="34" spans="1:8" x14ac:dyDescent="0.2">
      <c r="A34" s="86" t="s">
        <v>295</v>
      </c>
      <c r="B34" s="90">
        <v>11</v>
      </c>
      <c r="D34" s="86">
        <v>31585</v>
      </c>
      <c r="E34" s="86" t="s">
        <v>1065</v>
      </c>
      <c r="G34" s="86" t="s">
        <v>1063</v>
      </c>
      <c r="H34" s="210">
        <v>4</v>
      </c>
    </row>
    <row r="35" spans="1:8" x14ac:dyDescent="0.2">
      <c r="D35" s="304">
        <f>SUM(D32:D34)</f>
        <v>200839</v>
      </c>
      <c r="H35" s="120">
        <f ca="1">SUM(H28:H34)</f>
        <v>32882.224282471805</v>
      </c>
    </row>
    <row r="36" spans="1:8" x14ac:dyDescent="0.2">
      <c r="D36" s="304">
        <f>D33+D34</f>
        <v>128038</v>
      </c>
    </row>
  </sheetData>
  <mergeCells count="3">
    <mergeCell ref="O1:P1"/>
    <mergeCell ref="K1:M1"/>
    <mergeCell ref="K7:M7"/>
  </mergeCells>
  <dataValidations count="1">
    <dataValidation type="list" allowBlank="1" showInputMessage="1" showErrorMessage="1" sqref="I21">
      <formula1>$K$9:$K$11</formula1>
    </dataValidation>
  </dataValidations>
  <pageMargins left="0.7" right="0.7" top="0.75" bottom="0.75" header="0.3" footer="0.3"/>
  <pageSetup orientation="portrait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ddBuilding">
                <anchor moveWithCells="1" sizeWithCells="1">
                  <from>
                    <xdr:col>0</xdr:col>
                    <xdr:colOff>76200</xdr:colOff>
                    <xdr:row>56</xdr:row>
                    <xdr:rowOff>47625</xdr:rowOff>
                  </from>
                  <to>
                    <xdr:col>1</xdr:col>
                    <xdr:colOff>152400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populate_procedure">
                <anchor moveWithCells="1" sizeWithCells="1">
                  <from>
                    <xdr:col>0</xdr:col>
                    <xdr:colOff>142875</xdr:colOff>
                    <xdr:row>40</xdr:row>
                    <xdr:rowOff>47625</xdr:rowOff>
                  </from>
                  <to>
                    <xdr:col>2</xdr:col>
                    <xdr:colOff>409575</xdr:colOff>
                    <xdr:row>46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RatingFactorTables!$BA$2:$BA$3</xm:f>
          </x14:formula1>
          <xm:sqref>B16</xm:sqref>
        </x14:dataValidation>
        <x14:dataValidation type="list" allowBlank="1" showInputMessage="1" showErrorMessage="1">
          <x14:formula1>
            <xm:f>RatingFactorTables!$AN$3:$AN$8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B20:B22 B25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RatingFactorTables!$AQ$2:$AQ$3</xm:f>
          </x14:formula1>
          <xm:sqref>B15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/>
  </sheetPr>
  <dimension ref="A1:XFD12"/>
  <sheetViews>
    <sheetView zoomScaleNormal="100" workbookViewId="0">
      <selection activeCell="B3" sqref="B3"/>
    </sheetView>
  </sheetViews>
  <sheetFormatPr defaultColWidth="9.140625" defaultRowHeight="12.75" x14ac:dyDescent="0.2"/>
  <cols>
    <col min="1" max="1" width="40.7109375" style="86" bestFit="1" customWidth="1"/>
    <col min="2" max="5" width="15.7109375" style="86" customWidth="1"/>
    <col min="6" max="16384" width="9.140625" style="86"/>
  </cols>
  <sheetData>
    <row r="1" spans="1:8 16384:16384" x14ac:dyDescent="0.2">
      <c r="A1" s="292" t="s">
        <v>291</v>
      </c>
      <c r="B1" s="292"/>
      <c r="C1" s="292"/>
      <c r="D1" s="292"/>
      <c r="E1" s="292"/>
      <c r="H1" s="102" t="s">
        <v>396</v>
      </c>
    </row>
    <row r="2" spans="1:8 16384:16384" x14ac:dyDescent="0.2">
      <c r="B2" s="143"/>
      <c r="C2" s="143"/>
      <c r="D2" s="143"/>
    </row>
    <row r="3" spans="1:8 16384:16384" x14ac:dyDescent="0.2">
      <c r="A3" s="86" t="s">
        <v>289</v>
      </c>
      <c r="B3" s="213">
        <f>CleaningSheet!AH12</f>
        <v>0</v>
      </c>
      <c r="C3" s="144"/>
      <c r="D3" s="144"/>
      <c r="H3" s="86" t="s">
        <v>397</v>
      </c>
    </row>
    <row r="4" spans="1:8 16384:16384" x14ac:dyDescent="0.2">
      <c r="A4" s="86" t="s">
        <v>625</v>
      </c>
      <c r="B4" s="145">
        <f>RatingFactorTables!$CS$6</f>
        <v>0.05</v>
      </c>
      <c r="C4" s="146"/>
      <c r="D4" s="146"/>
      <c r="E4" s="146"/>
      <c r="H4" s="86" t="s">
        <v>398</v>
      </c>
    </row>
    <row r="5" spans="1:8 16384:16384" x14ac:dyDescent="0.2">
      <c r="B5" s="145"/>
      <c r="C5" s="146"/>
      <c r="D5" s="146"/>
      <c r="E5" s="146"/>
    </row>
    <row r="6" spans="1:8 16384:16384" x14ac:dyDescent="0.2">
      <c r="B6" s="143" t="s">
        <v>292</v>
      </c>
      <c r="C6" s="143" t="s">
        <v>293</v>
      </c>
      <c r="D6" s="143" t="s">
        <v>624</v>
      </c>
      <c r="E6" s="143" t="s">
        <v>188</v>
      </c>
    </row>
    <row r="7" spans="1:8 16384:16384" x14ac:dyDescent="0.2">
      <c r="A7" s="86" t="s">
        <v>623</v>
      </c>
      <c r="B7" s="210">
        <v>0.23</v>
      </c>
      <c r="C7" s="210">
        <v>1.61</v>
      </c>
      <c r="D7" s="210">
        <v>0.21</v>
      </c>
      <c r="E7" s="210">
        <f>SUM(B7:D7)</f>
        <v>2.0500000000000003</v>
      </c>
      <c r="XFD7" s="147"/>
    </row>
    <row r="8" spans="1:8 16384:16384" x14ac:dyDescent="0.2">
      <c r="A8" s="89" t="s">
        <v>290</v>
      </c>
      <c r="B8" s="211">
        <f>$B$3*(1+$B$4)*B7</f>
        <v>0</v>
      </c>
      <c r="C8" s="211">
        <f>$B$3*(1+$B$4)*C7</f>
        <v>0</v>
      </c>
      <c r="D8" s="211">
        <f>$B$3*(1+$B$4)*D7</f>
        <v>0</v>
      </c>
      <c r="E8" s="211">
        <f>SUM(B8:D8)</f>
        <v>0</v>
      </c>
    </row>
    <row r="9" spans="1:8 16384:16384" x14ac:dyDescent="0.2">
      <c r="A9" s="86" t="str">
        <f>"RI Brokerage Fees ("&amp;TEXT(RatingFactorTables!$CS$8,"#.0%")&amp;")"</f>
        <v>RI Brokerage Fees (3.5%)</v>
      </c>
      <c r="B9" s="122">
        <v>0</v>
      </c>
      <c r="C9" s="122">
        <f>C8*(1-SUM(RatingFactorTables!$CS$7:$CS$8))*RatingFactorTables!$CS$8</f>
        <v>0</v>
      </c>
      <c r="D9" s="122">
        <v>0</v>
      </c>
      <c r="E9" s="122">
        <f>SUM(B9:D9)</f>
        <v>0</v>
      </c>
    </row>
    <row r="10" spans="1:8 16384:16384" x14ac:dyDescent="0.2">
      <c r="A10" s="86" t="str">
        <f>"Fronting Fees ("&amp;TEXT(RatingFactorTables!$CS$7,"#.0%")&amp;")"</f>
        <v>Fronting Fees (6.0%)</v>
      </c>
      <c r="B10" s="212">
        <v>0</v>
      </c>
      <c r="C10" s="212">
        <f>C8*(1-SUM(RatingFactorTables!$CS$7:$CS$8))*RatingFactorTables!$CS$7</f>
        <v>0</v>
      </c>
      <c r="D10" s="212">
        <v>0</v>
      </c>
      <c r="E10" s="212">
        <f>SUM(B10:D10)</f>
        <v>0</v>
      </c>
    </row>
    <row r="11" spans="1:8 16384:16384" x14ac:dyDescent="0.2">
      <c r="A11" s="116" t="s">
        <v>294</v>
      </c>
      <c r="B11" s="128">
        <f>SUM(B8:B10)</f>
        <v>0</v>
      </c>
      <c r="C11" s="128">
        <f>SUM(C8:C10)</f>
        <v>0</v>
      </c>
      <c r="D11" s="128">
        <f>SUM(D8:D10)</f>
        <v>0</v>
      </c>
      <c r="E11" s="128">
        <f>SUM(E8:E10)</f>
        <v>0</v>
      </c>
    </row>
    <row r="12" spans="1:8 16384:16384" x14ac:dyDescent="0.2">
      <c r="E12" s="86" t="e">
        <f>E8/B3</f>
        <v>#DIV/0!</v>
      </c>
    </row>
  </sheetData>
  <mergeCells count="1">
    <mergeCell ref="A1:E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1" sqref="A61"/>
    </sheetView>
  </sheetViews>
  <sheetFormatPr defaultRowHeight="12.75" x14ac:dyDescent="0.2"/>
  <cols>
    <col min="1" max="1" width="19.7109375" bestFit="1" customWidth="1"/>
    <col min="2" max="2" width="12.57031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S53"/>
  <sheetViews>
    <sheetView showGridLines="0" topLeftCell="B1" zoomScaleNormal="100" zoomScalePageLayoutView="150" workbookViewId="0">
      <selection activeCell="H48" sqref="H48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1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1</v>
      </c>
      <c r="D3" s="86" t="s">
        <v>194</v>
      </c>
      <c r="E3" s="99" t="s">
        <v>650</v>
      </c>
      <c r="G3" s="86" t="s">
        <v>50</v>
      </c>
      <c r="H3" s="151" t="str">
        <f>B17</f>
        <v>ISO 1 – Frame</v>
      </c>
      <c r="J3" s="90">
        <f>B2</f>
        <v>1</v>
      </c>
      <c r="K3" s="90">
        <f>B3</f>
        <v>1</v>
      </c>
      <c r="L3" s="93">
        <f ca="1">H30/B24*100</f>
        <v>0.24233807400000001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1066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0.25240000000000001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196.8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0.38429999999999997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350000</v>
      </c>
      <c r="G11" s="86" t="s">
        <v>609</v>
      </c>
      <c r="H11" s="155">
        <f ca="1">PRODUCT(H8:H10)</f>
        <v>0.44194499999999992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120</v>
      </c>
      <c r="D12" s="86" t="s">
        <v>268</v>
      </c>
      <c r="E12" s="194">
        <v>646160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646160</v>
      </c>
      <c r="G13" s="103" t="s">
        <v>606</v>
      </c>
      <c r="H13" s="157">
        <f ca="1">IF(H7="VACANT",H11,H5)</f>
        <v>0.25240000000000001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1987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611</v>
      </c>
      <c r="D17" s="86" t="s">
        <v>704</v>
      </c>
      <c r="E17" s="155">
        <f ca="1">INDEX(LloydsScale,MATCH(B24/E13,OFFSET(LloydsScale,0,0,,1),1),2)</f>
        <v>0.9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0.93604519710779155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VLOOKUP(B24/E13,CHOOSE(VLOOKUP(Input.Occupancy,RatingFactorTables!$DO$3:$DP$102,2,FALSE),XLCCurve1,XLCCurve2,XLCCurve2,XLCCUrve4,XLCCUrve4,XLCCUrve4),1+MATCH(SUM(AOPBuilding1!E13,AOPBuilding1!B25:B26),XLCExposureCurves!$E$5:$N$5,1),TRUE)</f>
        <v>0.91380149618785123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0.91380149618785123</v>
      </c>
      <c r="G20" s="86" t="s">
        <v>59</v>
      </c>
      <c r="H20" s="159">
        <f ca="1">VLOOKUP(ROUND(YEAR(TODAY())-B15,0),RatingFactorTables!$S$3:$U$7,3)</f>
        <v>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350000</v>
      </c>
      <c r="G24" s="103" t="s">
        <v>190</v>
      </c>
      <c r="H24" s="160">
        <f ca="1">MAX(0.4,PRODUCT(H16:H23))</f>
        <v>0.96013500000000007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65000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250000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0.24233807400000004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350000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848.18325900000013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30</v>
      </c>
      <c r="G31" s="86" t="s">
        <v>329</v>
      </c>
      <c r="H31" s="148">
        <f>B25</f>
        <v>65000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250000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30</v>
      </c>
      <c r="G33" s="89" t="s">
        <v>315</v>
      </c>
      <c r="H33" s="163">
        <f ca="1">SUM(H31:H32)/100*H27</f>
        <v>763.36493310000014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1611.5481921000003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$350,000)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99.75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$17,500)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$17,500)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$35,000)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-11.026382367000002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1700.2718097330003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9025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2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2</v>
      </c>
      <c r="D3" s="86" t="s">
        <v>194</v>
      </c>
      <c r="E3" s="99" t="s">
        <v>650</v>
      </c>
      <c r="G3" s="86" t="s">
        <v>50</v>
      </c>
      <c r="H3" s="151" t="str">
        <f>B17</f>
        <v>ISO 3 – Metal</v>
      </c>
      <c r="J3" s="90">
        <f>B2</f>
        <v>1</v>
      </c>
      <c r="K3" s="90">
        <f>B3</f>
        <v>2</v>
      </c>
      <c r="L3" s="93">
        <f ca="1">H30/B24*100</f>
        <v>0.20767720050000002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1069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0.21629999999999999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110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0.32629999999999998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583553</v>
      </c>
      <c r="G11" s="86" t="s">
        <v>609</v>
      </c>
      <c r="H11" s="155">
        <f ca="1">PRODUCT(H8:H10)</f>
        <v>0.37524499999999994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127</v>
      </c>
      <c r="D12" s="86" t="s">
        <v>268</v>
      </c>
      <c r="E12" s="194">
        <v>1611500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1611500</v>
      </c>
      <c r="G13" s="103" t="s">
        <v>606</v>
      </c>
      <c r="H13" s="157">
        <f ca="1">IF(H7="VACANT",H11,H5)</f>
        <v>0.21629999999999999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1987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613</v>
      </c>
      <c r="D17" s="86" t="s">
        <v>704</v>
      </c>
      <c r="E17" s="155">
        <f ca="1">INDEX(LloydsScale,MATCH(B24/E13,OFFSET(LloydsScale,0,0,,1),1),2)</f>
        <v>0.79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0.83031499124664987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VLOOKUP(B24/E13,CHOOSE(VLOOKUP(Input.Occupancy,RatingFactorTables!$DO$3:$DP$102,2,FALSE),XLCCurve1,XLCCurve2,XLCCurve2,XLCCUrve4,XLCCUrve4,XLCCUrve4),1+MATCH(SUM(AOPBuilding2!E13,AOPBuilding2!B25:B26),XLCExposureCurves!$E$5:$N$5,1),TRUE)</f>
        <v>0.81765288502264299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0.81765288502264299</v>
      </c>
      <c r="G20" s="86" t="s">
        <v>59</v>
      </c>
      <c r="H20" s="159">
        <f ca="1">VLOOKUP(ROUND(YEAR(TODAY())-B15,0),RatingFactorTables!$S$3:$U$7,3)</f>
        <v>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583553</v>
      </c>
      <c r="G24" s="103" t="s">
        <v>190</v>
      </c>
      <c r="H24" s="160">
        <f ca="1">MAX(0.4,PRODUCT(H16:H23))</f>
        <v>0.96013500000000007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60000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0.20767720050000002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583553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1211.906533833765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30</v>
      </c>
      <c r="G31" s="86" t="s">
        <v>329</v>
      </c>
      <c r="H31" s="148">
        <f>B25</f>
        <v>60000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30</v>
      </c>
      <c r="G33" s="89" t="s">
        <v>315</v>
      </c>
      <c r="H33" s="163">
        <f ca="1">SUM(H31:H32)/100*H27</f>
        <v>124.60632030000001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1336.5128541337651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$583,553)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96.53295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$29,178)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$29,178)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$58,355)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-8.7224424210000002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1424.3233617127651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0049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2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3</v>
      </c>
      <c r="D3" s="86" t="s">
        <v>194</v>
      </c>
      <c r="E3" s="99" t="s">
        <v>650</v>
      </c>
      <c r="G3" s="86" t="s">
        <v>50</v>
      </c>
      <c r="H3" s="151" t="str">
        <f>B17</f>
        <v>ISO 3 – Metal</v>
      </c>
      <c r="J3" s="90">
        <f>B2</f>
        <v>1</v>
      </c>
      <c r="K3" s="90">
        <f>B3</f>
        <v>3</v>
      </c>
      <c r="L3" s="93">
        <f ca="1">H30/B24*100</f>
        <v>0.20767720050000002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1070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0.21629999999999999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110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0.32629999999999998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192370</v>
      </c>
      <c r="G11" s="86" t="s">
        <v>609</v>
      </c>
      <c r="H11" s="155">
        <f ca="1">PRODUCT(H8:H10)</f>
        <v>0.37524499999999994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127</v>
      </c>
      <c r="D12" s="86" t="s">
        <v>268</v>
      </c>
      <c r="E12" s="194">
        <v>477290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477290</v>
      </c>
      <c r="G13" s="103" t="s">
        <v>606</v>
      </c>
      <c r="H13" s="157">
        <f ca="1">IF(H7="VACANT",H11,H5)</f>
        <v>0.21629999999999999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1987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613</v>
      </c>
      <c r="D17" s="86" t="s">
        <v>704</v>
      </c>
      <c r="E17" s="155">
        <f ca="1">INDEX(LloydsScale,MATCH(B24/E13,OFFSET(LloydsScale,0,0,,1),1),2)</f>
        <v>0.82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0.84987686790995254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VLOOKUP(B24/E13,CHOOSE(VLOOKUP(Input.Occupancy,RatingFactorTables!$DO$3:$DP$102,2,FALSE),XLCCurve1,XLCCurve2,XLCCurve2,XLCCUrve4,XLCCUrve4,XLCCUrve4),1+MATCH(SUM(AOPBuilding3!E13,AOPBuilding3!B25:B26),XLCExposureCurves!$E$5:$N$5,1),TRUE)</f>
        <v>0.83668378496771689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0.83668378496771689</v>
      </c>
      <c r="G20" s="86" t="s">
        <v>59</v>
      </c>
      <c r="H20" s="159">
        <f ca="1">VLOOKUP(ROUND(YEAR(TODAY())-B15,0),RatingFactorTables!$S$3:$U$7,3)</f>
        <v>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192370</v>
      </c>
      <c r="G24" s="103" t="s">
        <v>190</v>
      </c>
      <c r="H24" s="160">
        <f ca="1">MAX(0.4,PRODUCT(H16:H23))</f>
        <v>0.96013500000000007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10000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0.20767720050000002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192370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399.50863060185003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30</v>
      </c>
      <c r="G31" s="86" t="s">
        <v>329</v>
      </c>
      <c r="H31" s="148">
        <f>B25</f>
        <v>10000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30</v>
      </c>
      <c r="G33" s="89" t="s">
        <v>315</v>
      </c>
      <c r="H33" s="163">
        <f ca="1">SUM(H31:H32)/100*H27</f>
        <v>20.767720050000001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420.27635065185001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$192,370)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30.355499999999996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$9,619)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$9,619)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$19,237)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-1.4537404035000003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449.17811024835004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1073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2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4</v>
      </c>
      <c r="D3" s="86" t="s">
        <v>194</v>
      </c>
      <c r="E3" s="99" t="s">
        <v>650</v>
      </c>
      <c r="G3" s="86" t="s">
        <v>50</v>
      </c>
      <c r="H3" s="151" t="str">
        <f>B17</f>
        <v>ISO 3 – Metal</v>
      </c>
      <c r="J3" s="90">
        <f>B2</f>
        <v>1</v>
      </c>
      <c r="K3" s="90">
        <f>B3</f>
        <v>4</v>
      </c>
      <c r="L3" s="93">
        <f ca="1">H30/B24*100</f>
        <v>0.20767720050000002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1071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0.21629999999999999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110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0.32629999999999998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800000</v>
      </c>
      <c r="G11" s="86" t="s">
        <v>609</v>
      </c>
      <c r="H11" s="155">
        <f ca="1">PRODUCT(H8:H10)</f>
        <v>0.37524499999999994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127</v>
      </c>
      <c r="D12" s="86" t="s">
        <v>268</v>
      </c>
      <c r="E12" s="194">
        <v>1651650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1651650</v>
      </c>
      <c r="G13" s="103" t="s">
        <v>606</v>
      </c>
      <c r="H13" s="157">
        <f ca="1">IF(H7="VACANT",H11,H5)</f>
        <v>0.21629999999999999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1994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613</v>
      </c>
      <c r="D17" s="86" t="s">
        <v>704</v>
      </c>
      <c r="E17" s="155">
        <f ca="1">INDEX(LloydsScale,MATCH(B24/E13,OFFSET(LloydsScale,0,0,,1),1),2)</f>
        <v>0.87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0.88964360129908249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VLOOKUP(B24/E13,CHOOSE(VLOOKUP(Input.Occupancy,RatingFactorTables!$DO$3:$DP$102,2,FALSE),XLCCurve1,XLCCurve2,XLCCurve2,XLCCUrve4,XLCCUrve4,XLCCUrve4),1+MATCH(SUM(AOPBuilding4!E13,AOPBuilding4!B25:B26),XLCExposureCurves!$E$5:$N$5,1),TRUE)</f>
        <v>0.86950246363892314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0.86950246363892314</v>
      </c>
      <c r="G20" s="86" t="s">
        <v>59</v>
      </c>
      <c r="H20" s="159">
        <f ca="1">VLOOKUP(ROUND(YEAR(TODAY())-B15,0),RatingFactorTables!$S$3:$U$7,3)</f>
        <v>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800000</v>
      </c>
      <c r="G24" s="103" t="s">
        <v>190</v>
      </c>
      <c r="H24" s="160">
        <f ca="1">MAX(0.4,PRODUCT(H16:H23))</f>
        <v>0.96013500000000007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100000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0.20767720050000002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800000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1661.4176040000002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23</v>
      </c>
      <c r="G31" s="86" t="s">
        <v>329</v>
      </c>
      <c r="H31" s="148">
        <f>B25</f>
        <v>100000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23</v>
      </c>
      <c r="G33" s="89" t="s">
        <v>315</v>
      </c>
      <c r="H33" s="163">
        <f ca="1">SUM(H31:H32)/100*H27</f>
        <v>207.67720050000003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1869.0948045000002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$800,000)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135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$80,000)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$80,000)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$160,000)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-14.537404035000005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1989.5574004650002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2097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2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5</v>
      </c>
      <c r="D3" s="86" t="s">
        <v>194</v>
      </c>
      <c r="E3" s="99" t="s">
        <v>650</v>
      </c>
      <c r="G3" s="86" t="s">
        <v>50</v>
      </c>
      <c r="H3" s="151" t="str">
        <f>B17</f>
        <v>ISO 3 – Metal</v>
      </c>
      <c r="J3" s="90">
        <f>B2</f>
        <v>1</v>
      </c>
      <c r="K3" s="90">
        <f>B3</f>
        <v>5</v>
      </c>
      <c r="L3" s="93">
        <f ca="1">H30/B24*100</f>
        <v>0.20767720050000002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1072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0.21629999999999999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110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0.32629999999999998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68040</v>
      </c>
      <c r="G11" s="86" t="s">
        <v>609</v>
      </c>
      <c r="H11" s="155">
        <f ca="1">PRODUCT(H8:H10)</f>
        <v>0.37524499999999994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127</v>
      </c>
      <c r="D12" s="86" t="s">
        <v>268</v>
      </c>
      <c r="E12" s="194">
        <v>355743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355743</v>
      </c>
      <c r="G13" s="103" t="s">
        <v>606</v>
      </c>
      <c r="H13" s="157">
        <f ca="1">IF(H7="VACANT",H11,H5)</f>
        <v>0.21629999999999999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1990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613</v>
      </c>
      <c r="D17" s="86" t="s">
        <v>704</v>
      </c>
      <c r="E17" s="155">
        <f ca="1">INDEX(LloydsScale,MATCH(B24/E13,OFFSET(LloydsScale,0,0,,1),1),2)</f>
        <v>0.67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0.70413825751849923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VLOOKUP(B24/E13,CHOOSE(VLOOKUP(Input.Occupancy,RatingFactorTables!$DO$3:$DP$102,2,FALSE),XLCCurve1,XLCCurve2,XLCCurve2,XLCCUrve4,XLCCUrve4,XLCCUrve4),1+MATCH(SUM(AOPBuilding5!E13,AOPBuilding5!B25:B26),XLCExposureCurves!$E$5:$N$5,1),TRUE)</f>
        <v>0.70159959494381507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0.70159959494381507</v>
      </c>
      <c r="G20" s="86" t="s">
        <v>59</v>
      </c>
      <c r="H20" s="159">
        <f ca="1">VLOOKUP(ROUND(YEAR(TODAY())-B15,0),RatingFactorTables!$S$3:$U$7,3)</f>
        <v>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68040</v>
      </c>
      <c r="G24" s="103" t="s">
        <v>190</v>
      </c>
      <c r="H24" s="160">
        <f ca="1">MAX(0.4,PRODUCT(H16:H23))</f>
        <v>0.96013500000000007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0.20767720050000002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68040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141.30356722020002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27</v>
      </c>
      <c r="G31" s="86" t="s">
        <v>329</v>
      </c>
      <c r="H31" s="148">
        <f>B25</f>
        <v>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27</v>
      </c>
      <c r="G33" s="89" t="s">
        <v>315</v>
      </c>
      <c r="H33" s="163">
        <f ca="1">SUM(H31:H32)/100*H27</f>
        <v>0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141.30356722020002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$68,040)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10.206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$3,402)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$3,402)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$6,804)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0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151.50956722020001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3121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2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6</v>
      </c>
      <c r="D3" s="86" t="s">
        <v>194</v>
      </c>
      <c r="E3" s="99" t="s">
        <v>650</v>
      </c>
      <c r="G3" s="86" t="s">
        <v>50</v>
      </c>
      <c r="H3" s="151" t="str">
        <f>B17</f>
        <v>ISO 3 – Metal</v>
      </c>
      <c r="J3" s="90">
        <f>B2</f>
        <v>1</v>
      </c>
      <c r="K3" s="90">
        <f>B3</f>
        <v>6</v>
      </c>
      <c r="L3" s="93">
        <f ca="1">H30/B24*100</f>
        <v>0.22710418499999999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1073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0.21629999999999999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110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0.32629999999999998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4450000</v>
      </c>
      <c r="G11" s="86" t="s">
        <v>609</v>
      </c>
      <c r="H11" s="155">
        <f ca="1">PRODUCT(H8:H10)</f>
        <v>0.37524499999999994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127</v>
      </c>
      <c r="D12" s="86" t="s">
        <v>268</v>
      </c>
      <c r="E12" s="194">
        <v>4450000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4450000</v>
      </c>
      <c r="G13" s="103" t="s">
        <v>606</v>
      </c>
      <c r="H13" s="157">
        <f ca="1">IF(H7="VACANT",H11,H5)</f>
        <v>0.21629999999999999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1996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613</v>
      </c>
      <c r="D17" s="86" t="s">
        <v>704</v>
      </c>
      <c r="E17" s="155">
        <f ca="1">INDEX(LloydsScale,MATCH(B24/E13,OFFSET(LloydsScale,0,0,,1),1),2)</f>
        <v>1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1</v>
      </c>
      <c r="G18" s="86" t="s">
        <v>81</v>
      </c>
      <c r="H18" s="159">
        <f ca="1">VLOOKUP(B31,OFFSET(RatingFactorTables!AA4:AB9,,IF(B24&lt;2500000,0,IF(B24&lt;10000000,2,4))),2)</f>
        <v>0.83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VLOOKUP(B24/E13,CHOOSE(VLOOKUP(Input.Occupancy,RatingFactorTables!$DO$3:$DP$102,2,FALSE),XLCCurve1,XLCCurve2,XLCCurve2,XLCCUrve4,XLCCUrve4,XLCCUrve4),1+MATCH(SUM(AOPBuilding6!E13,AOPBuilding6!B25:B26),XLCExposureCurves!$E$5:$N$5,1),TRUE)</f>
        <v>1</v>
      </c>
      <c r="G19" s="86" t="s">
        <v>58</v>
      </c>
      <c r="H19" s="159">
        <f>VLOOKUP(B24+B25,RatingFactorTables!$W$3:$Y$8,3)</f>
        <v>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1</v>
      </c>
      <c r="G20" s="86" t="s">
        <v>59</v>
      </c>
      <c r="H20" s="159">
        <f ca="1">VLOOKUP(ROUND(YEAR(TODAY())-B15,0),RatingFactorTables!$S$3:$U$7,3)</f>
        <v>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4450000</v>
      </c>
      <c r="G24" s="103" t="s">
        <v>190</v>
      </c>
      <c r="H24" s="160">
        <f ca="1">MAX(0.4,PRODUCT(H16:H23))</f>
        <v>1.0499499999999999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250000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0.22710418499999999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4450000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10106.136232499999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21</v>
      </c>
      <c r="G31" s="86" t="s">
        <v>329</v>
      </c>
      <c r="H31" s="148">
        <f>B25</f>
        <v>250000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21</v>
      </c>
      <c r="G33" s="89" t="s">
        <v>315</v>
      </c>
      <c r="H33" s="163">
        <f ca="1">SUM(H31:H32)/100*H27</f>
        <v>567.76046250000002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10673.896694999999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$4,450,000)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705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$445,000)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$445,000)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$890,000)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-39.743232374999998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11339.153462625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4145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1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7</v>
      </c>
      <c r="D3" s="86" t="s">
        <v>194</v>
      </c>
      <c r="E3" s="99" t="s">
        <v>650</v>
      </c>
      <c r="G3" s="86" t="s">
        <v>50</v>
      </c>
      <c r="H3" s="151" t="str">
        <f>B17</f>
        <v>ISO 3 – Non-Combustible</v>
      </c>
      <c r="J3" s="90">
        <f>B2</f>
        <v>1</v>
      </c>
      <c r="K3" s="90">
        <f>B3</f>
        <v>7</v>
      </c>
      <c r="L3" s="93">
        <f ca="1">H30/B24*100</f>
        <v>0.13082799510000001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1074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0.15140000000000001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183.6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0.26100000000000001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60000</v>
      </c>
      <c r="G11" s="86" t="s">
        <v>609</v>
      </c>
      <c r="H11" s="155">
        <f ca="1">PRODUCT(H8:H10)</f>
        <v>0.26100000000000001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120</v>
      </c>
      <c r="D12" s="86" t="s">
        <v>268</v>
      </c>
      <c r="E12" s="194">
        <v>368000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368000</v>
      </c>
      <c r="G13" s="103" t="s">
        <v>606</v>
      </c>
      <c r="H13" s="157">
        <f ca="1">IF(H7="VACANT",H11,H5)</f>
        <v>0.15140000000000001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2005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614</v>
      </c>
      <c r="D17" s="86" t="s">
        <v>704</v>
      </c>
      <c r="E17" s="155">
        <f ca="1">INDEX(LloydsScale,MATCH(B24/E13,OFFSET(LloydsScale,0,0,,1),1),2)</f>
        <v>0.64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0.69712387579891588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VLOOKUP(B24/E13,CHOOSE(VLOOKUP(Input.Occupancy,RatingFactorTables!$DO$3:$DP$102,2,FALSE),XLCCurve1,XLCCurve2,XLCCurve2,XLCCUrve4,XLCCUrve4,XLCCUrve4),1+MATCH(SUM(AOPBuilding7!E13,AOPBuilding7!B25:B26),XLCExposureCurves!$E$5:$N$5,1),TRUE)</f>
        <v>0.70394713979022216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0.70394713979022216</v>
      </c>
      <c r="G20" s="86" t="s">
        <v>59</v>
      </c>
      <c r="H20" s="159">
        <f ca="1">VLOOKUP(ROUND(YEAR(TODAY())-B15,0),RatingFactorTables!$S$3:$U$7,3)</f>
        <v>0.9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60000</v>
      </c>
      <c r="G24" s="103" t="s">
        <v>190</v>
      </c>
      <c r="H24" s="160">
        <f ca="1">MAX(0.4,PRODUCT(H16:H23))</f>
        <v>0.8641215000000001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7500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0.13082799510000001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60000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78.496797060000006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12</v>
      </c>
      <c r="G31" s="86" t="s">
        <v>329</v>
      </c>
      <c r="H31" s="148">
        <f>B25</f>
        <v>7500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12</v>
      </c>
      <c r="G33" s="89" t="s">
        <v>315</v>
      </c>
      <c r="H33" s="163">
        <f ca="1">SUM(H31:H32)/100*H27</f>
        <v>9.8120996325000007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88.308896692500014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$60,000)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10.125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$15,000)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$15,000)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$30,000)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-0.68684697427500008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97.747049718225014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5169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1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1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8</v>
      </c>
      <c r="D3" s="86" t="s">
        <v>194</v>
      </c>
      <c r="E3" s="99" t="s">
        <v>650</v>
      </c>
      <c r="G3" s="86" t="s">
        <v>50</v>
      </c>
      <c r="H3" s="151" t="str">
        <f>B17</f>
        <v>ISO 3 – Non-Combustible</v>
      </c>
      <c r="J3" s="90">
        <f>B2</f>
        <v>1</v>
      </c>
      <c r="K3" s="90">
        <f>B3</f>
        <v>8</v>
      </c>
      <c r="L3" s="93">
        <f ca="1">H30/B24*100</f>
        <v>0.15990088290000004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1075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1067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0.15140000000000001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183.6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0.26100000000000001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145000</v>
      </c>
      <c r="G11" s="86" t="s">
        <v>609</v>
      </c>
      <c r="H11" s="155">
        <f ca="1">PRODUCT(H8:H10)</f>
        <v>0.30014999999999997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120</v>
      </c>
      <c r="D12" s="86" t="s">
        <v>268</v>
      </c>
      <c r="E12" s="194">
        <v>368000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368000</v>
      </c>
      <c r="G13" s="103" t="s">
        <v>606</v>
      </c>
      <c r="H13" s="157">
        <f ca="1">IF(H7="VACANT",H11,H5)</f>
        <v>0.15140000000000001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1920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614</v>
      </c>
      <c r="D17" s="86" t="s">
        <v>704</v>
      </c>
      <c r="E17" s="155">
        <f ca="1">INDEX(LloydsScale,MATCH(B24/E13,OFFSET(LloydsScale,0,0,,1),1),2)</f>
        <v>0.81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0.85366538238626577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VLOOKUP(B24/E13,CHOOSE(VLOOKUP(Input.Occupancy,RatingFactorTables!$DO$3:$DP$102,2,FALSE),XLCCurve1,XLCCurve2,XLCCurve2,XLCCUrve4,XLCCUrve4,XLCCUrve4),1+MATCH(SUM(AOPBuilding8!E13,AOPBuilding8!B25:B26),XLCExposureCurves!$E$5:$N$5,1),TRUE)</f>
        <v>0.86181107093093234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0.86181107093093234</v>
      </c>
      <c r="G20" s="86" t="s">
        <v>59</v>
      </c>
      <c r="H20" s="159">
        <f ca="1">VLOOKUP(ROUND(YEAR(TODAY())-B15,0),RatingFactorTables!$S$3:$U$7,3)</f>
        <v>1.1000000000000001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145000</v>
      </c>
      <c r="G24" s="103" t="s">
        <v>190</v>
      </c>
      <c r="H24" s="160">
        <f ca="1">MAX(0.4,PRODUCT(H16:H23))</f>
        <v>1.0561485000000002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35000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0.15990088290000004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145000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231.85628020500008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97</v>
      </c>
      <c r="G31" s="86" t="s">
        <v>329</v>
      </c>
      <c r="H31" s="148">
        <f>B25</f>
        <v>35000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97</v>
      </c>
      <c r="G33" s="89" t="s">
        <v>315</v>
      </c>
      <c r="H33" s="163">
        <f ca="1">SUM(H31:H32)/100*H27</f>
        <v>55.965309015000017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287.82158922000008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$145,000)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27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-3.9175716310500017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310.90401758895007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6193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2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1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9</v>
      </c>
      <c r="D3" s="86" t="s">
        <v>194</v>
      </c>
      <c r="E3" s="99" t="s">
        <v>650</v>
      </c>
      <c r="G3" s="86" t="s">
        <v>50</v>
      </c>
      <c r="H3" s="151" t="str">
        <f>B17</f>
        <v>ISO 3 – Non-Combustible</v>
      </c>
      <c r="J3" s="90">
        <f>B2</f>
        <v>2</v>
      </c>
      <c r="K3" s="90">
        <f>B3</f>
        <v>9</v>
      </c>
      <c r="L3" s="93">
        <f ca="1">H30/B24*100</f>
        <v>0.14536443900000004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1076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1077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0.15140000000000001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183.6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0.26100000000000001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400000</v>
      </c>
      <c r="G11" s="86" t="s">
        <v>609</v>
      </c>
      <c r="H11" s="155">
        <f ca="1">PRODUCT(H8:H10)</f>
        <v>0.26100000000000001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120</v>
      </c>
      <c r="D12" s="86" t="s">
        <v>268</v>
      </c>
      <c r="E12" s="194">
        <v>736000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736000</v>
      </c>
      <c r="G13" s="103" t="s">
        <v>606</v>
      </c>
      <c r="H13" s="157">
        <f ca="1">IF(H7="VACANT",H11,H5)</f>
        <v>0.15140000000000001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2000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614</v>
      </c>
      <c r="D17" s="86" t="s">
        <v>704</v>
      </c>
      <c r="E17" s="155">
        <f ca="1">INDEX(LloydsScale,MATCH(B24/E13,OFFSET(LloydsScale,0,0,,1),1),2)</f>
        <v>0.9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0.88736319913507555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VLOOKUP(B24/E13,CHOOSE(VLOOKUP(Input.Occupancy,RatingFactorTables!$DO$3:$DP$102,2,FALSE),XLCCurve1,XLCCurve2,XLCCurve2,XLCCUrve4,XLCCUrve4,XLCCUrve4),1+MATCH(SUM(AOPBuilding9!E13,AOPBuilding9!B25:B26),XLCExposureCurves!$E$5:$N$5,1),TRUE)</f>
        <v>0.91380149618785123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0.91380149618785123</v>
      </c>
      <c r="G20" s="86" t="s">
        <v>59</v>
      </c>
      <c r="H20" s="159">
        <f ca="1">VLOOKUP(ROUND(YEAR(TODAY())-B15,0),RatingFactorTables!$S$3:$U$7,3)</f>
        <v>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400000</v>
      </c>
      <c r="G24" s="103" t="s">
        <v>190</v>
      </c>
      <c r="H24" s="160">
        <f ca="1">MAX(0.4,PRODUCT(H16:H23))</f>
        <v>0.96013500000000007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65000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0.14536443900000001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400000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581.45775600000013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17</v>
      </c>
      <c r="G31" s="86" t="s">
        <v>329</v>
      </c>
      <c r="H31" s="148">
        <f>B25</f>
        <v>65000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17</v>
      </c>
      <c r="G33" s="89" t="s">
        <v>315</v>
      </c>
      <c r="H33" s="163">
        <f ca="1">SUM(H31:H32)/100*H27</f>
        <v>94.486885350000009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675.9446413500001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$400,000)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69.75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$40,000)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$40,000)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$80,000)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-6.6140819745000003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739.08055937550012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7217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2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3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10</v>
      </c>
      <c r="D3" s="86" t="s">
        <v>194</v>
      </c>
      <c r="E3" s="99" t="s">
        <v>650</v>
      </c>
      <c r="G3" s="86" t="s">
        <v>50</v>
      </c>
      <c r="H3" s="151" t="str">
        <f>B17</f>
        <v>ISO 3 – Metal</v>
      </c>
      <c r="J3" s="90">
        <f>B2</f>
        <v>2</v>
      </c>
      <c r="K3" s="90">
        <f>B3</f>
        <v>10</v>
      </c>
      <c r="L3" s="93">
        <f ca="1">H30/B24*100</f>
        <v>0.29698895820000004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1078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1077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0.28120000000000001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133.78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0.32629999999999998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350000</v>
      </c>
      <c r="G11" s="86" t="s">
        <v>609</v>
      </c>
      <c r="H11" s="155">
        <f ca="1">PRODUCT(H8:H10)</f>
        <v>0.37524499999999994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543</v>
      </c>
      <c r="D12" s="86" t="s">
        <v>268</v>
      </c>
      <c r="E12" s="194">
        <v>2552700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2552700</v>
      </c>
      <c r="G13" s="103" t="s">
        <v>606</v>
      </c>
      <c r="H13" s="157">
        <f ca="1">IF(H7="VACANT",H11,H5)</f>
        <v>0.28120000000000001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1920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613</v>
      </c>
      <c r="D17" s="86" t="s">
        <v>704</v>
      </c>
      <c r="E17" s="155">
        <f ca="1">INDEX(LloydsScale,MATCH(B24/E13,OFFSET(LloydsScale,0,0,,1),1),2)</f>
        <v>0.6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0.67388365792853955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VLOOKUP(B24/E13,CHOOSE(VLOOKUP(Input.Occupancy,RatingFactorTables!$DO$3:$DP$102,2,FALSE),XLCCurve1,XLCCurve2,XLCCurve2,XLCCUrve4,XLCCUrve4,XLCCUrve4),1+MATCH(SUM(AOPBuilding10!E13,AOPBuilding10!B25:B26),XLCExposureCurves!$E$5:$N$5,1),TRUE)</f>
        <v>0.65678198186937908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0.65678198186937908</v>
      </c>
      <c r="G20" s="86" t="s">
        <v>59</v>
      </c>
      <c r="H20" s="159">
        <f ca="1">VLOOKUP(ROUND(YEAR(TODAY())-B15,0),RatingFactorTables!$S$3:$U$7,3)</f>
        <v>1.1000000000000001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350000</v>
      </c>
      <c r="G24" s="103" t="s">
        <v>190</v>
      </c>
      <c r="H24" s="160">
        <f ca="1">MAX(0.4,PRODUCT(H16:H23))</f>
        <v>1.0561485000000002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65000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0.29698895820000004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350000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1039.4613537000002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97</v>
      </c>
      <c r="G31" s="86" t="s">
        <v>329</v>
      </c>
      <c r="H31" s="148">
        <f>B25</f>
        <v>65000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97</v>
      </c>
      <c r="G33" s="89" t="s">
        <v>315</v>
      </c>
      <c r="H33" s="163">
        <f ca="1">SUM(H31:H32)/100*H27</f>
        <v>193.04282283000003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1232.5041765300002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$350,000)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62.25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-13.512997598100002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1281.2411789319003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41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3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3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11</v>
      </c>
      <c r="D3" s="86" t="s">
        <v>194</v>
      </c>
      <c r="E3" s="99" t="s">
        <v>650</v>
      </c>
      <c r="G3" s="86" t="s">
        <v>50</v>
      </c>
      <c r="H3" s="151" t="str">
        <f>B17</f>
        <v>ISO 1 – Frame</v>
      </c>
      <c r="J3" s="90">
        <f>B2</f>
        <v>3</v>
      </c>
      <c r="K3" s="90">
        <f>B3</f>
        <v>11</v>
      </c>
      <c r="L3" s="93">
        <f ca="1">H30/B24*100</f>
        <v>0.34272018825000006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1079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1080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0.32450000000000001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112.94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0.38429999999999997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128000</v>
      </c>
      <c r="G11" s="86" t="s">
        <v>609</v>
      </c>
      <c r="H11" s="155">
        <f ca="1">PRODUCT(H8:H10)</f>
        <v>0.44194499999999992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543</v>
      </c>
      <c r="D12" s="86" t="s">
        <v>268</v>
      </c>
      <c r="E12" s="194">
        <v>230595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230595</v>
      </c>
      <c r="G13" s="103" t="s">
        <v>606</v>
      </c>
      <c r="H13" s="157">
        <f ca="1">IF(H7="VACANT",H11,H5)</f>
        <v>0.32450000000000001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1920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611</v>
      </c>
      <c r="D17" s="86" t="s">
        <v>704</v>
      </c>
      <c r="E17" s="155">
        <f ca="1">INDEX(LloydsScale,MATCH(B24/E13,OFFSET(LloydsScale,0,0,,1),1),2)</f>
        <v>0.9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0.90552993234363421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VLOOKUP(B24/E13,CHOOSE(VLOOKUP(Input.Occupancy,RatingFactorTables!$DO$3:$DP$102,2,FALSE),XLCCurve1,XLCCurve2,XLCCurve2,XLCCUrve4,XLCCUrve4,XLCCUrve4),1+MATCH(SUM(AOPBuilding11!E13,AOPBuilding11!B25:B26),XLCExposureCurves!$E$5:$N$5,1),TRUE)</f>
        <v>0.89552017317340427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0.89552017317340427</v>
      </c>
      <c r="G20" s="86" t="s">
        <v>59</v>
      </c>
      <c r="H20" s="159">
        <f ca="1">VLOOKUP(ROUND(YEAR(TODAY())-B15,0),RatingFactorTables!$S$3:$U$7,3)</f>
        <v>1.1000000000000001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128000</v>
      </c>
      <c r="G24" s="103" t="s">
        <v>190</v>
      </c>
      <c r="H24" s="160">
        <f ca="1">MAX(0.4,PRODUCT(H16:H23))</f>
        <v>1.0561485000000002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0.34272018825000006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128000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438.68184096000005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97</v>
      </c>
      <c r="G31" s="86" t="s">
        <v>329</v>
      </c>
      <c r="H31" s="148">
        <f>B25</f>
        <v>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97</v>
      </c>
      <c r="G33" s="89" t="s">
        <v>315</v>
      </c>
      <c r="H33" s="163">
        <f ca="1">SUM(H31:H32)/100*H27</f>
        <v>0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438.68184096000005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$128,000)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19.2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0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457.88184096000003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29">
      <formula1>$Y$2:$Y$3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3">
      <formula1>ValuationFirms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5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RatingFactorTables!$AH$3:$AH$12</xm:f>
          </x14:formula1>
          <xm:sqref>B19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RatingFactorTables!$DL$2:$DL$4</xm:f>
          </x14:formula1>
          <xm:sqref>E16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Y1" workbookViewId="0">
      <selection activeCell="BF62" sqref="BF62"/>
    </sheetView>
  </sheetViews>
  <sheetFormatPr defaultRowHeight="12.75" x14ac:dyDescent="0.2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S53"/>
  <sheetViews>
    <sheetView showGridLines="0" zoomScaleNormal="100" zoomScalePageLayoutView="150" workbookViewId="0">
      <selection activeCell="E32" sqref="E32"/>
    </sheetView>
  </sheetViews>
  <sheetFormatPr defaultColWidth="8.85546875" defaultRowHeight="12.75" x14ac:dyDescent="0.2"/>
  <cols>
    <col min="1" max="2" width="37.7109375" style="86" customWidth="1"/>
    <col min="3" max="3" width="8.85546875" style="86"/>
    <col min="4" max="5" width="37.7109375" style="86" customWidth="1"/>
    <col min="6" max="6" width="8.85546875" style="86"/>
    <col min="7" max="7" width="40.28515625" style="86" bestFit="1" customWidth="1"/>
    <col min="8" max="8" width="37.7109375" style="86" customWidth="1"/>
    <col min="9" max="9" width="8.85546875" style="86"/>
    <col min="10" max="12" width="12.7109375" style="86" customWidth="1"/>
    <col min="13" max="13" width="8.85546875" style="86"/>
    <col min="14" max="15" width="45.7109375" style="86" customWidth="1"/>
    <col min="16" max="16" width="12.7109375" style="86" customWidth="1"/>
    <col min="17" max="17" width="12.7109375" style="86" hidden="1" customWidth="1"/>
    <col min="18" max="19" width="12.7109375" style="86" customWidth="1"/>
    <col min="20" max="20" width="8.85546875" style="86"/>
    <col min="21" max="26" width="9.28515625" style="86" customWidth="1"/>
    <col min="27" max="16384" width="8.85546875" style="86"/>
  </cols>
  <sheetData>
    <row r="1" spans="1:19" x14ac:dyDescent="0.2">
      <c r="A1" s="85" t="s">
        <v>216</v>
      </c>
      <c r="B1" s="85"/>
      <c r="D1" s="85" t="s">
        <v>191</v>
      </c>
      <c r="E1" s="85"/>
      <c r="G1" s="85" t="s">
        <v>215</v>
      </c>
      <c r="H1" s="85"/>
      <c r="J1" s="87" t="s">
        <v>261</v>
      </c>
      <c r="K1" s="87"/>
      <c r="L1" s="87"/>
      <c r="N1" s="292" t="s">
        <v>231</v>
      </c>
      <c r="O1" s="292"/>
      <c r="P1" s="292"/>
      <c r="Q1" s="292"/>
      <c r="R1" s="292"/>
      <c r="S1" s="292"/>
    </row>
    <row r="2" spans="1:19" x14ac:dyDescent="0.2">
      <c r="A2" s="86" t="s">
        <v>199</v>
      </c>
      <c r="B2" s="209">
        <v>3</v>
      </c>
      <c r="D2" s="89" t="s">
        <v>193</v>
      </c>
      <c r="E2" s="89"/>
      <c r="G2" s="86" t="s">
        <v>67</v>
      </c>
      <c r="H2" s="151">
        <f>INDEX(RatingFactorTables!$B$3:$E$102,MATCH(B12,RatingFactorTables!$B$3:$B$102,0),4)</f>
        <v>3</v>
      </c>
      <c r="J2" s="90" t="s">
        <v>262</v>
      </c>
      <c r="K2" s="90" t="s">
        <v>263</v>
      </c>
      <c r="L2" s="90" t="s">
        <v>264</v>
      </c>
      <c r="N2" s="91" t="s">
        <v>252</v>
      </c>
      <c r="O2" s="91" t="s">
        <v>179</v>
      </c>
      <c r="P2" s="91" t="s">
        <v>253</v>
      </c>
      <c r="Q2" s="91" t="s">
        <v>265</v>
      </c>
      <c r="R2" s="91" t="s">
        <v>238</v>
      </c>
      <c r="S2" s="91" t="s">
        <v>254</v>
      </c>
    </row>
    <row r="3" spans="1:19" x14ac:dyDescent="0.2">
      <c r="A3" s="86" t="s">
        <v>200</v>
      </c>
      <c r="B3" s="92">
        <v>1</v>
      </c>
      <c r="D3" s="86" t="s">
        <v>194</v>
      </c>
      <c r="E3" s="99" t="s">
        <v>650</v>
      </c>
      <c r="G3" s="86" t="s">
        <v>50</v>
      </c>
      <c r="H3" s="151" t="str">
        <f>B17</f>
        <v>ISO 1 – Frame</v>
      </c>
      <c r="J3" s="90">
        <f>B2</f>
        <v>3</v>
      </c>
      <c r="K3" s="90">
        <f>B3</f>
        <v>1</v>
      </c>
      <c r="L3" s="93">
        <f ca="1">H30/B24*100</f>
        <v>0.34272018825000006</v>
      </c>
      <c r="N3" s="94"/>
      <c r="O3" s="94"/>
      <c r="P3" s="95"/>
      <c r="Q3" s="96" t="str">
        <f>IFERROR(INDEX(RatingFactorTables!$CL$3:$CL$25,MATCH(N3,RatingFactorTables!$CK$3:$CK$25,0)),"")</f>
        <v/>
      </c>
      <c r="R3" s="167" t="str">
        <f>IF(Q3="Rate as Building",BuildingRate,Q3)</f>
        <v/>
      </c>
      <c r="S3" s="168" t="str">
        <f t="shared" ref="S3:S49" si="0">IF(AND(N3&lt;&gt;"",P3=0),NA(),IF(R3="","",P3/100*R3))</f>
        <v/>
      </c>
    </row>
    <row r="4" spans="1:19" x14ac:dyDescent="0.2">
      <c r="A4" s="86" t="s">
        <v>198</v>
      </c>
      <c r="B4" s="88" t="s">
        <v>1079</v>
      </c>
      <c r="D4" s="86" t="s">
        <v>196</v>
      </c>
      <c r="E4" s="194">
        <v>0</v>
      </c>
      <c r="G4" s="86" t="s">
        <v>79</v>
      </c>
      <c r="H4" s="154" t="str">
        <f>B29</f>
        <v>SPECIAL</v>
      </c>
      <c r="N4" s="94"/>
      <c r="O4" s="94"/>
      <c r="P4" s="95"/>
      <c r="Q4" s="96" t="str">
        <f>IFERROR(INDEX(RatingFactorTables!$CL$3:$CL$25,MATCH(N4,RatingFactorTables!$CK$3:$CK$25,0)),"")</f>
        <v/>
      </c>
      <c r="R4" s="167" t="str">
        <f>IF(Q4="Rate as Building",BuildingRate,Q4)</f>
        <v/>
      </c>
      <c r="S4" s="168" t="str">
        <f t="shared" si="0"/>
        <v/>
      </c>
    </row>
    <row r="5" spans="1:19" x14ac:dyDescent="0.2">
      <c r="A5" s="86" t="s">
        <v>217</v>
      </c>
      <c r="B5" s="88" t="s">
        <v>1080</v>
      </c>
      <c r="G5" s="98" t="s">
        <v>85</v>
      </c>
      <c r="H5" s="155">
        <f t="array" aca="1" ref="H5" ca="1">SUMPRODUCT((RatingFactorTables!$K$33:$K$122=H2)*(RatingFactorTables!$L$33:$L$122=H4)*(RatingFactorTables!$M$33:$M$122=H3)*RatingFactorTables!$N$33:$N$122)</f>
        <v>0.32450000000000001</v>
      </c>
      <c r="N5" s="94"/>
      <c r="O5" s="94"/>
      <c r="P5" s="95"/>
      <c r="Q5" s="96" t="str">
        <f>IFERROR(INDEX(RatingFactorTables!$CL$3:$CL$25,MATCH(N5,RatingFactorTables!$CK$3:$CK$25,0)),"")</f>
        <v/>
      </c>
      <c r="R5" s="167" t="str">
        <f t="shared" ref="R5:R49" si="1">IF(Q5="Rate as Building",BuildingRate,Q5)</f>
        <v/>
      </c>
      <c r="S5" s="168" t="str">
        <f t="shared" si="0"/>
        <v/>
      </c>
    </row>
    <row r="6" spans="1:19" x14ac:dyDescent="0.2">
      <c r="A6" s="86" t="s">
        <v>218</v>
      </c>
      <c r="B6" s="88"/>
      <c r="D6" s="89" t="s">
        <v>192</v>
      </c>
      <c r="E6" s="89"/>
      <c r="H6" s="155"/>
      <c r="N6" s="94"/>
      <c r="O6" s="94"/>
      <c r="P6" s="95"/>
      <c r="Q6" s="96" t="str">
        <f>IFERROR(INDEX(RatingFactorTables!$CL$3:$CL$25,MATCH(N6,RatingFactorTables!$CK$3:$CK$25,0)),"")</f>
        <v/>
      </c>
      <c r="R6" s="167" t="str">
        <f t="shared" si="1"/>
        <v/>
      </c>
      <c r="S6" s="168" t="str">
        <f t="shared" si="0"/>
        <v/>
      </c>
    </row>
    <row r="7" spans="1:19" x14ac:dyDescent="0.2">
      <c r="A7" s="86" t="s">
        <v>74</v>
      </c>
      <c r="B7" s="99" t="s">
        <v>45</v>
      </c>
      <c r="D7" s="86" t="s">
        <v>197</v>
      </c>
      <c r="E7" s="194">
        <v>0</v>
      </c>
      <c r="G7" s="86" t="s">
        <v>604</v>
      </c>
      <c r="H7" s="151" t="str">
        <f>IF(MATCH(Input.PctOccupied,RatingFactorTables!$DD$34:$DD$37,0)&gt;=2,"VACANT","OCCUPIED")</f>
        <v>OCCUPIED</v>
      </c>
      <c r="N7" s="94"/>
      <c r="O7" s="94"/>
      <c r="P7" s="95"/>
      <c r="Q7" s="96" t="str">
        <f>IFERROR(INDEX(RatingFactorTables!$CL$3:$CL$25,MATCH(N7,RatingFactorTables!$CK$3:$CK$25,0)),"")</f>
        <v/>
      </c>
      <c r="R7" s="167" t="str">
        <f t="shared" si="1"/>
        <v/>
      </c>
      <c r="S7" s="168" t="str">
        <f t="shared" si="0"/>
        <v/>
      </c>
    </row>
    <row r="8" spans="1:19" x14ac:dyDescent="0.2">
      <c r="A8" s="86" t="s">
        <v>313</v>
      </c>
      <c r="B8" s="88"/>
      <c r="D8" s="86" t="s">
        <v>205</v>
      </c>
      <c r="E8" s="148">
        <f>IFERROR(VLOOKUP(Input.Occupancy,VentusValuationTable,MATCH(Input.ConstructionType,RatingFactorTables!$K$8:$K$16,0)+2,FALSE),0)</f>
        <v>112.94</v>
      </c>
      <c r="G8" s="86" t="s">
        <v>605</v>
      </c>
      <c r="H8" s="155">
        <f>INDEX(IF(Input.BuildingTIV&lt;=5000000,IF(Input.PPC&lt;=6,RatingFactorTables!$DE$8:$DE$16,IF(Input.PPC&lt;=8,RatingFactorTables!$DF$8:$DF$16,NA())),IF(Input.PPC&lt;=6,RatingFactorTables!$DG$8:$DG$16,IF(Input.PPC&lt;=8,RatingFactorTables!$DH$8:$DH$16,NA()))),MATCH(H3,RatingFactorTables!$DD$8:$DD$16,0))</f>
        <v>0.38429999999999997</v>
      </c>
      <c r="N8" s="94"/>
      <c r="O8" s="94"/>
      <c r="P8" s="95"/>
      <c r="Q8" s="96" t="str">
        <f>IFERROR(INDEX(RatingFactorTables!$CL$3:$CL$25,MATCH(N8,RatingFactorTables!$CK$3:$CK$25,0)),"")</f>
        <v/>
      </c>
      <c r="R8" s="167" t="str">
        <f t="shared" si="1"/>
        <v/>
      </c>
      <c r="S8" s="168" t="str">
        <f t="shared" si="0"/>
        <v/>
      </c>
    </row>
    <row r="9" spans="1:19" x14ac:dyDescent="0.2">
      <c r="A9" s="86" t="s">
        <v>619</v>
      </c>
      <c r="B9" s="90"/>
      <c r="D9" s="86" t="s">
        <v>206</v>
      </c>
      <c r="E9" s="148">
        <f>E7*E8</f>
        <v>0</v>
      </c>
      <c r="G9" s="86" t="s">
        <v>607</v>
      </c>
      <c r="H9" s="155">
        <f ca="1">IF(AND(H4="Special",E31&gt;20),1.15,1)</f>
        <v>1.1499999999999999</v>
      </c>
      <c r="N9" s="94"/>
      <c r="O9" s="94"/>
      <c r="P9" s="95"/>
      <c r="Q9" s="96" t="str">
        <f>IFERROR(INDEX(RatingFactorTables!$CL$3:$CL$25,MATCH(N9,RatingFactorTables!$CK$3:$CK$25,0)),"")</f>
        <v/>
      </c>
      <c r="R9" s="167" t="str">
        <f t="shared" si="1"/>
        <v/>
      </c>
      <c r="S9" s="168" t="str">
        <f t="shared" si="0"/>
        <v/>
      </c>
    </row>
    <row r="10" spans="1:19" x14ac:dyDescent="0.2">
      <c r="A10" s="85" t="s">
        <v>219</v>
      </c>
      <c r="B10" s="85"/>
      <c r="E10" s="101"/>
      <c r="G10" s="86" t="s">
        <v>608</v>
      </c>
      <c r="H10" s="155">
        <f>(1-IFERROR(INDEX(RatingFactorTables!$DE$34:$DE$37,MATCH(Input.PctOccupied,RatingFactorTables!$DD$34:$DD$37,0)),0))</f>
        <v>1</v>
      </c>
      <c r="N10" s="94"/>
      <c r="O10" s="94"/>
      <c r="P10" s="95"/>
      <c r="Q10" s="96" t="str">
        <f>IFERROR(INDEX(RatingFactorTables!$CL$3:$CL$25,MATCH(N10,RatingFactorTables!$CK$3:$CK$25,0)),"")</f>
        <v/>
      </c>
      <c r="R10" s="167" t="str">
        <f t="shared" si="1"/>
        <v/>
      </c>
      <c r="S10" s="168" t="str">
        <f t="shared" si="0"/>
        <v/>
      </c>
    </row>
    <row r="11" spans="1:19" x14ac:dyDescent="0.2">
      <c r="A11" s="86" t="s">
        <v>87</v>
      </c>
      <c r="B11" s="99" t="s">
        <v>57</v>
      </c>
      <c r="D11" s="86" t="s">
        <v>307</v>
      </c>
      <c r="E11" s="149">
        <f>MAX(E9,E4,B24)</f>
        <v>128000</v>
      </c>
      <c r="G11" s="86" t="s">
        <v>609</v>
      </c>
      <c r="H11" s="155">
        <f ca="1">PRODUCT(H8:H10)</f>
        <v>0.44194499999999992</v>
      </c>
      <c r="N11" s="94"/>
      <c r="O11" s="94"/>
      <c r="P11" s="95"/>
      <c r="Q11" s="96" t="str">
        <f>IFERROR(INDEX(RatingFactorTables!$CL$3:$CL$25,MATCH(N11,RatingFactorTables!$CK$3:$CK$25,0)),"")</f>
        <v/>
      </c>
      <c r="R11" s="167" t="str">
        <f t="shared" si="1"/>
        <v/>
      </c>
      <c r="S11" s="168" t="str">
        <f t="shared" si="0"/>
        <v/>
      </c>
    </row>
    <row r="12" spans="1:19" x14ac:dyDescent="0.2">
      <c r="A12" s="86" t="s">
        <v>62</v>
      </c>
      <c r="B12" s="99" t="s">
        <v>543</v>
      </c>
      <c r="D12" s="86" t="s">
        <v>268</v>
      </c>
      <c r="E12" s="194">
        <v>230595</v>
      </c>
      <c r="H12" s="156"/>
      <c r="N12" s="94"/>
      <c r="O12" s="94"/>
      <c r="P12" s="95"/>
      <c r="Q12" s="96" t="str">
        <f>IFERROR(INDEX(RatingFactorTables!$CL$3:$CL$25,MATCH(N12,RatingFactorTables!$CK$3:$CK$25,0)),"")</f>
        <v/>
      </c>
      <c r="R12" s="167" t="str">
        <f t="shared" si="1"/>
        <v/>
      </c>
      <c r="S12" s="168" t="str">
        <f t="shared" si="0"/>
        <v/>
      </c>
    </row>
    <row r="13" spans="1:19" x14ac:dyDescent="0.2">
      <c r="A13" s="86" t="s">
        <v>384</v>
      </c>
      <c r="B13" s="99" t="s">
        <v>386</v>
      </c>
      <c r="D13" s="102" t="s">
        <v>207</v>
      </c>
      <c r="E13" s="150">
        <f>IF(OR(E12="",E12=0),E11,E12)</f>
        <v>230595</v>
      </c>
      <c r="G13" s="103" t="s">
        <v>606</v>
      </c>
      <c r="H13" s="157">
        <f ca="1">IF(H7="VACANT",H11,H5)</f>
        <v>0.32450000000000001</v>
      </c>
      <c r="N13" s="94"/>
      <c r="O13" s="94"/>
      <c r="P13" s="95"/>
      <c r="Q13" s="96" t="str">
        <f>IFERROR(INDEX(RatingFactorTables!$CL$3:$CL$25,MATCH(N13,RatingFactorTables!$CK$3:$CK$25,0)),"")</f>
        <v/>
      </c>
      <c r="R13" s="167" t="str">
        <f t="shared" si="1"/>
        <v/>
      </c>
      <c r="S13" s="168" t="str">
        <f t="shared" si="0"/>
        <v/>
      </c>
    </row>
    <row r="14" spans="1:19" x14ac:dyDescent="0.2">
      <c r="A14" s="86" t="s">
        <v>75</v>
      </c>
      <c r="B14" s="209">
        <v>1</v>
      </c>
      <c r="H14" s="156"/>
      <c r="N14" s="94"/>
      <c r="O14" s="94"/>
      <c r="P14" s="95"/>
      <c r="Q14" s="96" t="str">
        <f>IFERROR(INDEX(RatingFactorTables!$CL$3:$CL$25,MATCH(N14,RatingFactorTables!$CK$3:$CK$25,0)),"")</f>
        <v/>
      </c>
      <c r="R14" s="167" t="str">
        <f t="shared" si="1"/>
        <v/>
      </c>
      <c r="S14" s="168" t="str">
        <f t="shared" si="0"/>
        <v/>
      </c>
    </row>
    <row r="15" spans="1:19" x14ac:dyDescent="0.2">
      <c r="A15" s="86" t="s">
        <v>76</v>
      </c>
      <c r="B15" s="209">
        <v>1920</v>
      </c>
      <c r="D15" s="86" t="s">
        <v>212</v>
      </c>
      <c r="E15" s="99" t="s">
        <v>57</v>
      </c>
      <c r="G15" s="85" t="s">
        <v>189</v>
      </c>
      <c r="H15" s="158"/>
      <c r="N15" s="94"/>
      <c r="O15" s="94"/>
      <c r="P15" s="95"/>
      <c r="Q15" s="96" t="str">
        <f>IFERROR(INDEX(RatingFactorTables!$CL$3:$CL$25,MATCH(N15,RatingFactorTables!$CK$3:$CK$25,0)),"")</f>
        <v/>
      </c>
      <c r="R15" s="167" t="str">
        <f t="shared" si="1"/>
        <v/>
      </c>
      <c r="S15" s="168" t="str">
        <f t="shared" si="0"/>
        <v/>
      </c>
    </row>
    <row r="16" spans="1:19" x14ac:dyDescent="0.2">
      <c r="A16" s="86" t="s">
        <v>195</v>
      </c>
      <c r="B16" s="88"/>
      <c r="D16" s="86" t="s">
        <v>558</v>
      </c>
      <c r="E16" s="90" t="s">
        <v>649</v>
      </c>
      <c r="G16" s="86" t="s">
        <v>89</v>
      </c>
      <c r="H16" s="159">
        <f>VLOOKUP(B7,RatingFactorTables!$G$3:$I$52,3,FALSE)</f>
        <v>1.1000000000000001</v>
      </c>
      <c r="N16" s="94"/>
      <c r="O16" s="94"/>
      <c r="P16" s="95"/>
      <c r="Q16" s="96" t="str">
        <f>IFERROR(INDEX(RatingFactorTables!$CL$3:$CL$25,MATCH(N16,RatingFactorTables!$CK$3:$CK$25,0)),"")</f>
        <v/>
      </c>
      <c r="R16" s="167" t="str">
        <f t="shared" si="1"/>
        <v/>
      </c>
      <c r="S16" s="168" t="str">
        <f t="shared" si="0"/>
        <v/>
      </c>
    </row>
    <row r="17" spans="1:19" x14ac:dyDescent="0.2">
      <c r="A17" s="86" t="s">
        <v>50</v>
      </c>
      <c r="B17" s="99" t="s">
        <v>611</v>
      </c>
      <c r="D17" s="86" t="s">
        <v>704</v>
      </c>
      <c r="E17" s="155">
        <f ca="1">INDEX(LloydsScale,MATCH(B24/E13,OFFSET(LloydsScale,0,0,,1),1),2)</f>
        <v>0.9</v>
      </c>
      <c r="G17" s="86" t="s">
        <v>603</v>
      </c>
      <c r="H17" s="159">
        <f>IF(Input.BldgState="New York",VLOOKUP(B9,RatingFactorTables!$G$54:$I$58,3,FALSE),IF(Input.BldgState="Texas",VLOOKUP(B9,RatingFactorTables!$G$60:$I$61,3,FALSE),1))</f>
        <v>1</v>
      </c>
      <c r="N17" s="94"/>
      <c r="O17" s="94"/>
      <c r="P17" s="95"/>
      <c r="Q17" s="96" t="str">
        <f>IFERROR(INDEX(RatingFactorTables!$CL$3:$CL$25,MATCH(N17,RatingFactorTables!$CK$3:$CK$25,0)),"")</f>
        <v/>
      </c>
      <c r="R17" s="167" t="str">
        <f t="shared" si="1"/>
        <v/>
      </c>
      <c r="S17" s="168" t="str">
        <f t="shared" si="0"/>
        <v/>
      </c>
    </row>
    <row r="18" spans="1:19" x14ac:dyDescent="0.2">
      <c r="A18" s="86" t="s">
        <v>320</v>
      </c>
      <c r="B18" s="209">
        <v>1</v>
      </c>
      <c r="D18" s="86" t="s">
        <v>705</v>
      </c>
      <c r="E18" s="155">
        <f>MIN(1,mixexplev(SUM(B24:B26),PSOLDMeans,IF(Input.BILimit=0,PSOLDWts1,PSOLDWts2),(E13+Input.ContentsValue))/mixexplev(SUM(E13,B25:B26),PSOLDMeans,IF(Input.BILimit=0,PSOLDWts1,PSOLDWts2),(E13+Input.ContentsValue)))</f>
        <v>0.90552993234363421</v>
      </c>
      <c r="G18" s="86" t="s">
        <v>81</v>
      </c>
      <c r="H18" s="159">
        <f ca="1">VLOOKUP(B31,OFFSET(RatingFactorTables!AA4:AB9,,IF(B24&lt;2500000,0,IF(B24&lt;10000000,2,4))),2)</f>
        <v>0.69</v>
      </c>
      <c r="N18" s="94"/>
      <c r="O18" s="94"/>
      <c r="P18" s="95"/>
      <c r="Q18" s="96" t="str">
        <f>IFERROR(INDEX(RatingFactorTables!$CL$3:$CL$25,MATCH(N18,RatingFactorTables!$CK$3:$CK$25,0)),"")</f>
        <v/>
      </c>
      <c r="R18" s="167" t="str">
        <f t="shared" si="1"/>
        <v/>
      </c>
      <c r="S18" s="168" t="str">
        <f t="shared" si="0"/>
        <v/>
      </c>
    </row>
    <row r="19" spans="1:19" x14ac:dyDescent="0.2">
      <c r="A19" s="86" t="s">
        <v>77</v>
      </c>
      <c r="B19" s="99">
        <v>7</v>
      </c>
      <c r="D19" s="86" t="s">
        <v>706</v>
      </c>
      <c r="E19" s="155">
        <f>VLOOKUP(B24/E13,CHOOSE(VLOOKUP(Input.Occupancy,RatingFactorTables!$DO$3:$DP$102,2,FALSE),XLCCurve1,XLCCurve2,XLCCurve2,XLCCUrve4,XLCCUrve4,XLCCUrve4),1+MATCH(SUM(AOPBuildingTemplate!E13,AOPBuildingTemplate!B25:B26),XLCExposureCurves!$E$5:$N$5,1),TRUE)</f>
        <v>0.89552017317340427</v>
      </c>
      <c r="G19" s="86" t="s">
        <v>58</v>
      </c>
      <c r="H19" s="159">
        <f>VLOOKUP(B24+B25,RatingFactorTables!$W$3:$Y$8,3)</f>
        <v>1.1000000000000001</v>
      </c>
      <c r="N19" s="94"/>
      <c r="O19" s="94"/>
      <c r="P19" s="95"/>
      <c r="Q19" s="96" t="str">
        <f>IFERROR(INDEX(RatingFactorTables!$CL$3:$CL$25,MATCH(N19,RatingFactorTables!$CK$3:$CK$25,0)),"")</f>
        <v/>
      </c>
      <c r="R19" s="167" t="str">
        <f t="shared" si="1"/>
        <v/>
      </c>
      <c r="S19" s="168" t="str">
        <f t="shared" si="0"/>
        <v/>
      </c>
    </row>
    <row r="20" spans="1:19" x14ac:dyDescent="0.2">
      <c r="A20" s="86" t="s">
        <v>78</v>
      </c>
      <c r="B20" s="99" t="s">
        <v>176</v>
      </c>
      <c r="D20" s="86" t="s">
        <v>208</v>
      </c>
      <c r="E20" s="205">
        <f>IF(E16="PSOLD",E18,IF(E16="XLC",E19,E17))</f>
        <v>0.89552017317340427</v>
      </c>
      <c r="G20" s="86" t="s">
        <v>59</v>
      </c>
      <c r="H20" s="159">
        <f ca="1">VLOOKUP(ROUND(YEAR(TODAY())-B15,0),RatingFactorTables!$S$3:$U$7,3)</f>
        <v>1.1000000000000001</v>
      </c>
      <c r="N20" s="94"/>
      <c r="O20" s="94"/>
      <c r="P20" s="95"/>
      <c r="Q20" s="96" t="str">
        <f>IFERROR(INDEX(RatingFactorTables!$CL$3:$CL$25,MATCH(N20,RatingFactorTables!$CK$3:$CK$25,0)),"")</f>
        <v/>
      </c>
      <c r="R20" s="167" t="str">
        <f t="shared" si="1"/>
        <v/>
      </c>
      <c r="S20" s="168" t="str">
        <f t="shared" si="0"/>
        <v/>
      </c>
    </row>
    <row r="21" spans="1:19" x14ac:dyDescent="0.2">
      <c r="A21" s="86" t="s">
        <v>88</v>
      </c>
      <c r="B21" s="99">
        <v>5</v>
      </c>
      <c r="E21" s="100"/>
      <c r="G21" s="86" t="s">
        <v>230</v>
      </c>
      <c r="H21" s="159">
        <f ca="1">IF(B16&gt;B15,IF(AND(ROUND(YEAR(TODAY())-B16,0)&lt;50,ROUND(YEAR(TODAY())-B15,0)&gt;=50),0.95,1),1)</f>
        <v>1</v>
      </c>
      <c r="N21" s="94"/>
      <c r="O21" s="94"/>
      <c r="P21" s="95"/>
      <c r="Q21" s="96" t="str">
        <f>IFERROR(INDEX(RatingFactorTables!$CL$3:$CL$25,MATCH(N21,RatingFactorTables!$CK$3:$CK$25,0)),"")</f>
        <v/>
      </c>
      <c r="R21" s="167" t="str">
        <f t="shared" si="1"/>
        <v/>
      </c>
      <c r="S21" s="168" t="str">
        <f t="shared" si="0"/>
        <v/>
      </c>
    </row>
    <row r="22" spans="1:19" x14ac:dyDescent="0.2">
      <c r="B22" s="99"/>
      <c r="D22" s="85" t="s">
        <v>311</v>
      </c>
      <c r="E22" s="85"/>
      <c r="G22" s="86" t="s">
        <v>82</v>
      </c>
      <c r="H22" s="159">
        <f>VLOOKUP(B19,RatingFactorTables!$AH$3:$AI$12,2)</f>
        <v>1.1499999999999999</v>
      </c>
      <c r="N22" s="94"/>
      <c r="O22" s="94"/>
      <c r="P22" s="95"/>
      <c r="Q22" s="96" t="str">
        <f>IFERROR(INDEX(RatingFactorTables!$CL$3:$CL$25,MATCH(N22,RatingFactorTables!$CK$3:$CK$25,0)),"")</f>
        <v/>
      </c>
      <c r="R22" s="167" t="str">
        <f t="shared" si="1"/>
        <v/>
      </c>
      <c r="S22" s="168" t="str">
        <f t="shared" si="0"/>
        <v/>
      </c>
    </row>
    <row r="23" spans="1:19" x14ac:dyDescent="0.2">
      <c r="A23" s="85" t="s">
        <v>64</v>
      </c>
      <c r="B23" s="104"/>
      <c r="D23" s="86" t="s">
        <v>220</v>
      </c>
      <c r="E23" s="151" t="str">
        <f>AccountLevelSummary!$B$20</f>
        <v>Yes</v>
      </c>
      <c r="G23" s="86" t="s">
        <v>60</v>
      </c>
      <c r="H23" s="159">
        <f>VLOOKUP(B20,RatingFactorTables!$AK$3:$AL$8,2,FALSE)</f>
        <v>1</v>
      </c>
      <c r="N23" s="94"/>
      <c r="O23" s="94"/>
      <c r="P23" s="95"/>
      <c r="Q23" s="96" t="str">
        <f>IFERROR(INDEX(RatingFactorTables!$CL$3:$CL$25,MATCH(N23,RatingFactorTables!$CK$3:$CK$25,0)),"")</f>
        <v/>
      </c>
      <c r="R23" s="167" t="str">
        <f t="shared" si="1"/>
        <v/>
      </c>
      <c r="S23" s="168" t="str">
        <f t="shared" si="0"/>
        <v/>
      </c>
    </row>
    <row r="24" spans="1:19" x14ac:dyDescent="0.2">
      <c r="A24" s="86" t="s">
        <v>328</v>
      </c>
      <c r="B24" s="208">
        <v>128000</v>
      </c>
      <c r="G24" s="103" t="s">
        <v>190</v>
      </c>
      <c r="H24" s="160">
        <f ca="1">MAX(0.4,PRODUCT(H16:H23))</f>
        <v>1.0561485000000002</v>
      </c>
      <c r="N24" s="94"/>
      <c r="O24" s="94"/>
      <c r="P24" s="95"/>
      <c r="Q24" s="96" t="str">
        <f>IFERROR(INDEX(RatingFactorTables!$CL$3:$CL$25,MATCH(N24,RatingFactorTables!$CK$3:$CK$25,0)),"")</f>
        <v/>
      </c>
      <c r="R24" s="167" t="str">
        <f t="shared" si="1"/>
        <v/>
      </c>
      <c r="S24" s="168" t="str">
        <f t="shared" si="0"/>
        <v/>
      </c>
    </row>
    <row r="25" spans="1:19" x14ac:dyDescent="0.2">
      <c r="A25" s="86" t="s">
        <v>329</v>
      </c>
      <c r="B25" s="208">
        <v>0</v>
      </c>
      <c r="D25" s="86" t="s">
        <v>221</v>
      </c>
      <c r="E25" s="99" t="s">
        <v>57</v>
      </c>
      <c r="H25" s="156"/>
      <c r="N25" s="94"/>
      <c r="O25" s="94"/>
      <c r="P25" s="95"/>
      <c r="Q25" s="96" t="str">
        <f>IFERROR(INDEX(RatingFactorTables!$CL$3:$CL$25,MATCH(N25,RatingFactorTables!$CK$3:$CK$25,0)),"")</f>
        <v/>
      </c>
      <c r="R25" s="167" t="str">
        <f t="shared" si="1"/>
        <v/>
      </c>
      <c r="S25" s="168" t="str">
        <f t="shared" si="0"/>
        <v/>
      </c>
    </row>
    <row r="26" spans="1:19" x14ac:dyDescent="0.2">
      <c r="A26" s="86" t="s">
        <v>712</v>
      </c>
      <c r="B26" s="208">
        <v>0</v>
      </c>
      <c r="D26" s="86" t="s">
        <v>222</v>
      </c>
      <c r="E26" s="99" t="s">
        <v>57</v>
      </c>
      <c r="G26" s="85" t="s">
        <v>214</v>
      </c>
      <c r="H26" s="158"/>
      <c r="N26" s="94"/>
      <c r="O26" s="94"/>
      <c r="P26" s="95"/>
      <c r="Q26" s="96" t="str">
        <f>IFERROR(INDEX(RatingFactorTables!$CL$3:$CL$25,MATCH(N26,RatingFactorTables!$CK$3:$CK$25,0)),"")</f>
        <v/>
      </c>
      <c r="R26" s="167" t="str">
        <f t="shared" si="1"/>
        <v/>
      </c>
      <c r="S26" s="168" t="str">
        <f t="shared" si="0"/>
        <v/>
      </c>
    </row>
    <row r="27" spans="1:19" x14ac:dyDescent="0.2">
      <c r="B27" s="105"/>
      <c r="D27" s="86" t="s">
        <v>223</v>
      </c>
      <c r="E27" s="99" t="s">
        <v>57</v>
      </c>
      <c r="F27" s="90"/>
      <c r="G27" s="86" t="s">
        <v>86</v>
      </c>
      <c r="H27" s="161">
        <f ca="1">H13*H24</f>
        <v>0.34272018825000006</v>
      </c>
      <c r="N27" s="94"/>
      <c r="O27" s="94"/>
      <c r="P27" s="95"/>
      <c r="Q27" s="96" t="str">
        <f>IFERROR(INDEX(RatingFactorTables!$CL$3:$CL$25,MATCH(N27,RatingFactorTables!$CK$3:$CK$25,0)),"")</f>
        <v/>
      </c>
      <c r="R27" s="167" t="str">
        <f t="shared" si="1"/>
        <v/>
      </c>
      <c r="S27" s="168" t="str">
        <f t="shared" si="0"/>
        <v/>
      </c>
    </row>
    <row r="28" spans="1:19" x14ac:dyDescent="0.2">
      <c r="A28" s="85" t="s">
        <v>65</v>
      </c>
      <c r="B28" s="104"/>
      <c r="D28" s="86" t="s">
        <v>224</v>
      </c>
      <c r="E28" s="99" t="s">
        <v>57</v>
      </c>
      <c r="F28" s="90"/>
      <c r="G28" s="86" t="s">
        <v>196</v>
      </c>
      <c r="H28" s="154">
        <f>IF($E$15="Yes",E13,B24)</f>
        <v>128000</v>
      </c>
      <c r="N28" s="94"/>
      <c r="O28" s="94"/>
      <c r="P28" s="95"/>
      <c r="Q28" s="96" t="str">
        <f>IFERROR(INDEX(RatingFactorTables!$CL$3:$CL$25,MATCH(N28,RatingFactorTables!$CK$3:$CK$25,0)),"")</f>
        <v/>
      </c>
      <c r="R28" s="167" t="str">
        <f t="shared" si="1"/>
        <v/>
      </c>
      <c r="S28" s="168" t="str">
        <f t="shared" si="0"/>
        <v/>
      </c>
    </row>
    <row r="29" spans="1:19" x14ac:dyDescent="0.2">
      <c r="A29" s="86" t="s">
        <v>79</v>
      </c>
      <c r="B29" s="90" t="s">
        <v>765</v>
      </c>
      <c r="E29" s="99"/>
      <c r="G29" s="86" t="s">
        <v>208</v>
      </c>
      <c r="H29" s="162">
        <f>IF($E$15="Yes",E20,1)</f>
        <v>1</v>
      </c>
      <c r="N29" s="94"/>
      <c r="O29" s="94"/>
      <c r="P29" s="95"/>
      <c r="Q29" s="96" t="str">
        <f>IFERROR(INDEX(RatingFactorTables!$CL$3:$CL$25,MATCH(N29,RatingFactorTables!$CK$3:$CK$25,0)),"")</f>
        <v/>
      </c>
      <c r="R29" s="167" t="str">
        <f t="shared" si="1"/>
        <v/>
      </c>
      <c r="S29" s="168" t="str">
        <f t="shared" si="0"/>
        <v/>
      </c>
    </row>
    <row r="30" spans="1:19" x14ac:dyDescent="0.2">
      <c r="A30" s="86" t="s">
        <v>84</v>
      </c>
      <c r="B30" s="90" t="str">
        <f>AccountLevelSummary!B16</f>
        <v>Replacement Cost</v>
      </c>
      <c r="G30" s="89" t="s">
        <v>314</v>
      </c>
      <c r="H30" s="163">
        <f ca="1">H27*H28/100*H29</f>
        <v>438.68184096000005</v>
      </c>
      <c r="N30" s="94"/>
      <c r="O30" s="94"/>
      <c r="P30" s="95"/>
      <c r="Q30" s="96" t="str">
        <f>IFERROR(INDEX(RatingFactorTables!$CL$3:$CL$25,MATCH(N30,RatingFactorTables!$CK$3:$CK$25,0)),"")</f>
        <v/>
      </c>
      <c r="R30" s="167" t="str">
        <f t="shared" si="1"/>
        <v/>
      </c>
      <c r="S30" s="168" t="str">
        <f t="shared" si="0"/>
        <v/>
      </c>
    </row>
    <row r="31" spans="1:19" x14ac:dyDescent="0.2">
      <c r="A31" s="86" t="s">
        <v>80</v>
      </c>
      <c r="B31" s="105">
        <v>50000</v>
      </c>
      <c r="D31" s="86" t="s">
        <v>333</v>
      </c>
      <c r="E31" s="151">
        <f ca="1">ROUND(YEAR(TODAY())-B15+1,0)</f>
        <v>97</v>
      </c>
      <c r="G31" s="86" t="s">
        <v>329</v>
      </c>
      <c r="H31" s="148">
        <f>B25</f>
        <v>0</v>
      </c>
      <c r="N31" s="94"/>
      <c r="O31" s="94"/>
      <c r="P31" s="95"/>
      <c r="Q31" s="96" t="str">
        <f>IFERROR(INDEX(RatingFactorTables!$CL$3:$CL$25,MATCH(N31,RatingFactorTables!$CK$3:$CK$25,0)),"")</f>
        <v/>
      </c>
      <c r="R31" s="167" t="str">
        <f t="shared" si="1"/>
        <v/>
      </c>
      <c r="S31" s="168" t="str">
        <f t="shared" si="0"/>
        <v/>
      </c>
    </row>
    <row r="32" spans="1:19" x14ac:dyDescent="0.2">
      <c r="B32" s="99"/>
      <c r="D32" s="86" t="s">
        <v>334</v>
      </c>
      <c r="E32" s="151" t="str">
        <f ca="1">IF(B16="","",ROUND(YEAR(TODAY())-B16+1,0))</f>
        <v/>
      </c>
      <c r="G32" s="86" t="s">
        <v>330</v>
      </c>
      <c r="H32" s="164">
        <f>B26</f>
        <v>0</v>
      </c>
      <c r="N32" s="94"/>
      <c r="O32" s="94"/>
      <c r="P32" s="95"/>
      <c r="Q32" s="96" t="str">
        <f>IFERROR(INDEX(RatingFactorTables!$CL$3:$CL$25,MATCH(N32,RatingFactorTables!$CK$3:$CK$25,0)),"")</f>
        <v/>
      </c>
      <c r="R32" s="167" t="str">
        <f t="shared" si="1"/>
        <v/>
      </c>
      <c r="S32" s="168" t="str">
        <f t="shared" si="0"/>
        <v/>
      </c>
    </row>
    <row r="33" spans="1:19" x14ac:dyDescent="0.2">
      <c r="A33" s="85" t="s">
        <v>63</v>
      </c>
      <c r="B33" s="104"/>
      <c r="D33" s="86" t="s">
        <v>227</v>
      </c>
      <c r="E33" s="152">
        <f ca="1">IF(OR(E32="",E32&gt;=E31),E31,IF(E31&gt;50,IF(E32&lt;=15,16,IF(E32&lt;=25,26,E31)),IF(E31&gt;25,IF(E32&lt;=15,E32,16),IF(E31&gt;15,IF(E32&lt;=15,E32,E31),E31))))</f>
        <v>97</v>
      </c>
      <c r="G33" s="89" t="s">
        <v>315</v>
      </c>
      <c r="H33" s="163">
        <f ca="1">SUM(H31:H32)/100*H27</f>
        <v>0</v>
      </c>
      <c r="N33" s="94"/>
      <c r="O33" s="94"/>
      <c r="P33" s="95"/>
      <c r="Q33" s="96" t="str">
        <f>IFERROR(INDEX(RatingFactorTables!$CL$3:$CL$25,MATCH(N33,RatingFactorTables!$CK$3:$CK$25,0)),"")</f>
        <v/>
      </c>
      <c r="R33" s="167" t="str">
        <f t="shared" si="1"/>
        <v/>
      </c>
      <c r="S33" s="168" t="str">
        <f t="shared" si="0"/>
        <v/>
      </c>
    </row>
    <row r="34" spans="1:19" x14ac:dyDescent="0.2">
      <c r="A34" s="86" t="s">
        <v>69</v>
      </c>
      <c r="B34" s="99" t="s">
        <v>56</v>
      </c>
      <c r="G34" s="107" t="s">
        <v>316</v>
      </c>
      <c r="H34" s="165">
        <f ca="1">H30+H33</f>
        <v>438.68184096000005</v>
      </c>
      <c r="N34" s="94"/>
      <c r="O34" s="94"/>
      <c r="P34" s="95"/>
      <c r="Q34" s="96" t="str">
        <f>IFERROR(INDEX(RatingFactorTables!$CL$3:$CL$25,MATCH(N34,RatingFactorTables!$CK$3:$CK$25,0)),"")</f>
        <v/>
      </c>
      <c r="R34" s="167" t="str">
        <f t="shared" si="1"/>
        <v/>
      </c>
      <c r="S34" s="168" t="str">
        <f t="shared" si="0"/>
        <v/>
      </c>
    </row>
    <row r="35" spans="1:19" x14ac:dyDescent="0.2">
      <c r="A35" s="86" t="s">
        <v>400</v>
      </c>
      <c r="B35" s="99">
        <v>30</v>
      </c>
      <c r="D35" s="106" t="s">
        <v>225</v>
      </c>
      <c r="H35" s="156"/>
      <c r="N35" s="94"/>
      <c r="O35" s="94"/>
      <c r="P35" s="95"/>
      <c r="Q35" s="96" t="str">
        <f>IFERROR(INDEX(RatingFactorTables!$CL$3:$CL$25,MATCH(N35,RatingFactorTables!$CK$3:$CK$25,0)),"")</f>
        <v/>
      </c>
      <c r="R35" s="167" t="str">
        <f t="shared" si="1"/>
        <v/>
      </c>
      <c r="S35" s="168" t="str">
        <f t="shared" si="0"/>
        <v/>
      </c>
    </row>
    <row r="36" spans="1:19" x14ac:dyDescent="0.2">
      <c r="D36" s="86" t="str">
        <f>"Coverage A (Max: "&amp;TEXT($B$24,"$#,#")&amp;")"</f>
        <v>Coverage A (Max: $128,000)</v>
      </c>
      <c r="E36" s="153">
        <f>IF(Input.OrdLawASelected="Yes",Input.BuildingTIV,0)</f>
        <v>0</v>
      </c>
      <c r="G36" s="109" t="s">
        <v>69</v>
      </c>
      <c r="H36" s="148">
        <f>IF(UPPER(B34="YES"),VLOOKUP(B21,SinkholeRates,IF(B18&lt;10,3,2))*SUM(H28,H31,H32)/100,0)</f>
        <v>19.2</v>
      </c>
      <c r="N36" s="94"/>
      <c r="O36" s="94"/>
      <c r="P36" s="95"/>
      <c r="Q36" s="96" t="str">
        <f>IFERROR(INDEX(RatingFactorTables!$CL$3:$CL$25,MATCH(N36,RatingFactorTables!$CK$3:$CK$25,0)),"")</f>
        <v/>
      </c>
      <c r="R36" s="167" t="str">
        <f t="shared" si="1"/>
        <v/>
      </c>
      <c r="S36" s="168" t="str">
        <f t="shared" si="0"/>
        <v/>
      </c>
    </row>
    <row r="37" spans="1:19" x14ac:dyDescent="0.2">
      <c r="A37" s="85" t="s">
        <v>213</v>
      </c>
      <c r="B37" s="104"/>
      <c r="D37" s="86" t="str">
        <f ca="1">"Coverage B (Max: "&amp;TEXT(MIN(VLOOKUP($E$33,RatingFactorTables!$BT$3:$BW$6,4,TRUE)*$B$24,VLOOKUP($E$33,RatingFactorTables!$BT$3:$BW$6,3,TRUE)),"$#,#")&amp;")"</f>
        <v>Coverage B (Max: $)</v>
      </c>
      <c r="E37" s="97">
        <v>100000</v>
      </c>
      <c r="G37" s="86" t="s">
        <v>331</v>
      </c>
      <c r="H37" s="156"/>
      <c r="N37" s="94"/>
      <c r="O37" s="94"/>
      <c r="P37" s="95"/>
      <c r="Q37" s="96" t="str">
        <f>IFERROR(INDEX(RatingFactorTables!$CL$3:$CL$25,MATCH(N37,RatingFactorTables!$CK$3:$CK$25,0)),"")</f>
        <v/>
      </c>
      <c r="R37" s="167" t="str">
        <f t="shared" si="1"/>
        <v/>
      </c>
      <c r="S37" s="168" t="str">
        <f t="shared" si="0"/>
        <v/>
      </c>
    </row>
    <row r="38" spans="1:19" x14ac:dyDescent="0.2">
      <c r="A38" s="86" t="s">
        <v>72</v>
      </c>
      <c r="B38" s="99" t="s">
        <v>56</v>
      </c>
      <c r="D38" s="86" t="str">
        <f ca="1">"Coverage C (Max: "&amp;TEXT(MIN(VLOOKUP($E$33,RatingFactorTables!$BT$3:$BW$6,4,TRUE)*$B$24,VLOOKUP($E$33,RatingFactorTables!$BT$3:$BW$6,3,TRUE)),"$#,#")&amp;")"</f>
        <v>Coverage C (Max: $)</v>
      </c>
      <c r="E38" s="97">
        <v>100000</v>
      </c>
      <c r="G38" s="110" t="s">
        <v>221</v>
      </c>
      <c r="H38" s="148">
        <f>IF(E$25="Yes",($H$30+$H$36)/B24*VLOOKUP($E$33,RatingFactorTables!$BY$3:$CD$6,3,TRUE)*$E$36*IFERROR(VLOOKUP($B$12,RatingFactorTables!$CG$2:$CI$69,3,FALSE),1),0)</f>
        <v>0</v>
      </c>
      <c r="N38" s="94"/>
      <c r="O38" s="94"/>
      <c r="P38" s="95"/>
      <c r="Q38" s="96" t="str">
        <f>IFERROR(INDEX(RatingFactorTables!$CL$3:$CL$25,MATCH(N38,RatingFactorTables!$CK$3:$CK$25,0)),"")</f>
        <v/>
      </c>
      <c r="R38" s="167" t="str">
        <f t="shared" si="1"/>
        <v/>
      </c>
      <c r="S38" s="168" t="str">
        <f t="shared" si="0"/>
        <v/>
      </c>
    </row>
    <row r="39" spans="1:19" x14ac:dyDescent="0.2">
      <c r="A39" s="86" t="s">
        <v>73</v>
      </c>
      <c r="B39" s="99" t="s">
        <v>57</v>
      </c>
      <c r="D39" s="108" t="str">
        <f ca="1">"Blanket B &amp; C (Max: "&amp;TEXT(2*MIN(VLOOKUP($E$33,RatingFactorTables!$BT$3:$BW$6,4,TRUE)*$B$24,VLOOKUP($E$33,RatingFactorTables!$BT$3:$BW$6,3,TRUE)),"$#,#")&amp;")"</f>
        <v>Blanket B &amp; C (Max: $)</v>
      </c>
      <c r="E39" s="97">
        <v>0</v>
      </c>
      <c r="G39" s="110" t="s">
        <v>332</v>
      </c>
      <c r="H39" s="148">
        <f>IF($E$29="Yes",0,IF(AND($E$26="Yes",$E$28="No"),($H$30+$H$36)/$B$24*VLOOKUP($E$33,RatingFactorTables!$BY$3:$CD$6,4,TRUE)*MAX(0,$E$37-IF($E$23="Yes",RatingFactorTables!$BU$10,0)),0)+IF(AND($E$27="Yes",$E$28="No"),($H$30+$H$36)/$B$24*VLOOKUP($E$33,RatingFactorTables!$BY$3:$CD$6,5,TRUE)*MAX(0,$E$38-IF($E$23="Yes",RatingFactorTables!$BU$11,0)),0)+IF($E$28="Yes",($H$30+$H$36)/$B$24*VLOOKUP($E$33,RatingFactorTables!$BY$3:$CD$6,6,TRUE)*MAX(0,$E$39-IF($E$23="Yes",RatingFactorTables!$BU$10+RatingFactorTables!$BU$11,0)),0))*IFERROR(VLOOKUP($B$12,RatingFactorTables!$CG$2:$CI$69,3,FALSE),1)</f>
        <v>0</v>
      </c>
      <c r="N39" s="94"/>
      <c r="O39" s="94"/>
      <c r="P39" s="95"/>
      <c r="Q39" s="96" t="str">
        <f>IFERROR(INDEX(RatingFactorTables!$CL$3:$CL$25,MATCH(N39,RatingFactorTables!$CK$3:$CK$25,0)),"")</f>
        <v/>
      </c>
      <c r="R39" s="167" t="str">
        <f t="shared" si="1"/>
        <v/>
      </c>
      <c r="S39" s="168" t="str">
        <f t="shared" si="0"/>
        <v/>
      </c>
    </row>
    <row r="40" spans="1:19" x14ac:dyDescent="0.2">
      <c r="E40" s="97"/>
      <c r="G40" s="110" t="s">
        <v>229</v>
      </c>
      <c r="H40" s="148">
        <f>IF(Input.IncreasedRestoration="Yes",H27*H32/100*10%,0)</f>
        <v>0</v>
      </c>
      <c r="N40" s="94"/>
      <c r="O40" s="94"/>
      <c r="P40" s="95"/>
      <c r="Q40" s="96" t="str">
        <f>IFERROR(INDEX(RatingFactorTables!$CL$3:$CL$25,MATCH(N40,RatingFactorTables!$CK$3:$CK$25,0)),"")</f>
        <v/>
      </c>
      <c r="R40" s="167" t="str">
        <f t="shared" si="1"/>
        <v/>
      </c>
      <c r="S40" s="168" t="str">
        <f t="shared" si="0"/>
        <v/>
      </c>
    </row>
    <row r="41" spans="1:19" x14ac:dyDescent="0.2">
      <c r="B41" s="111"/>
      <c r="D41" s="86" t="s">
        <v>229</v>
      </c>
      <c r="E41" s="99" t="s">
        <v>57</v>
      </c>
      <c r="G41" s="110"/>
      <c r="H41" s="148"/>
      <c r="N41" s="94"/>
      <c r="O41" s="94"/>
      <c r="P41" s="95"/>
      <c r="Q41" s="96" t="str">
        <f>IFERROR(INDEX(RatingFactorTables!$CL$3:$CL$25,MATCH(N41,RatingFactorTables!$CK$3:$CK$25,0)),"")</f>
        <v/>
      </c>
      <c r="R41" s="167" t="str">
        <f t="shared" si="1"/>
        <v/>
      </c>
      <c r="S41" s="168" t="str">
        <f t="shared" si="0"/>
        <v/>
      </c>
    </row>
    <row r="42" spans="1:19" x14ac:dyDescent="0.2">
      <c r="G42" s="109" t="s">
        <v>326</v>
      </c>
      <c r="H42" s="148">
        <f ca="1">H32/100*H27*INDEX(RatingFactorTables!$DB$2:$DB$6,MATCH(B35,RatingFactorTables!$DA$2:$DA$6,0))</f>
        <v>0</v>
      </c>
      <c r="N42" s="94"/>
      <c r="O42" s="94"/>
      <c r="P42" s="95"/>
      <c r="Q42" s="96" t="str">
        <f>IFERROR(INDEX(RatingFactorTables!$CL$3:$CL$25,MATCH(N42,RatingFactorTables!$CK$3:$CK$25,0)),"")</f>
        <v/>
      </c>
      <c r="R42" s="167" t="str">
        <f t="shared" si="1"/>
        <v/>
      </c>
      <c r="S42" s="168" t="str">
        <f t="shared" si="0"/>
        <v/>
      </c>
    </row>
    <row r="43" spans="1:19" x14ac:dyDescent="0.2">
      <c r="H43" s="156"/>
      <c r="N43" s="94"/>
      <c r="O43" s="94"/>
      <c r="P43" s="95"/>
      <c r="Q43" s="96" t="str">
        <f>IFERROR(INDEX(RatingFactorTables!$CL$3:$CL$25,MATCH(N43,RatingFactorTables!$CK$3:$CK$25,0)),"")</f>
        <v/>
      </c>
      <c r="R43" s="167" t="str">
        <f t="shared" si="1"/>
        <v/>
      </c>
      <c r="S43" s="168" t="str">
        <f t="shared" si="0"/>
        <v/>
      </c>
    </row>
    <row r="44" spans="1:19" x14ac:dyDescent="0.2">
      <c r="G44" s="109" t="s">
        <v>213</v>
      </c>
      <c r="H44" s="154"/>
      <c r="N44" s="94"/>
      <c r="O44" s="94"/>
      <c r="P44" s="95"/>
      <c r="Q44" s="96" t="str">
        <f>IFERROR(INDEX(RatingFactorTables!$CL$3:$CL$25,MATCH(N44,RatingFactorTables!$CK$3:$CK$25,0)),"")</f>
        <v/>
      </c>
      <c r="R44" s="167" t="str">
        <f t="shared" si="1"/>
        <v/>
      </c>
      <c r="S44" s="168" t="str">
        <f t="shared" si="0"/>
        <v/>
      </c>
    </row>
    <row r="45" spans="1:19" x14ac:dyDescent="0.2">
      <c r="G45" s="110" t="s">
        <v>72</v>
      </c>
      <c r="H45" s="154">
        <f ca="1">-IF(AND(B29="Special",B38="Yes"),7%*B25/100*H27,0)</f>
        <v>0</v>
      </c>
      <c r="N45" s="94"/>
      <c r="O45" s="94"/>
      <c r="P45" s="95"/>
      <c r="Q45" s="96" t="str">
        <f>IFERROR(INDEX(RatingFactorTables!$CL$3:$CL$25,MATCH(N45,RatingFactorTables!$CK$3:$CK$25,0)),"")</f>
        <v/>
      </c>
      <c r="R45" s="167" t="str">
        <f t="shared" si="1"/>
        <v/>
      </c>
      <c r="S45" s="168" t="str">
        <f t="shared" si="0"/>
        <v/>
      </c>
    </row>
    <row r="46" spans="1:19" x14ac:dyDescent="0.2">
      <c r="G46" s="110" t="s">
        <v>73</v>
      </c>
      <c r="H46" s="154">
        <f>-IF(B39="Yes",5%*(B24+B26)/100*H27,0)</f>
        <v>0</v>
      </c>
      <c r="N46" s="94"/>
      <c r="O46" s="94"/>
      <c r="P46" s="95"/>
      <c r="Q46" s="96" t="str">
        <f>IFERROR(INDEX(RatingFactorTables!$CL$3:$CL$25,MATCH(N46,RatingFactorTables!$CK$3:$CK$25,0)),"")</f>
        <v/>
      </c>
      <c r="R46" s="167" t="str">
        <f t="shared" si="1"/>
        <v/>
      </c>
      <c r="S46" s="168" t="str">
        <f t="shared" si="0"/>
        <v/>
      </c>
    </row>
    <row r="47" spans="1:19" x14ac:dyDescent="0.2">
      <c r="H47" s="156"/>
      <c r="N47" s="94"/>
      <c r="O47" s="94"/>
      <c r="P47" s="95"/>
      <c r="Q47" s="96" t="str">
        <f>IFERROR(INDEX(RatingFactorTables!$CL$3:$CL$25,MATCH(N47,RatingFactorTables!$CK$3:$CK$25,0)),"")</f>
        <v/>
      </c>
      <c r="R47" s="167" t="str">
        <f t="shared" si="1"/>
        <v/>
      </c>
      <c r="S47" s="168" t="str">
        <f t="shared" si="0"/>
        <v/>
      </c>
    </row>
    <row r="48" spans="1:19" x14ac:dyDescent="0.2">
      <c r="G48" s="112" t="s">
        <v>646</v>
      </c>
      <c r="H48" s="166">
        <f ca="1">SUM(H34:H46)</f>
        <v>457.88184096000003</v>
      </c>
      <c r="N48" s="94"/>
      <c r="O48" s="94"/>
      <c r="P48" s="95"/>
      <c r="Q48" s="96" t="str">
        <f>IFERROR(INDEX(RatingFactorTables!$CL$3:$CL$25,MATCH(N48,RatingFactorTables!$CK$3:$CK$25,0)),"")</f>
        <v/>
      </c>
      <c r="R48" s="167" t="str">
        <f t="shared" si="1"/>
        <v/>
      </c>
      <c r="S48" s="168" t="str">
        <f t="shared" si="0"/>
        <v/>
      </c>
    </row>
    <row r="49" spans="7:19" x14ac:dyDescent="0.2">
      <c r="H49" s="156"/>
      <c r="N49" s="94"/>
      <c r="O49" s="94"/>
      <c r="P49" s="95"/>
      <c r="Q49" s="96" t="str">
        <f>IFERROR(INDEX(RatingFactorTables!$CL$3:$CL$25,MATCH(N49,RatingFactorTables!$CK$3:$CK$25,0)),"")</f>
        <v/>
      </c>
      <c r="R49" s="167" t="str">
        <f t="shared" si="1"/>
        <v/>
      </c>
      <c r="S49" s="168" t="str">
        <f t="shared" si="0"/>
        <v/>
      </c>
    </row>
    <row r="50" spans="7:19" x14ac:dyDescent="0.2">
      <c r="G50" s="86" t="s">
        <v>271</v>
      </c>
      <c r="H50" s="154">
        <f ca="1">IF(AccountLevelSummary!$B$22="Yes",IF(B11="Yes",RatingFactorTables!$CV$2,RatingFactorTables!$CV$3),0)*(SUM(H34,H36:H40))</f>
        <v>0</v>
      </c>
      <c r="N50" s="113" t="s">
        <v>255</v>
      </c>
      <c r="O50" s="114"/>
      <c r="P50" s="171">
        <f>SUM(P3:P49)</f>
        <v>0</v>
      </c>
      <c r="Q50" s="115"/>
      <c r="R50" s="169">
        <f>IFERROR(S50/P50*100,0)</f>
        <v>0</v>
      </c>
      <c r="S50" s="170">
        <f>SUM(S3:S49)</f>
        <v>0</v>
      </c>
    </row>
    <row r="51" spans="7:19" x14ac:dyDescent="0.2">
      <c r="G51" s="86" t="s">
        <v>68</v>
      </c>
      <c r="H51" s="148">
        <f>IF(AccountLevelSummary!$B$21="Yes",SUM(H28,H31,H32)/100*IF(INDEX(RatingFactorTables!$A$3:$A$102,MATCH(Input.Occupancy,RatingFactorTables!$B$3:$B$102,0))=RatingFactorTables!$AQ$2,RatingFactorTables!$AR$2,RatingFactorTables!$AR$3)*VLOOKUP(Input.AOPDeductible,RatingFactorTables!$AQ$6:$AR$9,2),0)</f>
        <v>0</v>
      </c>
    </row>
    <row r="52" spans="7:19" x14ac:dyDescent="0.2">
      <c r="H52" s="156"/>
    </row>
    <row r="53" spans="7:19" x14ac:dyDescent="0.2">
      <c r="G53" s="86" t="s">
        <v>231</v>
      </c>
      <c r="H53" s="154">
        <f>S50</f>
        <v>0</v>
      </c>
    </row>
  </sheetData>
  <sheetProtection algorithmName="SHA-512" hashValue="GpTb/LO7e7mGlfs9b+RWuZ0yweHe6sexDd+6wrY1FrhsLLxal8Pl9Cq1z/u61TPuyrY8+vrNQq2o8vt7gfjB9Q==" saltValue="TBqC13FcoHtPr42/WDC55g==" spinCount="100000" sheet="1" objects="1" scenarios="1"/>
  <mergeCells count="1">
    <mergeCell ref="N1:S1"/>
  </mergeCells>
  <dataValidations count="3">
    <dataValidation type="list" allowBlank="1" showInputMessage="1" showErrorMessage="1" sqref="E3">
      <formula1>ValuationFirms</formula1>
    </dataValidation>
    <dataValidation type="list" allowBlank="1" showInputMessage="1" showErrorMessage="1" sqref="B34 B38:B39 E25:E28 E15 E41">
      <formula1>YesNo</formula1>
    </dataValidation>
    <dataValidation type="list" allowBlank="1" showInputMessage="1" showErrorMessage="1" sqref="E29">
      <formula1>$Y$2:$Y$3</formula1>
    </dataValidation>
  </dataValidations>
  <pageMargins left="0.7" right="0.7" top="0.75" bottom="0.75" header="0.3" footer="0.3"/>
  <pageSetup paperSize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ClearUserInputs">
                <anchor moveWithCells="1" sizeWithCells="1">
                  <from>
                    <xdr:col>0</xdr:col>
                    <xdr:colOff>257175</xdr:colOff>
                    <xdr:row>47</xdr:row>
                    <xdr:rowOff>28575</xdr:rowOff>
                  </from>
                  <to>
                    <xdr:col>1</xdr:col>
                    <xdr:colOff>695325</xdr:colOff>
                    <xdr:row>50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RatingFactorTables!$DL$2:$DL$4</xm:f>
          </x14:formula1>
          <xm:sqref>E16</xm:sqref>
        </x14:dataValidation>
        <x14:dataValidation type="list" allowBlank="1" showInputMessage="1" showErrorMessage="1">
          <x14:formula1>
            <xm:f>RatingFactorTables!$CK$3:$CK$25</xm:f>
          </x14:formula1>
          <xm:sqref>N3:N49</xm:sqref>
        </x14:dataValidation>
        <x14:dataValidation type="list" allowBlank="1" showInputMessage="1" showErrorMessage="1">
          <x14:formula1>
            <xm:f>RatingFactorTables!$B$3:$B$102</xm:f>
          </x14:formula1>
          <xm:sqref>B12</xm:sqref>
        </x14:dataValidation>
        <x14:dataValidation type="list" allowBlank="1" showInputMessage="1" showErrorMessage="1">
          <x14:formula1>
            <xm:f>RatingFactorTables!$AK$3:$AK$8</xm:f>
          </x14:formula1>
          <xm:sqref>B20</xm:sqref>
        </x14:dataValidation>
        <x14:dataValidation type="list" allowBlank="1" showInputMessage="1" showErrorMessage="1">
          <x14:formula1>
            <xm:f>RatingFactorTables!$K$8:$K$16</xm:f>
          </x14:formula1>
          <xm:sqref>B17</xm:sqref>
        </x14:dataValidation>
        <x14:dataValidation type="list" allowBlank="1" showInputMessage="1" showErrorMessage="1">
          <x14:formula1>
            <xm:f>IF(Input.BldgState="New York",RatingFactorTables!$G$54:$G$58,IF(Input.BldgState="Texas",RatingFactorTables!$G$60:$G$61,RatingFactorTables!$G$63))</xm:f>
          </x14:formula1>
          <xm:sqref>B9</xm:sqref>
        </x14:dataValidation>
        <x14:dataValidation type="list" allowBlank="1" showInputMessage="1" showErrorMessage="1">
          <x14:formula1>
            <xm:f>RatingFactorTables!$G$3:$G$52</xm:f>
          </x14:formula1>
          <xm:sqref>B7</xm:sqref>
        </x14:dataValidation>
        <x14:dataValidation type="list" allowBlank="1" showInputMessage="1" showErrorMessage="1">
          <x14:formula1>
            <xm:f>RatingFactorTables!$DD$34:$DD$37</xm:f>
          </x14:formula1>
          <xm:sqref>B13</xm:sqref>
        </x14:dataValidation>
        <x14:dataValidation type="list" allowBlank="1" showInputMessage="1" showErrorMessage="1">
          <x14:formula1>
            <xm:f>RatingFactorTables!$DA$2:$DA$6</xm:f>
          </x14:formula1>
          <xm:sqref>B35</xm:sqref>
        </x14:dataValidation>
        <x14:dataValidation type="list" allowBlank="1" showInputMessage="1" showErrorMessage="1">
          <x14:formula1>
            <xm:f>RatingFactorTables!$AT$4:$AT$10</xm:f>
          </x14:formula1>
          <xm:sqref>B21</xm:sqref>
        </x14:dataValidation>
        <x14:dataValidation type="list" allowBlank="1" showInputMessage="1" showErrorMessage="1">
          <x14:formula1>
            <xm:f>RatingFactorTables!$AX$2:$AX$3</xm:f>
          </x14:formula1>
          <xm:sqref>B11</xm:sqref>
        </x14:dataValidation>
        <x14:dataValidation type="list" allowBlank="1" showInputMessage="1" showErrorMessage="1">
          <x14:formula1>
            <xm:f>IF(B24&lt;2500000,RatingFactorTables!$AA$4:$AA$9,IF(B24&lt;10000000,RatingFactorTables!$AC$4:$AC$9,RatingFactorTables!$AE$5:$AE$9))</xm:f>
          </x14:formula1>
          <xm:sqref>B31</xm:sqref>
        </x14:dataValidation>
        <x14:dataValidation type="list" allowBlank="1" showInputMessage="1" showErrorMessage="1">
          <x14:formula1>
            <xm:f>RatingFactorTables!$AH$3:$AH$12</xm:f>
          </x14:formula1>
          <xm:sqref>B19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406"/>
  <sheetViews>
    <sheetView workbookViewId="0">
      <selection activeCell="A4" sqref="A4"/>
    </sheetView>
  </sheetViews>
  <sheetFormatPr defaultRowHeight="15" x14ac:dyDescent="0.25"/>
  <cols>
    <col min="1" max="1" width="30" style="198" bestFit="1" customWidth="1"/>
    <col min="2" max="3" width="9.140625" style="198"/>
    <col min="4" max="38" width="12.7109375" style="198" customWidth="1"/>
    <col min="39" max="16384" width="9.140625" style="198"/>
  </cols>
  <sheetData>
    <row r="1" spans="1:38" x14ac:dyDescent="0.25">
      <c r="A1" s="206" t="s">
        <v>707</v>
      </c>
    </row>
    <row r="3" spans="1:38" x14ac:dyDescent="0.25">
      <c r="A3" s="197" t="s">
        <v>652</v>
      </c>
      <c r="B3" s="197" t="s">
        <v>171</v>
      </c>
      <c r="D3" s="197" t="s">
        <v>653</v>
      </c>
      <c r="F3" s="199"/>
      <c r="P3" s="197" t="s">
        <v>654</v>
      </c>
      <c r="AB3" s="197" t="s">
        <v>655</v>
      </c>
    </row>
    <row r="4" spans="1:38" x14ac:dyDescent="0.25">
      <c r="A4" s="198" t="s">
        <v>656</v>
      </c>
      <c r="B4" s="198">
        <v>1</v>
      </c>
    </row>
    <row r="5" spans="1:38" x14ac:dyDescent="0.25">
      <c r="A5" s="198" t="s">
        <v>657</v>
      </c>
      <c r="B5" s="198">
        <v>1</v>
      </c>
      <c r="D5" s="200" t="s">
        <v>658</v>
      </c>
      <c r="E5" s="201">
        <v>0</v>
      </c>
      <c r="F5" s="201">
        <v>2500000</v>
      </c>
      <c r="G5" s="201">
        <v>5000000</v>
      </c>
      <c r="H5" s="201">
        <v>10000000</v>
      </c>
      <c r="I5" s="201">
        <v>20000000</v>
      </c>
      <c r="J5" s="201">
        <v>40000000</v>
      </c>
      <c r="K5" s="201">
        <v>75000000</v>
      </c>
      <c r="L5" s="201">
        <v>100000000</v>
      </c>
      <c r="M5" s="201">
        <v>200000000</v>
      </c>
      <c r="N5" s="201">
        <v>500000000</v>
      </c>
      <c r="P5" s="200" t="s">
        <v>658</v>
      </c>
      <c r="Q5" s="201">
        <v>0</v>
      </c>
      <c r="R5" s="201">
        <v>2500000</v>
      </c>
      <c r="S5" s="201">
        <v>5000000</v>
      </c>
      <c r="T5" s="201">
        <v>10000000</v>
      </c>
      <c r="U5" s="201">
        <v>20000000</v>
      </c>
      <c r="V5" s="201">
        <v>40000000</v>
      </c>
      <c r="W5" s="201">
        <v>75000000</v>
      </c>
      <c r="X5" s="201">
        <v>100000000</v>
      </c>
      <c r="Y5" s="201">
        <v>200000000</v>
      </c>
      <c r="Z5" s="201">
        <v>500000000</v>
      </c>
      <c r="AB5" s="200" t="s">
        <v>658</v>
      </c>
      <c r="AC5" s="201">
        <v>0</v>
      </c>
      <c r="AD5" s="201">
        <v>2500000</v>
      </c>
      <c r="AE5" s="201">
        <v>5000000</v>
      </c>
      <c r="AF5" s="201">
        <v>10000000</v>
      </c>
      <c r="AG5" s="201">
        <v>20000000</v>
      </c>
      <c r="AH5" s="201">
        <v>40000000</v>
      </c>
      <c r="AI5" s="201">
        <v>75000000</v>
      </c>
      <c r="AJ5" s="201">
        <v>100000000</v>
      </c>
      <c r="AK5" s="201">
        <v>200000000</v>
      </c>
      <c r="AL5" s="201">
        <v>500000000</v>
      </c>
    </row>
    <row r="6" spans="1:38" x14ac:dyDescent="0.25">
      <c r="A6" s="198" t="s">
        <v>659</v>
      </c>
      <c r="B6" s="198">
        <v>1</v>
      </c>
      <c r="D6" s="202">
        <v>0</v>
      </c>
      <c r="E6" s="203">
        <v>0</v>
      </c>
      <c r="F6" s="203">
        <v>0</v>
      </c>
      <c r="G6" s="203">
        <v>0</v>
      </c>
      <c r="H6" s="203">
        <v>0</v>
      </c>
      <c r="I6" s="203">
        <v>0</v>
      </c>
      <c r="J6" s="203">
        <v>0</v>
      </c>
      <c r="K6" s="203">
        <v>0</v>
      </c>
      <c r="L6" s="203">
        <v>0</v>
      </c>
      <c r="M6" s="203">
        <v>0</v>
      </c>
      <c r="N6" s="203">
        <v>0</v>
      </c>
      <c r="P6" s="202">
        <v>0</v>
      </c>
      <c r="Q6" s="203">
        <v>0</v>
      </c>
      <c r="R6" s="203">
        <v>0</v>
      </c>
      <c r="S6" s="203">
        <v>0</v>
      </c>
      <c r="T6" s="203">
        <v>0</v>
      </c>
      <c r="U6" s="203">
        <v>0</v>
      </c>
      <c r="V6" s="203">
        <v>0</v>
      </c>
      <c r="W6" s="203">
        <v>0</v>
      </c>
      <c r="X6" s="203">
        <v>0</v>
      </c>
      <c r="Y6" s="203">
        <v>0</v>
      </c>
      <c r="Z6" s="203">
        <v>0</v>
      </c>
      <c r="AB6" s="202">
        <v>0</v>
      </c>
      <c r="AC6" s="203">
        <v>0</v>
      </c>
      <c r="AD6" s="203">
        <v>0</v>
      </c>
      <c r="AE6" s="203">
        <v>0</v>
      </c>
      <c r="AF6" s="203">
        <v>0</v>
      </c>
      <c r="AG6" s="203">
        <v>0</v>
      </c>
      <c r="AH6" s="203">
        <v>0</v>
      </c>
      <c r="AI6" s="203">
        <v>0</v>
      </c>
      <c r="AJ6" s="203">
        <v>0</v>
      </c>
      <c r="AK6" s="203">
        <v>0</v>
      </c>
      <c r="AL6" s="203">
        <v>0</v>
      </c>
    </row>
    <row r="7" spans="1:38" x14ac:dyDescent="0.25">
      <c r="A7" s="198" t="s">
        <v>660</v>
      </c>
      <c r="B7" s="198">
        <v>1</v>
      </c>
      <c r="D7" s="202">
        <v>5.0000000000000001E-3</v>
      </c>
      <c r="E7" s="203">
        <v>0.13779156097660869</v>
      </c>
      <c r="F7" s="203">
        <v>0.17483549861343459</v>
      </c>
      <c r="G7" s="203">
        <v>0.21495394721313943</v>
      </c>
      <c r="H7" s="203">
        <v>0.26229566395608683</v>
      </c>
      <c r="I7" s="203">
        <v>0.31223080302053552</v>
      </c>
      <c r="J7" s="203">
        <v>0.36066099820287251</v>
      </c>
      <c r="K7" s="203">
        <v>0.40097296073938443</v>
      </c>
      <c r="L7" s="203">
        <v>0.41786779929531553</v>
      </c>
      <c r="M7" s="203">
        <v>0.45333186328678132</v>
      </c>
      <c r="N7" s="203">
        <v>0.4752193739146468</v>
      </c>
      <c r="P7" s="202">
        <v>5.0000000000000001E-3</v>
      </c>
      <c r="Q7" s="203">
        <v>0.13544993600664157</v>
      </c>
      <c r="R7" s="203">
        <v>0.14865352959115891</v>
      </c>
      <c r="S7" s="203">
        <v>0.16804717160854796</v>
      </c>
      <c r="T7" s="203">
        <v>0.19762007150728372</v>
      </c>
      <c r="U7" s="203">
        <v>0.23660340586138362</v>
      </c>
      <c r="V7" s="203">
        <v>0.28148635372058689</v>
      </c>
      <c r="W7" s="203">
        <v>0.32342477552263449</v>
      </c>
      <c r="X7" s="203">
        <v>0.34209750848322146</v>
      </c>
      <c r="Y7" s="203">
        <v>0.38361994271238509</v>
      </c>
      <c r="Z7" s="203">
        <v>0.42070247030885755</v>
      </c>
      <c r="AB7" s="202">
        <v>5.0000000000000001E-3</v>
      </c>
      <c r="AC7" s="203">
        <v>0.11983252481483604</v>
      </c>
      <c r="AD7" s="203">
        <v>0.1212332261558539</v>
      </c>
      <c r="AE7" s="203">
        <v>0.125110868436523</v>
      </c>
      <c r="AF7" s="203">
        <v>0.13356103045154946</v>
      </c>
      <c r="AG7" s="203">
        <v>0.14929618036874667</v>
      </c>
      <c r="AH7" s="203">
        <v>0.17489854587802528</v>
      </c>
      <c r="AI7" s="203">
        <v>0.20735328619970927</v>
      </c>
      <c r="AJ7" s="203">
        <v>0.22478158221430511</v>
      </c>
      <c r="AK7" s="203">
        <v>0.27127355471103176</v>
      </c>
      <c r="AL7" s="203">
        <v>0.33609892788246343</v>
      </c>
    </row>
    <row r="8" spans="1:38" x14ac:dyDescent="0.25">
      <c r="A8" s="198" t="s">
        <v>661</v>
      </c>
      <c r="B8" s="198">
        <v>1</v>
      </c>
      <c r="D8" s="202">
        <v>0.01</v>
      </c>
      <c r="E8" s="203">
        <v>0.22015569527484599</v>
      </c>
      <c r="F8" s="203">
        <v>0.26527502978070977</v>
      </c>
      <c r="G8" s="203">
        <v>0.31031225256790157</v>
      </c>
      <c r="H8" s="203">
        <v>0.35984038015319392</v>
      </c>
      <c r="I8" s="203">
        <v>0.40918748909400698</v>
      </c>
      <c r="J8" s="203">
        <v>0.45524191139089581</v>
      </c>
      <c r="K8" s="203">
        <v>0.49284187768065624</v>
      </c>
      <c r="L8" s="203">
        <v>0.50854485174712538</v>
      </c>
      <c r="M8" s="203">
        <v>0.54188109587703037</v>
      </c>
      <c r="N8" s="203">
        <v>0.56686982624704996</v>
      </c>
      <c r="P8" s="202">
        <v>0.01</v>
      </c>
      <c r="Q8" s="203">
        <v>0.21384968722437211</v>
      </c>
      <c r="R8" s="203">
        <v>0.23064049485843319</v>
      </c>
      <c r="S8" s="203">
        <v>0.25407156104882572</v>
      </c>
      <c r="T8" s="203">
        <v>0.28792444803789113</v>
      </c>
      <c r="U8" s="203">
        <v>0.33000395189957177</v>
      </c>
      <c r="V8" s="203">
        <v>0.37593455206479487</v>
      </c>
      <c r="W8" s="203">
        <v>0.41727534732833083</v>
      </c>
      <c r="X8" s="203">
        <v>0.43539071938999924</v>
      </c>
      <c r="Y8" s="203">
        <v>0.47556760525665548</v>
      </c>
      <c r="Z8" s="203">
        <v>0.51424810234207952</v>
      </c>
      <c r="AB8" s="202">
        <v>0.01</v>
      </c>
      <c r="AC8" s="203">
        <v>0.19375882184264101</v>
      </c>
      <c r="AD8" s="203">
        <v>0.19597639783814361</v>
      </c>
      <c r="AE8" s="203">
        <v>0.20128826940163058</v>
      </c>
      <c r="AF8" s="203">
        <v>0.21233803410391691</v>
      </c>
      <c r="AG8" s="203">
        <v>0.23205861020777455</v>
      </c>
      <c r="AH8" s="203">
        <v>0.26249201018808671</v>
      </c>
      <c r="AI8" s="203">
        <v>0.29881797309045516</v>
      </c>
      <c r="AJ8" s="203">
        <v>0.31749900296066452</v>
      </c>
      <c r="AK8" s="203">
        <v>0.36518642490298464</v>
      </c>
      <c r="AL8" s="203">
        <v>0.4280603378073326</v>
      </c>
    </row>
    <row r="9" spans="1:38" x14ac:dyDescent="0.25">
      <c r="A9" s="198" t="s">
        <v>662</v>
      </c>
      <c r="B9" s="198">
        <v>1</v>
      </c>
      <c r="D9" s="202">
        <v>1.4999999999999999E-2</v>
      </c>
      <c r="E9" s="203">
        <v>0.27899317667643964</v>
      </c>
      <c r="F9" s="203">
        <v>0.32656935913344182</v>
      </c>
      <c r="G9" s="203">
        <v>0.3721974948290584</v>
      </c>
      <c r="H9" s="203">
        <v>0.42083496672364523</v>
      </c>
      <c r="I9" s="203">
        <v>0.46819210878315681</v>
      </c>
      <c r="J9" s="203">
        <v>0.51178426964890478</v>
      </c>
      <c r="K9" s="203">
        <v>0.5472014074149727</v>
      </c>
      <c r="L9" s="203">
        <v>0.5620176425497283</v>
      </c>
      <c r="M9" s="203">
        <v>0.59379426171853511</v>
      </c>
      <c r="N9" s="203">
        <v>0.62041108710681481</v>
      </c>
      <c r="P9" s="202">
        <v>1.4999999999999999E-2</v>
      </c>
      <c r="Q9" s="203">
        <v>0.26922445023114289</v>
      </c>
      <c r="R9" s="203">
        <v>0.28750744262041689</v>
      </c>
      <c r="S9" s="203">
        <v>0.31225796001554651</v>
      </c>
      <c r="T9" s="203">
        <v>0.34704847827824131</v>
      </c>
      <c r="U9" s="203">
        <v>0.38914518657547287</v>
      </c>
      <c r="V9" s="203">
        <v>0.43408981684026726</v>
      </c>
      <c r="W9" s="203">
        <v>0.47400091240241987</v>
      </c>
      <c r="X9" s="203">
        <v>0.49141769377610761</v>
      </c>
      <c r="Y9" s="203">
        <v>0.53017089499129988</v>
      </c>
      <c r="Z9" s="203">
        <v>0.56940875848143913</v>
      </c>
      <c r="AB9" s="202">
        <v>1.4999999999999999E-2</v>
      </c>
      <c r="AC9" s="203">
        <v>0.24735241216301748</v>
      </c>
      <c r="AD9" s="203">
        <v>0.25013745278737615</v>
      </c>
      <c r="AE9" s="203">
        <v>0.25618935411067145</v>
      </c>
      <c r="AF9" s="203">
        <v>0.26837091946195757</v>
      </c>
      <c r="AG9" s="203">
        <v>0.28955274174010875</v>
      </c>
      <c r="AH9" s="203">
        <v>0.32132926446012294</v>
      </c>
      <c r="AI9" s="203">
        <v>0.35816863817206368</v>
      </c>
      <c r="AJ9" s="203">
        <v>0.37674573259075878</v>
      </c>
      <c r="AK9" s="203">
        <v>0.42329745312984635</v>
      </c>
      <c r="AL9" s="203">
        <v>0.4833418928258969</v>
      </c>
    </row>
    <row r="10" spans="1:38" x14ac:dyDescent="0.25">
      <c r="A10" s="198" t="s">
        <v>663</v>
      </c>
      <c r="B10" s="198">
        <v>1</v>
      </c>
      <c r="D10" s="202">
        <v>0.02</v>
      </c>
      <c r="E10" s="203">
        <v>0.32473750914299987</v>
      </c>
      <c r="F10" s="203">
        <v>0.37291243079964914</v>
      </c>
      <c r="G10" s="203">
        <v>0.41800266681049275</v>
      </c>
      <c r="H10" s="203">
        <v>0.46521389118846906</v>
      </c>
      <c r="I10" s="203">
        <v>0.51061158975550869</v>
      </c>
      <c r="J10" s="203">
        <v>0.55211902829751569</v>
      </c>
      <c r="K10" s="203">
        <v>0.58580141601778901</v>
      </c>
      <c r="L10" s="203">
        <v>0.59992763825665585</v>
      </c>
      <c r="M10" s="203">
        <v>0.630486458603425</v>
      </c>
      <c r="N10" s="203">
        <v>0.6581287201491981</v>
      </c>
      <c r="P10" s="202">
        <v>0.02</v>
      </c>
      <c r="Q10" s="203">
        <v>0.31205870519213186</v>
      </c>
      <c r="R10" s="203">
        <v>0.33106566950365185</v>
      </c>
      <c r="S10" s="203">
        <v>0.35624963695231343</v>
      </c>
      <c r="T10" s="203">
        <v>0.39103523443940569</v>
      </c>
      <c r="U10" s="203">
        <v>0.43245928502024195</v>
      </c>
      <c r="V10" s="203">
        <v>0.47614771669543599</v>
      </c>
      <c r="W10" s="203">
        <v>0.51468854588287838</v>
      </c>
      <c r="X10" s="203">
        <v>0.53148859648749025</v>
      </c>
      <c r="Y10" s="203">
        <v>0.56901936771538786</v>
      </c>
      <c r="Z10" s="203">
        <v>0.60848047651694337</v>
      </c>
      <c r="AB10" s="202">
        <v>0.02</v>
      </c>
      <c r="AC10" s="203">
        <v>0.28941157714857968</v>
      </c>
      <c r="AD10" s="203">
        <v>0.29262500513264472</v>
      </c>
      <c r="AE10" s="203">
        <v>0.29912189548046003</v>
      </c>
      <c r="AF10" s="203">
        <v>0.31186723699247537</v>
      </c>
      <c r="AG10" s="203">
        <v>0.33361850712887392</v>
      </c>
      <c r="AH10" s="203">
        <v>0.36565197369752378</v>
      </c>
      <c r="AI10" s="203">
        <v>0.40213374604428126</v>
      </c>
      <c r="AJ10" s="203">
        <v>0.42032019433890916</v>
      </c>
      <c r="AK10" s="203">
        <v>0.46542097745169991</v>
      </c>
      <c r="AL10" s="203">
        <v>0.52291303949520329</v>
      </c>
    </row>
    <row r="11" spans="1:38" x14ac:dyDescent="0.25">
      <c r="A11" s="198" t="s">
        <v>664</v>
      </c>
      <c r="B11" s="198">
        <v>1</v>
      </c>
      <c r="D11" s="202">
        <v>2.5000000000000001E-2</v>
      </c>
      <c r="E11" s="203">
        <v>0.36212661336616936</v>
      </c>
      <c r="F11" s="203">
        <v>0.41013481606836316</v>
      </c>
      <c r="G11" s="203">
        <v>0.45432463848298854</v>
      </c>
      <c r="H11" s="203">
        <v>0.50005247759283145</v>
      </c>
      <c r="I11" s="203">
        <v>0.54368051613012658</v>
      </c>
      <c r="J11" s="203">
        <v>0.5834189776047275</v>
      </c>
      <c r="K11" s="203">
        <v>0.61567032743652517</v>
      </c>
      <c r="L11" s="203">
        <v>0.62923201534776796</v>
      </c>
      <c r="M11" s="203">
        <v>0.65878699454713319</v>
      </c>
      <c r="N11" s="203">
        <v>0.68712543216394295</v>
      </c>
      <c r="P11" s="202">
        <v>2.5000000000000001E-2</v>
      </c>
      <c r="Q11" s="203">
        <v>0.34698787489950145</v>
      </c>
      <c r="R11" s="203">
        <v>0.36636242322638052</v>
      </c>
      <c r="S11" s="203">
        <v>0.39160963542980309</v>
      </c>
      <c r="T11" s="203">
        <v>0.426047405564217</v>
      </c>
      <c r="U11" s="203">
        <v>0.46661576379961184</v>
      </c>
      <c r="V11" s="203">
        <v>0.5090681463494483</v>
      </c>
      <c r="W11" s="203">
        <v>0.54638078762331843</v>
      </c>
      <c r="X11" s="203">
        <v>0.56264554349527063</v>
      </c>
      <c r="Y11" s="203">
        <v>0.5991235717186959</v>
      </c>
      <c r="Z11" s="203">
        <v>0.63864818342959473</v>
      </c>
      <c r="AB11" s="202">
        <v>2.5000000000000001E-2</v>
      </c>
      <c r="AC11" s="203">
        <v>0.32402779803188625</v>
      </c>
      <c r="AD11" s="203">
        <v>0.32758079247228539</v>
      </c>
      <c r="AE11" s="203">
        <v>0.33436921244376971</v>
      </c>
      <c r="AF11" s="203">
        <v>0.34740726626859242</v>
      </c>
      <c r="AG11" s="203">
        <v>0.3693345117889047</v>
      </c>
      <c r="AH11" s="203">
        <v>0.40119562075944237</v>
      </c>
      <c r="AI11" s="203">
        <v>0.43703727949472376</v>
      </c>
      <c r="AJ11" s="203">
        <v>0.45476757035068405</v>
      </c>
      <c r="AK11" s="203">
        <v>0.49844093861255523</v>
      </c>
      <c r="AL11" s="203">
        <v>0.55370604977627824</v>
      </c>
    </row>
    <row r="12" spans="1:38" x14ac:dyDescent="0.25">
      <c r="A12" s="198" t="s">
        <v>534</v>
      </c>
      <c r="B12" s="198">
        <v>1</v>
      </c>
      <c r="D12" s="202">
        <v>0.03</v>
      </c>
      <c r="E12" s="203">
        <v>0.39371671622357501</v>
      </c>
      <c r="F12" s="203">
        <v>0.44120701830495157</v>
      </c>
      <c r="G12" s="203">
        <v>0.48438407540309014</v>
      </c>
      <c r="H12" s="203">
        <v>0.52869115302853453</v>
      </c>
      <c r="I12" s="203">
        <v>0.570737696958316</v>
      </c>
      <c r="J12" s="203">
        <v>0.60894820168233221</v>
      </c>
      <c r="K12" s="203">
        <v>0.63998225565222633</v>
      </c>
      <c r="L12" s="203">
        <v>0.6530653057856437</v>
      </c>
      <c r="M12" s="203">
        <v>0.68176163629625086</v>
      </c>
      <c r="N12" s="203">
        <v>0.71058887423483663</v>
      </c>
      <c r="P12" s="202">
        <v>0.03</v>
      </c>
      <c r="Q12" s="203">
        <v>0.37647392474683511</v>
      </c>
      <c r="R12" s="203">
        <v>0.39602650127631234</v>
      </c>
      <c r="S12" s="203">
        <v>0.42116066722146134</v>
      </c>
      <c r="T12" s="203">
        <v>0.45511366018011729</v>
      </c>
      <c r="U12" s="203">
        <v>0.49479369804041073</v>
      </c>
      <c r="V12" s="203">
        <v>0.53609032365215936</v>
      </c>
      <c r="W12" s="203">
        <v>0.57230689378666344</v>
      </c>
      <c r="X12" s="203">
        <v>0.58810170787501326</v>
      </c>
      <c r="Y12" s="203">
        <v>0.62365656600698227</v>
      </c>
      <c r="Z12" s="203">
        <v>0.66315257250415571</v>
      </c>
      <c r="AB12" s="202">
        <v>0.03</v>
      </c>
      <c r="AC12" s="203">
        <v>0.35344013233224958</v>
      </c>
      <c r="AD12" s="203">
        <v>0.35727102805641875</v>
      </c>
      <c r="AE12" s="203">
        <v>0.36426064539170872</v>
      </c>
      <c r="AF12" s="203">
        <v>0.37744482331512869</v>
      </c>
      <c r="AG12" s="203">
        <v>0.39935155750262952</v>
      </c>
      <c r="AH12" s="203">
        <v>0.43085081290277083</v>
      </c>
      <c r="AI12" s="203">
        <v>0.46596142498146026</v>
      </c>
      <c r="AJ12" s="203">
        <v>0.48323312673459112</v>
      </c>
      <c r="AK12" s="203">
        <v>0.52557370814175752</v>
      </c>
      <c r="AL12" s="203">
        <v>0.57888455949419892</v>
      </c>
    </row>
    <row r="13" spans="1:38" x14ac:dyDescent="0.25">
      <c r="A13" s="198" t="s">
        <v>665</v>
      </c>
      <c r="B13" s="198">
        <v>1</v>
      </c>
      <c r="D13" s="202">
        <v>3.5000000000000003E-2</v>
      </c>
      <c r="E13" s="203">
        <v>0.42104524814703848</v>
      </c>
      <c r="F13" s="203">
        <v>0.4678497252176107</v>
      </c>
      <c r="G13" s="203">
        <v>0.50999687281978123</v>
      </c>
      <c r="H13" s="203">
        <v>0.55297481174880336</v>
      </c>
      <c r="I13" s="203">
        <v>0.59360194926210741</v>
      </c>
      <c r="J13" s="203">
        <v>0.63046995950733853</v>
      </c>
      <c r="K13" s="203">
        <v>0.66044414120223516</v>
      </c>
      <c r="L13" s="203">
        <v>0.67311081905774695</v>
      </c>
      <c r="M13" s="203">
        <v>0.70105324895940457</v>
      </c>
      <c r="N13" s="203">
        <v>0.73022695867600773</v>
      </c>
      <c r="P13" s="202">
        <v>3.5000000000000003E-2</v>
      </c>
      <c r="Q13" s="203">
        <v>0.40198220801024132</v>
      </c>
      <c r="R13" s="203">
        <v>0.42160258154062957</v>
      </c>
      <c r="S13" s="203">
        <v>0.44653355015100277</v>
      </c>
      <c r="T13" s="203">
        <v>0.47994872394243854</v>
      </c>
      <c r="U13" s="203">
        <v>0.51875916148618351</v>
      </c>
      <c r="V13" s="203">
        <v>0.55898777975624758</v>
      </c>
      <c r="W13" s="203">
        <v>0.59421921801221222</v>
      </c>
      <c r="X13" s="203">
        <v>0.60959559833851096</v>
      </c>
      <c r="Y13" s="203">
        <v>0.6443269577825983</v>
      </c>
      <c r="Z13" s="203">
        <v>0.68373508881894696</v>
      </c>
      <c r="AB13" s="202">
        <v>3.5000000000000003E-2</v>
      </c>
      <c r="AC13" s="203">
        <v>0.37900817436697826</v>
      </c>
      <c r="AD13" s="203">
        <v>0.38307165339005284</v>
      </c>
      <c r="AE13" s="203">
        <v>0.39020462749340556</v>
      </c>
      <c r="AF13" s="203">
        <v>0.40344881967737128</v>
      </c>
      <c r="AG13" s="203">
        <v>0.42522943298884153</v>
      </c>
      <c r="AH13" s="203">
        <v>0.45628039110160479</v>
      </c>
      <c r="AI13" s="203">
        <v>0.4906421549849817</v>
      </c>
      <c r="AJ13" s="203">
        <v>0.50747291568579533</v>
      </c>
      <c r="AK13" s="203">
        <v>0.54858445745247897</v>
      </c>
      <c r="AL13" s="203">
        <v>0.60016046235942799</v>
      </c>
    </row>
    <row r="14" spans="1:38" x14ac:dyDescent="0.25">
      <c r="A14" s="198" t="s">
        <v>666</v>
      </c>
      <c r="B14" s="198">
        <v>2</v>
      </c>
      <c r="D14" s="202">
        <v>0.04</v>
      </c>
      <c r="E14" s="203">
        <v>0.44510928176871922</v>
      </c>
      <c r="F14" s="203">
        <v>0.49114945777346669</v>
      </c>
      <c r="G14" s="203">
        <v>0.5322883467097359</v>
      </c>
      <c r="H14" s="203">
        <v>0.57403068868447205</v>
      </c>
      <c r="I14" s="203">
        <v>0.61337428839547525</v>
      </c>
      <c r="J14" s="203">
        <v>0.64904564239725582</v>
      </c>
      <c r="K14" s="203">
        <v>0.67808038219458588</v>
      </c>
      <c r="L14" s="203">
        <v>0.69037783388759333</v>
      </c>
      <c r="M14" s="203">
        <v>0.71764545979533367</v>
      </c>
      <c r="N14" s="203">
        <v>0.74706215130965126</v>
      </c>
      <c r="P14" s="202">
        <v>0.04</v>
      </c>
      <c r="Q14" s="203">
        <v>0.42445596605637625</v>
      </c>
      <c r="R14" s="203">
        <v>0.4440759223907611</v>
      </c>
      <c r="S14" s="203">
        <v>0.46875617591994234</v>
      </c>
      <c r="T14" s="203">
        <v>0.50161825660261017</v>
      </c>
      <c r="U14" s="203">
        <v>0.53959553186131759</v>
      </c>
      <c r="V14" s="203">
        <v>0.57883779171134209</v>
      </c>
      <c r="W14" s="203">
        <v>0.61317579039652326</v>
      </c>
      <c r="X14" s="203">
        <v>0.62817481857149482</v>
      </c>
      <c r="Y14" s="203">
        <v>0.66216104134440279</v>
      </c>
      <c r="Z14" s="203">
        <v>0.70144031782463978</v>
      </c>
      <c r="AB14" s="202">
        <v>0.04</v>
      </c>
      <c r="AC14" s="203">
        <v>0.40161976137134148</v>
      </c>
      <c r="AD14" s="203">
        <v>0.40588111347049538</v>
      </c>
      <c r="AE14" s="203">
        <v>0.41311807535137351</v>
      </c>
      <c r="AF14" s="203">
        <v>0.4263686796347248</v>
      </c>
      <c r="AG14" s="203">
        <v>0.44796402180034689</v>
      </c>
      <c r="AH14" s="203">
        <v>0.47852926787796773</v>
      </c>
      <c r="AI14" s="203">
        <v>0.51215447057044805</v>
      </c>
      <c r="AJ14" s="203">
        <v>0.5285678544829171</v>
      </c>
      <c r="AK14" s="203">
        <v>0.56854709264807723</v>
      </c>
      <c r="AL14" s="203">
        <v>0.61856539989269754</v>
      </c>
    </row>
    <row r="15" spans="1:38" x14ac:dyDescent="0.25">
      <c r="A15" s="198" t="s">
        <v>667</v>
      </c>
      <c r="B15" s="198">
        <v>2</v>
      </c>
      <c r="D15" s="202">
        <v>4.4999999999999998E-2</v>
      </c>
      <c r="E15" s="203">
        <v>0.46659240494386839</v>
      </c>
      <c r="F15" s="203">
        <v>0.51183637865657372</v>
      </c>
      <c r="G15" s="203">
        <v>0.55200432599099825</v>
      </c>
      <c r="H15" s="203">
        <v>0.59259821159630088</v>
      </c>
      <c r="I15" s="203">
        <v>0.63077209347159768</v>
      </c>
      <c r="J15" s="203">
        <v>0.66536401083791674</v>
      </c>
      <c r="K15" s="203">
        <v>0.69355429450576134</v>
      </c>
      <c r="L15" s="203">
        <v>0.70551944058036287</v>
      </c>
      <c r="M15" s="203">
        <v>0.7321741103962045</v>
      </c>
      <c r="N15" s="203">
        <v>0.76175535006304618</v>
      </c>
      <c r="P15" s="202">
        <v>4.4999999999999998E-2</v>
      </c>
      <c r="Q15" s="203">
        <v>0.4445382417381834</v>
      </c>
      <c r="R15" s="203">
        <v>0.46411362556003188</v>
      </c>
      <c r="S15" s="203">
        <v>0.48851837046697433</v>
      </c>
      <c r="T15" s="203">
        <v>0.5208300309724907</v>
      </c>
      <c r="U15" s="203">
        <v>0.55801552880197003</v>
      </c>
      <c r="V15" s="203">
        <v>0.59634400840591228</v>
      </c>
      <c r="W15" s="203">
        <v>0.62986469148717028</v>
      </c>
      <c r="X15" s="203">
        <v>0.64451970132144898</v>
      </c>
      <c r="Y15" s="203">
        <v>0.6778237774888074</v>
      </c>
      <c r="Z15" s="203">
        <v>0.71694440524567482</v>
      </c>
      <c r="AB15" s="202">
        <v>4.4999999999999998E-2</v>
      </c>
      <c r="AC15" s="203">
        <v>0.42188677492582211</v>
      </c>
      <c r="AD15" s="203">
        <v>0.42631856539876301</v>
      </c>
      <c r="AE15" s="203">
        <v>0.43363144532337189</v>
      </c>
      <c r="AF15" s="203">
        <v>0.44685366648591929</v>
      </c>
      <c r="AG15" s="203">
        <v>0.46823011986918389</v>
      </c>
      <c r="AH15" s="203">
        <v>0.49829712318397523</v>
      </c>
      <c r="AI15" s="203">
        <v>0.53121047127844279</v>
      </c>
      <c r="AJ15" s="203">
        <v>0.54723081874047108</v>
      </c>
      <c r="AK15" s="203">
        <v>0.5861638694360729</v>
      </c>
      <c r="AL15" s="203">
        <v>0.6347693741378202</v>
      </c>
    </row>
    <row r="16" spans="1:38" x14ac:dyDescent="0.25">
      <c r="A16" s="198" t="s">
        <v>668</v>
      </c>
      <c r="B16" s="198">
        <v>2</v>
      </c>
      <c r="D16" s="202">
        <v>0.05</v>
      </c>
      <c r="E16" s="203">
        <v>0.48598375761714091</v>
      </c>
      <c r="F16" s="203">
        <v>0.53042488428696599</v>
      </c>
      <c r="G16" s="203">
        <v>0.56966466969091445</v>
      </c>
      <c r="H16" s="203">
        <v>0.60918872969848836</v>
      </c>
      <c r="I16" s="203">
        <v>0.64628893364287499</v>
      </c>
      <c r="J16" s="203">
        <v>0.67989749026712865</v>
      </c>
      <c r="K16" s="203">
        <v>0.70732010680205548</v>
      </c>
      <c r="L16" s="203">
        <v>0.71898264053216665</v>
      </c>
      <c r="M16" s="203">
        <v>0.74507406111391827</v>
      </c>
      <c r="N16" s="203">
        <v>0.77475852560438963</v>
      </c>
      <c r="P16" s="202">
        <v>0.05</v>
      </c>
      <c r="Q16" s="203">
        <v>0.46268713750702084</v>
      </c>
      <c r="R16" s="203">
        <v>0.48218840430047133</v>
      </c>
      <c r="S16" s="203">
        <v>0.50630560366638966</v>
      </c>
      <c r="T16" s="203">
        <v>0.53807817405320069</v>
      </c>
      <c r="U16" s="203">
        <v>0.57451312026351531</v>
      </c>
      <c r="V16" s="203">
        <v>0.61199146074406729</v>
      </c>
      <c r="W16" s="203">
        <v>0.64475866081582978</v>
      </c>
      <c r="X16" s="203">
        <v>0.6590971609448566</v>
      </c>
      <c r="Y16" s="203">
        <v>0.69177073709309467</v>
      </c>
      <c r="Z16" s="203">
        <v>0.73071024040339794</v>
      </c>
      <c r="AB16" s="202">
        <v>0.05</v>
      </c>
      <c r="AC16" s="203">
        <v>0.44024884232186967</v>
      </c>
      <c r="AD16" s="203">
        <v>0.44482884395856553</v>
      </c>
      <c r="AE16" s="203">
        <v>0.45219688470974423</v>
      </c>
      <c r="AF16" s="203">
        <v>0.46536743333484965</v>
      </c>
      <c r="AG16" s="203">
        <v>0.48650616821333642</v>
      </c>
      <c r="AH16" s="203">
        <v>0.51607551103007787</v>
      </c>
      <c r="AI16" s="203">
        <v>0.54830630210173492</v>
      </c>
      <c r="AJ16" s="203">
        <v>0.56395682542094538</v>
      </c>
      <c r="AK16" s="203">
        <v>0.60191928212985879</v>
      </c>
      <c r="AL16" s="203">
        <v>0.64923222785068668</v>
      </c>
    </row>
    <row r="17" spans="1:38" x14ac:dyDescent="0.25">
      <c r="A17" s="198" t="s">
        <v>669</v>
      </c>
      <c r="B17" s="198">
        <v>2</v>
      </c>
      <c r="D17" s="202">
        <v>5.5E-2</v>
      </c>
      <c r="E17" s="203">
        <v>0.50364543457257549</v>
      </c>
      <c r="F17" s="203">
        <v>0.54729104616273549</v>
      </c>
      <c r="G17" s="203">
        <v>0.58564623609920541</v>
      </c>
      <c r="H17" s="203">
        <v>0.6241706310570555</v>
      </c>
      <c r="I17" s="203">
        <v>0.66027895955864602</v>
      </c>
      <c r="J17" s="203">
        <v>0.69298424421319404</v>
      </c>
      <c r="K17" s="203">
        <v>0.71970254073367224</v>
      </c>
      <c r="L17" s="203">
        <v>0.73108686290429825</v>
      </c>
      <c r="M17" s="203">
        <v>0.75665587768359288</v>
      </c>
      <c r="N17" s="203">
        <v>0.78639444857493324</v>
      </c>
      <c r="P17" s="202">
        <v>5.5E-2</v>
      </c>
      <c r="Q17" s="203">
        <v>0.47924057113978719</v>
      </c>
      <c r="R17" s="203">
        <v>0.49864746598640108</v>
      </c>
      <c r="S17" s="203">
        <v>0.52247250247167509</v>
      </c>
      <c r="T17" s="203">
        <v>0.5537213469536395</v>
      </c>
      <c r="U17" s="203">
        <v>0.5894447919483613</v>
      </c>
      <c r="V17" s="203">
        <v>0.62612868586437176</v>
      </c>
      <c r="W17" s="203">
        <v>0.65819652540631668</v>
      </c>
      <c r="X17" s="203">
        <v>0.67224156744435937</v>
      </c>
      <c r="Y17" s="203">
        <v>0.70432772218013373</v>
      </c>
      <c r="Z17" s="203">
        <v>0.74306866630656632</v>
      </c>
      <c r="AB17" s="202">
        <v>5.5E-2</v>
      </c>
      <c r="AC17" s="203">
        <v>0.45703248205008096</v>
      </c>
      <c r="AD17" s="203">
        <v>0.46174232342601573</v>
      </c>
      <c r="AE17" s="203">
        <v>0.46914971681425971</v>
      </c>
      <c r="AF17" s="203">
        <v>0.48225265725438504</v>
      </c>
      <c r="AG17" s="203">
        <v>0.50314374334219836</v>
      </c>
      <c r="AH17" s="203">
        <v>0.53222300869398909</v>
      </c>
      <c r="AI17" s="203">
        <v>0.56380151348407659</v>
      </c>
      <c r="AJ17" s="203">
        <v>0.57910365417538801</v>
      </c>
      <c r="AK17" s="203">
        <v>0.616161721899395</v>
      </c>
      <c r="AL17" s="203">
        <v>0.66228327720182567</v>
      </c>
    </row>
    <row r="18" spans="1:38" x14ac:dyDescent="0.25">
      <c r="A18" s="198" t="s">
        <v>670</v>
      </c>
      <c r="B18" s="198">
        <v>2</v>
      </c>
      <c r="D18" s="202">
        <v>0.06</v>
      </c>
      <c r="E18" s="203">
        <v>0.51985299791154205</v>
      </c>
      <c r="F18" s="203">
        <v>0.56271815187133334</v>
      </c>
      <c r="G18" s="203">
        <v>0.60023095364648094</v>
      </c>
      <c r="H18" s="203">
        <v>0.63781812021661022</v>
      </c>
      <c r="I18" s="203">
        <v>0.67300492277454393</v>
      </c>
      <c r="J18" s="203">
        <v>0.7048746762003899</v>
      </c>
      <c r="K18" s="203">
        <v>0.73094179830268802</v>
      </c>
      <c r="L18" s="203">
        <v>0.74206831988454414</v>
      </c>
      <c r="M18" s="203">
        <v>0.76714910649981616</v>
      </c>
      <c r="N18" s="203">
        <v>0.79690167722176874</v>
      </c>
      <c r="P18" s="202">
        <v>0.06</v>
      </c>
      <c r="Q18" s="203">
        <v>0.49445495662531802</v>
      </c>
      <c r="R18" s="203">
        <v>0.51375335133360922</v>
      </c>
      <c r="S18" s="203">
        <v>0.53728601851225366</v>
      </c>
      <c r="T18" s="203">
        <v>0.56802814256064171</v>
      </c>
      <c r="U18" s="203">
        <v>0.60307626279031334</v>
      </c>
      <c r="V18" s="203">
        <v>0.63901457810459572</v>
      </c>
      <c r="W18" s="203">
        <v>0.67042944214854205</v>
      </c>
      <c r="X18" s="203">
        <v>0.68420060563080898</v>
      </c>
      <c r="Y18" s="203">
        <v>0.71573580591133312</v>
      </c>
      <c r="Z18" s="203">
        <v>0.75426437128195456</v>
      </c>
      <c r="AB18" s="202">
        <v>0.06</v>
      </c>
      <c r="AC18" s="203">
        <v>0.47248685876533481</v>
      </c>
      <c r="AD18" s="203">
        <v>0.47731110329420751</v>
      </c>
      <c r="AE18" s="203">
        <v>0.48474551486004325</v>
      </c>
      <c r="AF18" s="203">
        <v>0.49776977887220136</v>
      </c>
      <c r="AG18" s="203">
        <v>0.5184087901163964</v>
      </c>
      <c r="AH18" s="203">
        <v>0.54700923853390371</v>
      </c>
      <c r="AI18" s="203">
        <v>0.57796501480588547</v>
      </c>
      <c r="AJ18" s="203">
        <v>0.59293831305306377</v>
      </c>
      <c r="AK18" s="203">
        <v>0.62915011849519376</v>
      </c>
      <c r="AL18" s="203">
        <v>0.67416646954606374</v>
      </c>
    </row>
    <row r="19" spans="1:38" x14ac:dyDescent="0.25">
      <c r="A19" s="198" t="s">
        <v>671</v>
      </c>
      <c r="B19" s="198">
        <v>2</v>
      </c>
      <c r="D19" s="202">
        <v>6.5000000000000002E-2</v>
      </c>
      <c r="E19" s="203">
        <v>0.53482102673013843</v>
      </c>
      <c r="F19" s="203">
        <v>0.57692492121161598</v>
      </c>
      <c r="G19" s="203">
        <v>0.61363524924243085</v>
      </c>
      <c r="H19" s="203">
        <v>0.65034081778642439</v>
      </c>
      <c r="I19" s="203">
        <v>0.68466715043336612</v>
      </c>
      <c r="J19" s="203">
        <v>0.71575939377456366</v>
      </c>
      <c r="K19" s="203">
        <v>0.74122056638571676</v>
      </c>
      <c r="L19" s="203">
        <v>0.75210661704105919</v>
      </c>
      <c r="M19" s="203">
        <v>0.77672821505585288</v>
      </c>
      <c r="N19" s="203">
        <v>0.80646152260597848</v>
      </c>
      <c r="P19" s="202">
        <v>6.5000000000000002E-2</v>
      </c>
      <c r="Q19" s="203">
        <v>0.50852947576061003</v>
      </c>
      <c r="R19" s="203">
        <v>0.52770940492681429</v>
      </c>
      <c r="S19" s="203">
        <v>0.55095214201542597</v>
      </c>
      <c r="T19" s="203">
        <v>0.58120492747690855</v>
      </c>
      <c r="U19" s="203">
        <v>0.61561090281765996</v>
      </c>
      <c r="V19" s="203">
        <v>0.65084671734682087</v>
      </c>
      <c r="W19" s="203">
        <v>0.68164875648669232</v>
      </c>
      <c r="X19" s="203">
        <v>0.69516287019684697</v>
      </c>
      <c r="Y19" s="203">
        <v>0.72617838280120539</v>
      </c>
      <c r="Z19" s="203">
        <v>0.76448342812288617</v>
      </c>
      <c r="AB19" s="202">
        <v>6.5000000000000002E-2</v>
      </c>
      <c r="AC19" s="203">
        <v>0.48680643903362081</v>
      </c>
      <c r="AD19" s="203">
        <v>0.49173193578687824</v>
      </c>
      <c r="AE19" s="203">
        <v>0.49918354418032834</v>
      </c>
      <c r="AF19" s="203">
        <v>0.51212137811914449</v>
      </c>
      <c r="AG19" s="203">
        <v>0.53250735463971066</v>
      </c>
      <c r="AH19" s="203">
        <v>0.5606420574195401</v>
      </c>
      <c r="AI19" s="203">
        <v>0.59100319354760866</v>
      </c>
      <c r="AJ19" s="203">
        <v>0.60566536440833363</v>
      </c>
      <c r="AK19" s="203">
        <v>0.64108216943016283</v>
      </c>
      <c r="AL19" s="203">
        <v>0.68506755764125438</v>
      </c>
    </row>
    <row r="20" spans="1:38" x14ac:dyDescent="0.25">
      <c r="A20" s="198" t="s">
        <v>672</v>
      </c>
      <c r="B20" s="198">
        <v>2</v>
      </c>
      <c r="D20" s="202">
        <v>7.0000000000000007E-2</v>
      </c>
      <c r="E20" s="203">
        <v>0.54871988182439835</v>
      </c>
      <c r="F20" s="203">
        <v>0.59008375019163573</v>
      </c>
      <c r="G20" s="203">
        <v>0.62602888879973129</v>
      </c>
      <c r="H20" s="203">
        <v>0.66190257433008159</v>
      </c>
      <c r="I20" s="203">
        <v>0.69542187668102406</v>
      </c>
      <c r="J20" s="203">
        <v>0.7257868515672582</v>
      </c>
      <c r="K20" s="203">
        <v>0.75068102938387116</v>
      </c>
      <c r="L20" s="203">
        <v>0.7613415100826737</v>
      </c>
      <c r="M20" s="203">
        <v>0.78552891557182059</v>
      </c>
      <c r="N20" s="203">
        <v>0.81521501623598946</v>
      </c>
      <c r="P20" s="202">
        <v>7.0000000000000007E-2</v>
      </c>
      <c r="Q20" s="203">
        <v>0.52162193744545071</v>
      </c>
      <c r="R20" s="203">
        <v>0.54067633414127292</v>
      </c>
      <c r="S20" s="203">
        <v>0.56363315760152</v>
      </c>
      <c r="T20" s="203">
        <v>0.59341369333247451</v>
      </c>
      <c r="U20" s="203">
        <v>0.62720783228853982</v>
      </c>
      <c r="V20" s="203">
        <v>0.66177932193990807</v>
      </c>
      <c r="W20" s="203">
        <v>0.69200360520199788</v>
      </c>
      <c r="X20" s="203">
        <v>0.70527528505248527</v>
      </c>
      <c r="Y20" s="203">
        <v>0.73579821740326934</v>
      </c>
      <c r="Z20" s="203">
        <v>0.77387063935054878</v>
      </c>
      <c r="AB20" s="202">
        <v>7.0000000000000007E-2</v>
      </c>
      <c r="AC20" s="203">
        <v>0.5001459156032515</v>
      </c>
      <c r="AD20" s="203">
        <v>0.50516132850577289</v>
      </c>
      <c r="AE20" s="203">
        <v>0.51262217753380712</v>
      </c>
      <c r="AF20" s="203">
        <v>0.5254681382303058</v>
      </c>
      <c r="AG20" s="203">
        <v>0.54560232283795862</v>
      </c>
      <c r="AH20" s="203">
        <v>0.57328509140474748</v>
      </c>
      <c r="AI20" s="203">
        <v>0.60307791085134677</v>
      </c>
      <c r="AJ20" s="203">
        <v>0.61744499687619703</v>
      </c>
      <c r="AK20" s="203">
        <v>0.65211224425447867</v>
      </c>
      <c r="AL20" s="203">
        <v>0.69513125393733055</v>
      </c>
    </row>
    <row r="21" spans="1:38" x14ac:dyDescent="0.25">
      <c r="A21" s="198" t="s">
        <v>673</v>
      </c>
      <c r="B21" s="198">
        <v>2</v>
      </c>
      <c r="D21" s="202">
        <v>7.4999999999999997E-2</v>
      </c>
      <c r="E21" s="203">
        <v>0.56168707808833074</v>
      </c>
      <c r="F21" s="203">
        <v>0.60233293432387625</v>
      </c>
      <c r="G21" s="203">
        <v>0.6375474958513454</v>
      </c>
      <c r="H21" s="203">
        <v>0.67263389606226098</v>
      </c>
      <c r="I21" s="203">
        <v>0.70539330292431657</v>
      </c>
      <c r="J21" s="203">
        <v>0.73507493193275542</v>
      </c>
      <c r="K21" s="203">
        <v>0.75943602240214059</v>
      </c>
      <c r="L21" s="203">
        <v>0.76988388615668446</v>
      </c>
      <c r="M21" s="203">
        <v>0.79365885630028121</v>
      </c>
      <c r="N21" s="203">
        <v>0.82327402270470407</v>
      </c>
      <c r="P21" s="202">
        <v>7.4999999999999997E-2</v>
      </c>
      <c r="Q21" s="203">
        <v>0.53385949774752939</v>
      </c>
      <c r="R21" s="203">
        <v>0.55278335457127503</v>
      </c>
      <c r="S21" s="203">
        <v>0.57545919597687079</v>
      </c>
      <c r="T21" s="203">
        <v>0.60478393285006493</v>
      </c>
      <c r="U21" s="203">
        <v>0.63799389542722507</v>
      </c>
      <c r="V21" s="203">
        <v>0.6719350766607971</v>
      </c>
      <c r="W21" s="203">
        <v>0.70161248493909978</v>
      </c>
      <c r="X21" s="203">
        <v>0.7146545420589443</v>
      </c>
      <c r="Y21" s="203">
        <v>0.7447086250706707</v>
      </c>
      <c r="Z21" s="203">
        <v>0.78254090615745486</v>
      </c>
      <c r="AB21" s="202">
        <v>7.4999999999999997E-2</v>
      </c>
      <c r="AC21" s="203">
        <v>0.51263036502987114</v>
      </c>
      <c r="AD21" s="203">
        <v>0.51772582308686288</v>
      </c>
      <c r="AE21" s="203">
        <v>0.52518937138864841</v>
      </c>
      <c r="AF21" s="203">
        <v>0.53793965756406092</v>
      </c>
      <c r="AG21" s="203">
        <v>0.55782469196957174</v>
      </c>
      <c r="AH21" s="203">
        <v>0.58506945822859913</v>
      </c>
      <c r="AI21" s="203">
        <v>0.6143184549154489</v>
      </c>
      <c r="AJ21" s="203">
        <v>0.62840499853949849</v>
      </c>
      <c r="AK21" s="203">
        <v>0.66236318827439067</v>
      </c>
      <c r="AL21" s="203">
        <v>0.70447249559990177</v>
      </c>
    </row>
    <row r="22" spans="1:38" x14ac:dyDescent="0.25">
      <c r="A22" s="198" t="s">
        <v>674</v>
      </c>
      <c r="B22" s="198">
        <v>2</v>
      </c>
      <c r="D22" s="202">
        <v>0.08</v>
      </c>
      <c r="E22" s="203">
        <v>0.57383522069638915</v>
      </c>
      <c r="F22" s="203">
        <v>0.61378510857102053</v>
      </c>
      <c r="G22" s="203">
        <v>0.64830113451486848</v>
      </c>
      <c r="H22" s="203">
        <v>0.68264042054894036</v>
      </c>
      <c r="I22" s="203">
        <v>0.7146817973086369</v>
      </c>
      <c r="J22" s="203">
        <v>0.74371880297915383</v>
      </c>
      <c r="K22" s="203">
        <v>0.76757659139579537</v>
      </c>
      <c r="L22" s="203">
        <v>0.77782320512223879</v>
      </c>
      <c r="M22" s="203">
        <v>0.80120486277293923</v>
      </c>
      <c r="N22" s="203">
        <v>0.83072876603871326</v>
      </c>
      <c r="P22" s="202">
        <v>0.08</v>
      </c>
      <c r="Q22" s="203">
        <v>0.54534611812411893</v>
      </c>
      <c r="R22" s="203">
        <v>0.56413591599957336</v>
      </c>
      <c r="S22" s="203">
        <v>0.58653620455056144</v>
      </c>
      <c r="T22" s="203">
        <v>0.61542079086598811</v>
      </c>
      <c r="U22" s="203">
        <v>0.64807183948959235</v>
      </c>
      <c r="V22" s="203">
        <v>0.68141318389885541</v>
      </c>
      <c r="W22" s="203">
        <v>0.7105711102577118</v>
      </c>
      <c r="X22" s="203">
        <v>0.72339486561400823</v>
      </c>
      <c r="Y22" s="203">
        <v>0.75300105306750742</v>
      </c>
      <c r="Z22" s="203">
        <v>0.79058693349655274</v>
      </c>
      <c r="AB22" s="202">
        <v>0.08</v>
      </c>
      <c r="AC22" s="203">
        <v>0.52436235637042206</v>
      </c>
      <c r="AD22" s="203">
        <v>0.5295291883721055</v>
      </c>
      <c r="AE22" s="203">
        <v>0.53698998829755851</v>
      </c>
      <c r="AF22" s="203">
        <v>0.54964198418305488</v>
      </c>
      <c r="AG22" s="203">
        <v>0.56928138705292952</v>
      </c>
      <c r="AH22" s="203">
        <v>0.59610184645626418</v>
      </c>
      <c r="AI22" s="203">
        <v>0.62482973422668875</v>
      </c>
      <c r="AJ22" s="203">
        <v>0.63864894571013919</v>
      </c>
      <c r="AK22" s="203">
        <v>0.67193436174201204</v>
      </c>
      <c r="AL22" s="203">
        <v>0.7131840913754135</v>
      </c>
    </row>
    <row r="23" spans="1:38" x14ac:dyDescent="0.25">
      <c r="A23" s="198" t="s">
        <v>675</v>
      </c>
      <c r="B23" s="198">
        <v>2</v>
      </c>
      <c r="D23" s="202">
        <v>8.5000000000000006E-2</v>
      </c>
      <c r="E23" s="203">
        <v>0.58525768030337444</v>
      </c>
      <c r="F23" s="203">
        <v>0.62453322762003549</v>
      </c>
      <c r="G23" s="203">
        <v>0.65838035413964491</v>
      </c>
      <c r="H23" s="203">
        <v>0.6920088595500441</v>
      </c>
      <c r="I23" s="203">
        <v>0.7233696277036471</v>
      </c>
      <c r="J23" s="203">
        <v>0.75179640361924815</v>
      </c>
      <c r="K23" s="203">
        <v>0.77517726560865652</v>
      </c>
      <c r="L23" s="203">
        <v>0.78523268767420373</v>
      </c>
      <c r="M23" s="203">
        <v>0.8082379843625116</v>
      </c>
      <c r="N23" s="203">
        <v>0.8376530747945532</v>
      </c>
      <c r="P23" s="202">
        <v>8.5000000000000006E-2</v>
      </c>
      <c r="Q23" s="203">
        <v>0.55616788477998336</v>
      </c>
      <c r="R23" s="203">
        <v>0.5748211953755068</v>
      </c>
      <c r="S23" s="203">
        <v>0.59695159173259316</v>
      </c>
      <c r="T23" s="203">
        <v>0.62541080999838761</v>
      </c>
      <c r="U23" s="203">
        <v>0.65752605664907382</v>
      </c>
      <c r="V23" s="203">
        <v>0.69029499874849642</v>
      </c>
      <c r="W23" s="203">
        <v>0.71895790363499923</v>
      </c>
      <c r="X23" s="203">
        <v>0.73157343417828169</v>
      </c>
      <c r="Y23" s="203">
        <v>0.76075036898492288</v>
      </c>
      <c r="Z23" s="203">
        <v>0.79808460281807347</v>
      </c>
      <c r="AB23" s="202">
        <v>8.5000000000000006E-2</v>
      </c>
      <c r="AC23" s="203">
        <v>0.53542704723304935</v>
      </c>
      <c r="AD23" s="203">
        <v>0.5406575768797135</v>
      </c>
      <c r="AE23" s="203">
        <v>0.54811104033237135</v>
      </c>
      <c r="AF23" s="203">
        <v>0.5606629974249302</v>
      </c>
      <c r="AG23" s="203">
        <v>0.58006082003941117</v>
      </c>
      <c r="AH23" s="203">
        <v>0.6064702309290434</v>
      </c>
      <c r="AI23" s="203">
        <v>0.63469804639649252</v>
      </c>
      <c r="AJ23" s="203">
        <v>0.64826195774362505</v>
      </c>
      <c r="AK23" s="203">
        <v>0.68090726926317335</v>
      </c>
      <c r="AL23" s="203">
        <v>0.72134206103684551</v>
      </c>
    </row>
    <row r="24" spans="1:38" x14ac:dyDescent="0.25">
      <c r="A24" s="198" t="s">
        <v>676</v>
      </c>
      <c r="B24" s="198">
        <v>2</v>
      </c>
      <c r="D24" s="202">
        <v>0.09</v>
      </c>
      <c r="E24" s="203">
        <v>0.5960327387407629</v>
      </c>
      <c r="F24" s="203">
        <v>0.63465489950486931</v>
      </c>
      <c r="G24" s="203">
        <v>0.66786054636503611</v>
      </c>
      <c r="H24" s="203">
        <v>0.7008112663000291</v>
      </c>
      <c r="I24" s="203">
        <v>0.73152506823222907</v>
      </c>
      <c r="J24" s="203">
        <v>0.75937236679596631</v>
      </c>
      <c r="K24" s="203">
        <v>0.78229982582301283</v>
      </c>
      <c r="L24" s="203">
        <v>0.7921730224579463</v>
      </c>
      <c r="M24" s="203">
        <v>0.81481709894476562</v>
      </c>
      <c r="N24" s="203">
        <v>0.84410812843172545</v>
      </c>
      <c r="P24" s="202">
        <v>0.09</v>
      </c>
      <c r="Q24" s="203">
        <v>0.5663968854617577</v>
      </c>
      <c r="R24" s="203">
        <v>0.58491208912679782</v>
      </c>
      <c r="S24" s="203">
        <v>0.60677831492681422</v>
      </c>
      <c r="T24" s="203">
        <v>0.6348260754776448</v>
      </c>
      <c r="U24" s="203">
        <v>0.66642671137338261</v>
      </c>
      <c r="V24" s="203">
        <v>0.69864806902261822</v>
      </c>
      <c r="W24" s="203">
        <v>0.72683792529865598</v>
      </c>
      <c r="X24" s="203">
        <v>0.73925425912054676</v>
      </c>
      <c r="Y24" s="203">
        <v>0.76801864125158126</v>
      </c>
      <c r="Z24" s="203">
        <v>0.80509681151763857</v>
      </c>
      <c r="AB24" s="202">
        <v>0.09</v>
      </c>
      <c r="AC24" s="203">
        <v>0.5458959144858706</v>
      </c>
      <c r="AD24" s="203">
        <v>0.55118329965571433</v>
      </c>
      <c r="AE24" s="203">
        <v>0.55862552397357046</v>
      </c>
      <c r="AF24" s="203">
        <v>0.57107633498867005</v>
      </c>
      <c r="AG24" s="203">
        <v>0.59023693143119138</v>
      </c>
      <c r="AH24" s="203">
        <v>0.61624800869419205</v>
      </c>
      <c r="AI24" s="203">
        <v>0.64399523557211447</v>
      </c>
      <c r="AJ24" s="203">
        <v>0.65731483753056841</v>
      </c>
      <c r="AK24" s="203">
        <v>0.68934959742337665</v>
      </c>
      <c r="AL24" s="203">
        <v>0.7290094555763853</v>
      </c>
    </row>
    <row r="25" spans="1:38" x14ac:dyDescent="0.25">
      <c r="A25" s="198" t="s">
        <v>677</v>
      </c>
      <c r="B25" s="198">
        <v>2</v>
      </c>
      <c r="D25" s="202">
        <v>9.5000000000000001E-2</v>
      </c>
      <c r="E25" s="203">
        <v>0.60622667466561941</v>
      </c>
      <c r="F25" s="203">
        <v>0.64421558837643034</v>
      </c>
      <c r="G25" s="203">
        <v>0.67680515019761289</v>
      </c>
      <c r="H25" s="203">
        <v>0.70910816399401322</v>
      </c>
      <c r="I25" s="203">
        <v>0.73920540345042984</v>
      </c>
      <c r="J25" s="203">
        <v>0.76650088591087706</v>
      </c>
      <c r="K25" s="203">
        <v>0.7889960557023723</v>
      </c>
      <c r="L25" s="203">
        <v>0.79869507221574287</v>
      </c>
      <c r="M25" s="203">
        <v>0.82099154342445779</v>
      </c>
      <c r="N25" s="203">
        <v>0.85014519119045007</v>
      </c>
      <c r="P25" s="202">
        <v>9.5000000000000001E-2</v>
      </c>
      <c r="Q25" s="203">
        <v>0.57609408908671478</v>
      </c>
      <c r="R25" s="203">
        <v>0.59447017139348279</v>
      </c>
      <c r="S25" s="203">
        <v>0.61607790036073573</v>
      </c>
      <c r="T25" s="203">
        <v>0.64372726622916743</v>
      </c>
      <c r="U25" s="203">
        <v>0.67483276917165824</v>
      </c>
      <c r="V25" s="203">
        <v>0.70652909308599932</v>
      </c>
      <c r="W25" s="203">
        <v>0.73426574644694342</v>
      </c>
      <c r="X25" s="203">
        <v>0.74649101939705442</v>
      </c>
      <c r="Y25" s="203">
        <v>0.77485789996617349</v>
      </c>
      <c r="Z25" s="203">
        <v>0.81167627595292557</v>
      </c>
      <c r="AB25" s="202">
        <v>9.5000000000000001E-2</v>
      </c>
      <c r="AC25" s="203">
        <v>0.55582953635341348</v>
      </c>
      <c r="AD25" s="203">
        <v>0.56116764122982521</v>
      </c>
      <c r="AE25" s="203">
        <v>0.56859527745002181</v>
      </c>
      <c r="AF25" s="203">
        <v>0.58094431316921269</v>
      </c>
      <c r="AG25" s="203">
        <v>0.59987218583106561</v>
      </c>
      <c r="AH25" s="203">
        <v>0.62549705190995508</v>
      </c>
      <c r="AI25" s="203">
        <v>0.65278175011010087</v>
      </c>
      <c r="AJ25" s="203">
        <v>0.66586711233131046</v>
      </c>
      <c r="AK25" s="203">
        <v>0.69731817195727619</v>
      </c>
      <c r="AL25" s="203">
        <v>0.73623914906718591</v>
      </c>
    </row>
    <row r="26" spans="1:38" x14ac:dyDescent="0.25">
      <c r="A26" s="198" t="s">
        <v>678</v>
      </c>
      <c r="B26" s="198">
        <v>2</v>
      </c>
      <c r="D26" s="202">
        <v>0.1</v>
      </c>
      <c r="E26" s="203">
        <v>0.61589609866091144</v>
      </c>
      <c r="F26" s="203">
        <v>0.65327102303726259</v>
      </c>
      <c r="G26" s="203">
        <v>0.68526805231610155</v>
      </c>
      <c r="H26" s="203">
        <v>0.71695088176200528</v>
      </c>
      <c r="I26" s="203">
        <v>0.74645916725292327</v>
      </c>
      <c r="J26" s="203">
        <v>0.77322784866565064</v>
      </c>
      <c r="K26" s="203">
        <v>0.79530978874076741</v>
      </c>
      <c r="L26" s="203">
        <v>0.804841886743488</v>
      </c>
      <c r="M26" s="203">
        <v>0.8268030698962433</v>
      </c>
      <c r="N26" s="203">
        <v>0.8558076450679033</v>
      </c>
      <c r="P26" s="202">
        <v>0.1</v>
      </c>
      <c r="Q26" s="203">
        <v>0.58531152098728523</v>
      </c>
      <c r="R26" s="203">
        <v>0.60354792382794875</v>
      </c>
      <c r="S26" s="203">
        <v>0.62490271310776724</v>
      </c>
      <c r="T26" s="203">
        <v>0.65216594125925986</v>
      </c>
      <c r="U26" s="203">
        <v>0.68279425996626852</v>
      </c>
      <c r="V26" s="203">
        <v>0.7139861257455955</v>
      </c>
      <c r="W26" s="203">
        <v>0.74128758943826112</v>
      </c>
      <c r="X26" s="203">
        <v>0.75332917220285445</v>
      </c>
      <c r="Y26" s="203">
        <v>0.78131219126036344</v>
      </c>
      <c r="Z26" s="203">
        <v>0.81786761663341179</v>
      </c>
      <c r="AB26" s="202">
        <v>0.1</v>
      </c>
      <c r="AC26" s="203">
        <v>0.56527970139279504</v>
      </c>
      <c r="AD26" s="203">
        <v>0.57066299346092275</v>
      </c>
      <c r="AE26" s="203">
        <v>0.57807314510310093</v>
      </c>
      <c r="AF26" s="203">
        <v>0.59032013496063884</v>
      </c>
      <c r="AG26" s="203">
        <v>0.60901983039280727</v>
      </c>
      <c r="AH26" s="203">
        <v>0.63427000117402321</v>
      </c>
      <c r="AI26" s="203">
        <v>0.66110893212998467</v>
      </c>
      <c r="AJ26" s="203">
        <v>0.67396930781119535</v>
      </c>
      <c r="AK26" s="203">
        <v>0.70486116385884978</v>
      </c>
      <c r="AL26" s="203">
        <v>0.74307591746387425</v>
      </c>
    </row>
    <row r="27" spans="1:38" x14ac:dyDescent="0.25">
      <c r="A27" s="198" t="s">
        <v>679</v>
      </c>
      <c r="B27" s="198">
        <v>2</v>
      </c>
      <c r="D27" s="202">
        <v>0.105</v>
      </c>
      <c r="E27" s="203">
        <v>0.62508974673615814</v>
      </c>
      <c r="F27" s="203">
        <v>0.66186903646335848</v>
      </c>
      <c r="G27" s="203">
        <v>0.6932954135398659</v>
      </c>
      <c r="H27" s="203">
        <v>0.72438332747040268</v>
      </c>
      <c r="I27" s="203">
        <v>0.75332783913890544</v>
      </c>
      <c r="J27" s="203">
        <v>0.77959245210942341</v>
      </c>
      <c r="K27" s="203">
        <v>0.80127845672299836</v>
      </c>
      <c r="L27" s="203">
        <v>0.81065022538930565</v>
      </c>
      <c r="M27" s="203">
        <v>0.83228732481869816</v>
      </c>
      <c r="N27" s="203">
        <v>0.86113252704950027</v>
      </c>
      <c r="P27" s="202">
        <v>0.105</v>
      </c>
      <c r="Q27" s="203">
        <v>0.59409393092238083</v>
      </c>
      <c r="R27" s="203">
        <v>0.61219044213876672</v>
      </c>
      <c r="S27" s="203">
        <v>0.63329769017982696</v>
      </c>
      <c r="T27" s="203">
        <v>0.66018628039561644</v>
      </c>
      <c r="U27" s="203">
        <v>0.69035399706137857</v>
      </c>
      <c r="V27" s="203">
        <v>0.72106025053270895</v>
      </c>
      <c r="W27" s="203">
        <v>0.74794294851426069</v>
      </c>
      <c r="X27" s="203">
        <v>0.7598075507668226</v>
      </c>
      <c r="Y27" s="203">
        <v>0.78741913160516686</v>
      </c>
      <c r="Z27" s="203">
        <v>0.82370893547116619</v>
      </c>
      <c r="AB27" s="202">
        <v>0.105</v>
      </c>
      <c r="AC27" s="203">
        <v>0.57429103079362531</v>
      </c>
      <c r="AD27" s="203">
        <v>0.57971449693978605</v>
      </c>
      <c r="AE27" s="203">
        <v>0.58710464115601568</v>
      </c>
      <c r="AF27" s="203">
        <v>0.59924958476570001</v>
      </c>
      <c r="AG27" s="203">
        <v>0.61772562365020023</v>
      </c>
      <c r="AH27" s="203">
        <v>0.64261201534889323</v>
      </c>
      <c r="AI27" s="203">
        <v>0.66902075946459993</v>
      </c>
      <c r="AJ27" s="203">
        <v>0.68166467621236049</v>
      </c>
      <c r="AK27" s="203">
        <v>0.71201976231315123</v>
      </c>
      <c r="AL27" s="203">
        <v>0.7495580123064719</v>
      </c>
    </row>
    <row r="28" spans="1:38" x14ac:dyDescent="0.25">
      <c r="A28" s="198" t="s">
        <v>680</v>
      </c>
      <c r="B28" s="198">
        <v>3</v>
      </c>
      <c r="D28" s="202">
        <v>0.11</v>
      </c>
      <c r="E28" s="203">
        <v>0.63384987631069489</v>
      </c>
      <c r="F28" s="203">
        <v>0.67005099037509819</v>
      </c>
      <c r="G28" s="203">
        <v>0.70092707859919756</v>
      </c>
      <c r="H28" s="203">
        <v>0.73144335281165851</v>
      </c>
      <c r="I28" s="203">
        <v>0.75984714839085976</v>
      </c>
      <c r="J28" s="203">
        <v>0.78562844325846626</v>
      </c>
      <c r="K28" s="203">
        <v>0.80693427863010492</v>
      </c>
      <c r="L28" s="203">
        <v>0.81615172585578843</v>
      </c>
      <c r="M28" s="203">
        <v>0.83747498430452383</v>
      </c>
      <c r="N28" s="203">
        <v>0.86615170894014215</v>
      </c>
      <c r="P28" s="202">
        <v>0.11</v>
      </c>
      <c r="Q28" s="203">
        <v>0.60248008948806753</v>
      </c>
      <c r="R28" s="203">
        <v>0.62043676014423699</v>
      </c>
      <c r="S28" s="203">
        <v>0.64130168223142503</v>
      </c>
      <c r="T28" s="203">
        <v>0.66782642855123875</v>
      </c>
      <c r="U28" s="203">
        <v>0.69754890165519134</v>
      </c>
      <c r="V28" s="203">
        <v>0.72778686615168731</v>
      </c>
      <c r="W28" s="203">
        <v>0.75426583537913938</v>
      </c>
      <c r="X28" s="203">
        <v>0.76595959192495278</v>
      </c>
      <c r="Y28" s="203">
        <v>0.79321110136870043</v>
      </c>
      <c r="Z28" s="203">
        <v>0.82923302669728316</v>
      </c>
      <c r="AB28" s="202">
        <v>0.11</v>
      </c>
      <c r="AC28" s="203">
        <v>0.58290224284582504</v>
      </c>
      <c r="AD28" s="203">
        <v>0.58836132032689314</v>
      </c>
      <c r="AE28" s="203">
        <v>0.59572924570579666</v>
      </c>
      <c r="AF28" s="203">
        <v>0.60777234660881485</v>
      </c>
      <c r="AG28" s="203">
        <v>0.62602917711101591</v>
      </c>
      <c r="AH28" s="203">
        <v>0.65056212548221393</v>
      </c>
      <c r="AI28" s="203">
        <v>0.67655519002548781</v>
      </c>
      <c r="AJ28" s="203">
        <v>0.68899052872132971</v>
      </c>
      <c r="AK28" s="203">
        <v>0.71882946197780606</v>
      </c>
      <c r="AL28" s="203">
        <v>0.75571836979874885</v>
      </c>
    </row>
    <row r="29" spans="1:38" x14ac:dyDescent="0.25">
      <c r="A29" s="198" t="s">
        <v>681</v>
      </c>
      <c r="B29" s="198">
        <v>3</v>
      </c>
      <c r="D29" s="202">
        <v>0.115</v>
      </c>
      <c r="E29" s="203">
        <v>0.64221336593529488</v>
      </c>
      <c r="F29" s="203">
        <v>0.6778528923484507</v>
      </c>
      <c r="G29" s="203">
        <v>0.70819767832714609</v>
      </c>
      <c r="H29" s="203">
        <v>0.73816381827095456</v>
      </c>
      <c r="I29" s="203">
        <v>0.76604809013326236</v>
      </c>
      <c r="J29" s="203">
        <v>0.79136508485583623</v>
      </c>
      <c r="K29" s="203">
        <v>0.81230518574644761</v>
      </c>
      <c r="L29" s="203">
        <v>0.82137381354532313</v>
      </c>
      <c r="M29" s="203">
        <v>0.84239263721623769</v>
      </c>
      <c r="N29" s="203">
        <v>0.87089281509342475</v>
      </c>
      <c r="P29" s="202">
        <v>0.115</v>
      </c>
      <c r="Q29" s="203">
        <v>0.61050380804694226</v>
      </c>
      <c r="R29" s="203">
        <v>0.62832088981083112</v>
      </c>
      <c r="S29" s="203">
        <v>0.64894850537320059</v>
      </c>
      <c r="T29" s="203">
        <v>0.67511954717021927</v>
      </c>
      <c r="U29" s="203">
        <v>0.70441103676644401</v>
      </c>
      <c r="V29" s="203">
        <v>0.7341966892243208</v>
      </c>
      <c r="W29" s="203">
        <v>0.76028574924099768</v>
      </c>
      <c r="X29" s="203">
        <v>0.77181429186874739</v>
      </c>
      <c r="Y29" s="203">
        <v>0.79871617365799774</v>
      </c>
      <c r="Z29" s="203">
        <v>0.83446831902992569</v>
      </c>
      <c r="AB29" s="202">
        <v>0.115</v>
      </c>
      <c r="AC29" s="203">
        <v>0.5911471502999347</v>
      </c>
      <c r="AD29" s="203">
        <v>0.59663766942774066</v>
      </c>
      <c r="AE29" s="203">
        <v>0.60398142637835228</v>
      </c>
      <c r="AF29" s="203">
        <v>0.61592304196792824</v>
      </c>
      <c r="AG29" s="203">
        <v>0.63396500925109645</v>
      </c>
      <c r="AH29" s="203">
        <v>0.65815429567476891</v>
      </c>
      <c r="AI29" s="203">
        <v>0.68374521274034494</v>
      </c>
      <c r="AJ29" s="203">
        <v>0.69597927606585663</v>
      </c>
      <c r="AK29" s="203">
        <v>0.72532106661068663</v>
      </c>
      <c r="AL29" s="203">
        <v>0.76158555216693358</v>
      </c>
    </row>
    <row r="30" spans="1:38" x14ac:dyDescent="0.25">
      <c r="A30" s="198" t="s">
        <v>682</v>
      </c>
      <c r="B30" s="198">
        <v>3</v>
      </c>
      <c r="D30" s="202">
        <v>0.12</v>
      </c>
      <c r="E30" s="203">
        <v>0.65021259113879826</v>
      </c>
      <c r="F30" s="203">
        <v>0.68530628181172204</v>
      </c>
      <c r="G30" s="203">
        <v>0.71513750144474453</v>
      </c>
      <c r="H30" s="203">
        <v>0.74457343382658914</v>
      </c>
      <c r="I30" s="203">
        <v>0.77195772643203808</v>
      </c>
      <c r="J30" s="203">
        <v>0.79682791625538663</v>
      </c>
      <c r="K30" s="203">
        <v>0.81741555023293067</v>
      </c>
      <c r="L30" s="203">
        <v>0.82634041763512311</v>
      </c>
      <c r="M30" s="203">
        <v>0.84706348044458257</v>
      </c>
      <c r="N30" s="203">
        <v>0.87537994494840043</v>
      </c>
      <c r="P30" s="202">
        <v>0.12</v>
      </c>
      <c r="Q30" s="203">
        <v>0.61819475004819768</v>
      </c>
      <c r="R30" s="203">
        <v>0.63587264738596838</v>
      </c>
      <c r="S30" s="203">
        <v>0.65626777515282908</v>
      </c>
      <c r="T30" s="203">
        <v>0.68209464621139948</v>
      </c>
      <c r="U30" s="203">
        <v>0.7109684238724161</v>
      </c>
      <c r="V30" s="203">
        <v>0.74031654524834778</v>
      </c>
      <c r="W30" s="203">
        <v>0.76602844136974457</v>
      </c>
      <c r="X30" s="203">
        <v>0.77739695924501107</v>
      </c>
      <c r="Y30" s="203">
        <v>0.80395884591536482</v>
      </c>
      <c r="Z30" s="203">
        <v>0.8394396176368446</v>
      </c>
      <c r="AB30" s="202">
        <v>0.12</v>
      </c>
      <c r="AC30" s="203">
        <v>0.59905545559302831</v>
      </c>
      <c r="AD30" s="203">
        <v>0.60457359174946557</v>
      </c>
      <c r="AE30" s="203">
        <v>0.61189145251162902</v>
      </c>
      <c r="AF30" s="203">
        <v>0.62373205587841007</v>
      </c>
      <c r="AG30" s="203">
        <v>0.64156338286084746</v>
      </c>
      <c r="AH30" s="203">
        <v>0.66541826386465841</v>
      </c>
      <c r="AI30" s="203">
        <v>0.69061967871268715</v>
      </c>
      <c r="AJ30" s="203">
        <v>0.70265925080727476</v>
      </c>
      <c r="AK30" s="203">
        <v>0.73152148089256197</v>
      </c>
      <c r="AL30" s="203">
        <v>0.76718448942793416</v>
      </c>
    </row>
    <row r="31" spans="1:38" x14ac:dyDescent="0.25">
      <c r="A31" s="198" t="s">
        <v>683</v>
      </c>
      <c r="B31" s="198">
        <v>3</v>
      </c>
      <c r="D31" s="202">
        <v>0.125</v>
      </c>
      <c r="E31" s="203">
        <v>0.65787612895705661</v>
      </c>
      <c r="F31" s="203">
        <v>0.69243894003245821</v>
      </c>
      <c r="G31" s="203">
        <v>0.72177319142569341</v>
      </c>
      <c r="H31" s="203">
        <v>0.75069742977363663</v>
      </c>
      <c r="I31" s="203">
        <v>0.77759982479918033</v>
      </c>
      <c r="J31" s="203">
        <v>0.8020393594688956</v>
      </c>
      <c r="K31" s="203">
        <v>0.82228676523395983</v>
      </c>
      <c r="L31" s="203">
        <v>0.83107254117131368</v>
      </c>
      <c r="M31" s="203">
        <v>0.85150787235437475</v>
      </c>
      <c r="N31" s="203">
        <v>0.87963424816658276</v>
      </c>
      <c r="P31" s="202">
        <v>0.125</v>
      </c>
      <c r="Q31" s="203">
        <v>0.6255790829335317</v>
      </c>
      <c r="R31" s="203">
        <v>0.64311831633890626</v>
      </c>
      <c r="S31" s="203">
        <v>0.6632855746932419</v>
      </c>
      <c r="T31" s="203">
        <v>0.68877724944268715</v>
      </c>
      <c r="U31" s="203">
        <v>0.71724569485323264</v>
      </c>
      <c r="V31" s="203">
        <v>0.74616999927821714</v>
      </c>
      <c r="W31" s="203">
        <v>0.77151652428842643</v>
      </c>
      <c r="X31" s="203">
        <v>0.78272981507768624</v>
      </c>
      <c r="Y31" s="203">
        <v>0.80896062249172518</v>
      </c>
      <c r="Z31" s="203">
        <v>0.84416869486905921</v>
      </c>
      <c r="AB31" s="202">
        <v>0.125</v>
      </c>
      <c r="AC31" s="203">
        <v>0.60665339119091577</v>
      </c>
      <c r="AD31" s="203">
        <v>0.61219562434905661</v>
      </c>
      <c r="AE31" s="203">
        <v>0.61948605045838379</v>
      </c>
      <c r="AF31" s="203">
        <v>0.63122620111686489</v>
      </c>
      <c r="AG31" s="203">
        <v>0.6488509770787666</v>
      </c>
      <c r="AH31" s="203">
        <v>0.67238021514122992</v>
      </c>
      <c r="AI31" s="203">
        <v>0.69720396554997921</v>
      </c>
      <c r="AJ31" s="203">
        <v>0.70905536407957226</v>
      </c>
      <c r="AK31" s="203">
        <v>0.73745434191847226</v>
      </c>
      <c r="AL31" s="203">
        <v>0.77253707028951379</v>
      </c>
    </row>
    <row r="32" spans="1:38" x14ac:dyDescent="0.25">
      <c r="A32" s="198" t="s">
        <v>684</v>
      </c>
      <c r="B32" s="198">
        <v>3</v>
      </c>
      <c r="D32" s="202">
        <v>0.13</v>
      </c>
      <c r="E32" s="203">
        <v>0.66522932984702354</v>
      </c>
      <c r="F32" s="203">
        <v>0.69927546445480937</v>
      </c>
      <c r="G32" s="203">
        <v>0.7281283089372137</v>
      </c>
      <c r="H32" s="203">
        <v>0.7565580972673428</v>
      </c>
      <c r="I32" s="203">
        <v>0.78299537216371529</v>
      </c>
      <c r="J32" s="203">
        <v>0.80701920671267813</v>
      </c>
      <c r="K32" s="203">
        <v>0.82693771140567374</v>
      </c>
      <c r="L32" s="203">
        <v>0.83558871949949087</v>
      </c>
      <c r="M32" s="203">
        <v>0.8557437777606417</v>
      </c>
      <c r="N32" s="203">
        <v>0.88367438704317458</v>
      </c>
      <c r="P32" s="202">
        <v>0.13</v>
      </c>
      <c r="Q32" s="203">
        <v>0.63268000679940128</v>
      </c>
      <c r="R32" s="203">
        <v>0.65008118432774376</v>
      </c>
      <c r="S32" s="203">
        <v>0.67002499505375102</v>
      </c>
      <c r="T32" s="203">
        <v>0.69518993158258968</v>
      </c>
      <c r="U32" s="203">
        <v>0.72326461755905014</v>
      </c>
      <c r="V32" s="203">
        <v>0.75177786378874134</v>
      </c>
      <c r="W32" s="203">
        <v>0.77676996200956727</v>
      </c>
      <c r="X32" s="203">
        <v>0.78783247544190982</v>
      </c>
      <c r="Y32" s="203">
        <v>0.81374048320192205</v>
      </c>
      <c r="Z32" s="203">
        <v>0.84867476531012487</v>
      </c>
      <c r="AB32" s="202">
        <v>0.13</v>
      </c>
      <c r="AC32" s="203">
        <v>0.61396423989294469</v>
      </c>
      <c r="AD32" s="203">
        <v>0.61952732023159107</v>
      </c>
      <c r="AE32" s="203">
        <v>0.62678893582013073</v>
      </c>
      <c r="AF32" s="203">
        <v>0.63842925711703113</v>
      </c>
      <c r="AG32" s="203">
        <v>0.65585143179312178</v>
      </c>
      <c r="AH32" s="203">
        <v>0.67906332608868047</v>
      </c>
      <c r="AI32" s="203">
        <v>0.70352051349810396</v>
      </c>
      <c r="AJ32" s="203">
        <v>0.71518963522905887</v>
      </c>
      <c r="AK32" s="203">
        <v>0.74314052780368367</v>
      </c>
      <c r="AL32" s="203">
        <v>0.77766261756962241</v>
      </c>
    </row>
    <row r="33" spans="1:38" x14ac:dyDescent="0.25">
      <c r="A33" s="198" t="s">
        <v>685</v>
      </c>
      <c r="B33" s="198">
        <v>3</v>
      </c>
      <c r="D33" s="202">
        <v>0.13500000000000001</v>
      </c>
      <c r="E33" s="203">
        <v>0.67229478585719338</v>
      </c>
      <c r="F33" s="203">
        <v>0.70583773734657196</v>
      </c>
      <c r="G33" s="203">
        <v>0.73422378982075232</v>
      </c>
      <c r="H33" s="203">
        <v>0.76217522781640423</v>
      </c>
      <c r="I33" s="203">
        <v>0.78816299236481235</v>
      </c>
      <c r="J33" s="203">
        <v>0.81178501621495036</v>
      </c>
      <c r="K33" s="203">
        <v>0.83138513554792481</v>
      </c>
      <c r="L33" s="203">
        <v>0.83990539229101346</v>
      </c>
      <c r="M33" s="203">
        <v>0.8597871289864526</v>
      </c>
      <c r="N33" s="203">
        <v>0.88751691170836833</v>
      </c>
      <c r="P33" s="202">
        <v>0.13500000000000001</v>
      </c>
      <c r="Q33" s="203">
        <v>0.63951818675920746</v>
      </c>
      <c r="R33" s="203">
        <v>0.65678198186937908</v>
      </c>
      <c r="S33" s="203">
        <v>0.67650657606083686</v>
      </c>
      <c r="T33" s="203">
        <v>0.70135275581596457</v>
      </c>
      <c r="U33" s="203">
        <v>0.72904452330353697</v>
      </c>
      <c r="V33" s="203">
        <v>0.75715861134945095</v>
      </c>
      <c r="W33" s="203">
        <v>0.78180646814561039</v>
      </c>
      <c r="X33" s="203">
        <v>0.79272234335667813</v>
      </c>
      <c r="Y33" s="203">
        <v>0.81831526363431595</v>
      </c>
      <c r="Z33" s="203">
        <v>0.85297487130507843</v>
      </c>
      <c r="AB33" s="202">
        <v>0.13500000000000001</v>
      </c>
      <c r="AC33" s="203">
        <v>0.62100876112883963</v>
      </c>
      <c r="AD33" s="203">
        <v>0.62658967963540224</v>
      </c>
      <c r="AE33" s="203">
        <v>0.63382124934657613</v>
      </c>
      <c r="AF33" s="203">
        <v>0.64536241094148816</v>
      </c>
      <c r="AG33" s="203">
        <v>0.66258579243810001</v>
      </c>
      <c r="AH33" s="203">
        <v>0.6854882087132429</v>
      </c>
      <c r="AI33" s="203">
        <v>0.70958926196701344</v>
      </c>
      <c r="AJ33" s="203">
        <v>0.72108162277519361</v>
      </c>
      <c r="AK33" s="203">
        <v>0.7485985710280183</v>
      </c>
      <c r="AL33" s="203">
        <v>0.78257827420160275</v>
      </c>
    </row>
    <row r="34" spans="1:38" x14ac:dyDescent="0.25">
      <c r="A34" s="198" t="s">
        <v>686</v>
      </c>
      <c r="B34" s="198">
        <v>3</v>
      </c>
      <c r="D34" s="202">
        <v>0.14000000000000001</v>
      </c>
      <c r="E34" s="203">
        <v>0.67909271684858263</v>
      </c>
      <c r="F34" s="203">
        <v>0.71214531126890535</v>
      </c>
      <c r="G34" s="203">
        <v>0.74007832106233939</v>
      </c>
      <c r="H34" s="203">
        <v>0.76756647358007912</v>
      </c>
      <c r="I34" s="203">
        <v>0.79311928811488897</v>
      </c>
      <c r="J34" s="203">
        <v>0.81635243624939102</v>
      </c>
      <c r="K34" s="203">
        <v>0.83564396049261103</v>
      </c>
      <c r="L34" s="203">
        <v>0.84403720799959692</v>
      </c>
      <c r="M34" s="203">
        <v>0.86365212130561919</v>
      </c>
      <c r="N34" s="203">
        <v>0.89117656714062565</v>
      </c>
      <c r="P34" s="202">
        <v>0.14000000000000001</v>
      </c>
      <c r="Q34" s="203">
        <v>0.64611210931774976</v>
      </c>
      <c r="R34" s="203">
        <v>0.66323924354501762</v>
      </c>
      <c r="S34" s="203">
        <v>0.68274866882845409</v>
      </c>
      <c r="T34" s="203">
        <v>0.70728363306674225</v>
      </c>
      <c r="U34" s="203">
        <v>0.73460265745709519</v>
      </c>
      <c r="V34" s="203">
        <v>0.76232871274801195</v>
      </c>
      <c r="W34" s="203">
        <v>0.78664183191802617</v>
      </c>
      <c r="X34" s="203">
        <v>0.79741492964451444</v>
      </c>
      <c r="Y34" s="203">
        <v>0.82269996643660448</v>
      </c>
      <c r="Z34" s="203">
        <v>0.85708419847947814</v>
      </c>
      <c r="AB34" s="202">
        <v>0.14000000000000001</v>
      </c>
      <c r="AC34" s="203">
        <v>0.62780554292100232</v>
      </c>
      <c r="AD34" s="203">
        <v>0.63340150610970147</v>
      </c>
      <c r="AE34" s="203">
        <v>0.64060191669549293</v>
      </c>
      <c r="AF34" s="203">
        <v>0.65204462092287385</v>
      </c>
      <c r="AG34" s="203">
        <v>0.66907287628360612</v>
      </c>
      <c r="AH34" s="203">
        <v>0.69167327539414847</v>
      </c>
      <c r="AI34" s="203">
        <v>0.71542800786189498</v>
      </c>
      <c r="AJ34" s="203">
        <v>0.72674877796449378</v>
      </c>
      <c r="AK34" s="203">
        <v>0.7538449971586445</v>
      </c>
      <c r="AL34" s="203">
        <v>0.78729931927564856</v>
      </c>
    </row>
    <row r="35" spans="1:38" x14ac:dyDescent="0.25">
      <c r="A35" s="198" t="s">
        <v>687</v>
      </c>
      <c r="B35" s="198">
        <v>3</v>
      </c>
      <c r="D35" s="202">
        <v>0.14499999999999999</v>
      </c>
      <c r="E35" s="203">
        <v>0.6856412913991119</v>
      </c>
      <c r="F35" s="203">
        <v>0.71821572847828419</v>
      </c>
      <c r="G35" s="203">
        <v>0.74570865176762535</v>
      </c>
      <c r="H35" s="203">
        <v>0.77274764500033633</v>
      </c>
      <c r="I35" s="203">
        <v>0.7978791232589868</v>
      </c>
      <c r="J35" s="203">
        <v>0.82073547246797962</v>
      </c>
      <c r="K35" s="203">
        <v>0.83972754070219713</v>
      </c>
      <c r="L35" s="203">
        <v>0.84799727496036514</v>
      </c>
      <c r="M35" s="203">
        <v>0.86735145657895196</v>
      </c>
      <c r="N35" s="203">
        <v>0.89466654634267384</v>
      </c>
      <c r="P35" s="202">
        <v>0.14499999999999999</v>
      </c>
      <c r="Q35" s="203">
        <v>0.65247837824109089</v>
      </c>
      <c r="R35" s="203">
        <v>0.66946960759806651</v>
      </c>
      <c r="S35" s="203">
        <v>0.68876773609025332</v>
      </c>
      <c r="T35" s="203">
        <v>0.71299861924049246</v>
      </c>
      <c r="U35" s="203">
        <v>0.73995446916492169</v>
      </c>
      <c r="V35" s="203">
        <v>0.76730291616215229</v>
      </c>
      <c r="W35" s="203">
        <v>0.79129018718870825</v>
      </c>
      <c r="X35" s="203">
        <v>0.80192411766936345</v>
      </c>
      <c r="Y35" s="203">
        <v>0.82690801808564085</v>
      </c>
      <c r="Z35" s="203">
        <v>0.86101633597147975</v>
      </c>
      <c r="AB35" s="202">
        <v>0.14499999999999999</v>
      </c>
      <c r="AC35" s="203">
        <v>0.63437129454381769</v>
      </c>
      <c r="AD35" s="203">
        <v>0.63997970259336534</v>
      </c>
      <c r="AE35" s="203">
        <v>0.6471479474751537</v>
      </c>
      <c r="AF35" s="203">
        <v>0.65849291869787874</v>
      </c>
      <c r="AG35" s="203">
        <v>0.67532957628092982</v>
      </c>
      <c r="AH35" s="203">
        <v>0.69763504114085928</v>
      </c>
      <c r="AI35" s="203">
        <v>0.72105270194841276</v>
      </c>
      <c r="AJ35" s="203">
        <v>0.7322067370246792</v>
      </c>
      <c r="AK35" s="203">
        <v>0.7588946045553745</v>
      </c>
      <c r="AL35" s="203">
        <v>0.79183942880285407</v>
      </c>
    </row>
    <row r="36" spans="1:38" x14ac:dyDescent="0.25">
      <c r="A36" s="198" t="s">
        <v>688</v>
      </c>
      <c r="B36" s="198">
        <v>4</v>
      </c>
      <c r="D36" s="202">
        <v>0.15</v>
      </c>
      <c r="E36" s="203">
        <v>0.69195689521424475</v>
      </c>
      <c r="F36" s="203">
        <v>0.72406478739998592</v>
      </c>
      <c r="G36" s="203">
        <v>0.75112985217537964</v>
      </c>
      <c r="H36" s="203">
        <v>0.77773295840943812</v>
      </c>
      <c r="I36" s="203">
        <v>0.80245585741801262</v>
      </c>
      <c r="J36" s="203">
        <v>0.82494671003769038</v>
      </c>
      <c r="K36" s="203">
        <v>0.84364787460644985</v>
      </c>
      <c r="L36" s="203">
        <v>0.85179736997381394</v>
      </c>
      <c r="M36" s="203">
        <v>0.8708965456169635</v>
      </c>
      <c r="N36" s="203">
        <v>0.89799870062643883</v>
      </c>
      <c r="P36" s="202">
        <v>0.15</v>
      </c>
      <c r="Q36" s="203">
        <v>0.65863196184489703</v>
      </c>
      <c r="R36" s="203">
        <v>0.67548806611900436</v>
      </c>
      <c r="S36" s="203">
        <v>0.69457860272177951</v>
      </c>
      <c r="T36" s="203">
        <v>0.71851216286077335</v>
      </c>
      <c r="U36" s="203">
        <v>0.74511385244941475</v>
      </c>
      <c r="V36" s="203">
        <v>0.77209447929940422</v>
      </c>
      <c r="W36" s="203">
        <v>0.79576423606097479</v>
      </c>
      <c r="X36" s="203">
        <v>0.80626238333520928</v>
      </c>
      <c r="Y36" s="203">
        <v>0.83095148221156334</v>
      </c>
      <c r="Z36" s="203">
        <v>0.86478349260964082</v>
      </c>
      <c r="AB36" s="202">
        <v>0.15</v>
      </c>
      <c r="AC36" s="203">
        <v>0.64072109148063316</v>
      </c>
      <c r="AD36" s="203">
        <v>0.64633951923212707</v>
      </c>
      <c r="AE36" s="203">
        <v>0.65347468546574616</v>
      </c>
      <c r="AF36" s="203">
        <v>0.6647226617494344</v>
      </c>
      <c r="AG36" s="203">
        <v>0.68137111481858548</v>
      </c>
      <c r="AH36" s="203">
        <v>0.70338837565237167</v>
      </c>
      <c r="AI36" s="203">
        <v>0.72647769568217646</v>
      </c>
      <c r="AJ36" s="203">
        <v>0.737469564446674</v>
      </c>
      <c r="AK36" s="203">
        <v>0.76376069698359605</v>
      </c>
      <c r="AL36" s="203">
        <v>0.79621089241278087</v>
      </c>
    </row>
    <row r="37" spans="1:38" x14ac:dyDescent="0.25">
      <c r="A37" s="198" t="s">
        <v>689</v>
      </c>
      <c r="B37" s="198">
        <v>4</v>
      </c>
      <c r="D37" s="202">
        <v>0.155</v>
      </c>
      <c r="E37" s="203">
        <v>0.69805435702262753</v>
      </c>
      <c r="F37" s="203">
        <v>0.72970676636135323</v>
      </c>
      <c r="G37" s="203">
        <v>0.75635553079224638</v>
      </c>
      <c r="H37" s="203">
        <v>0.78253524337514935</v>
      </c>
      <c r="I37" s="203">
        <v>0.8068615423412725</v>
      </c>
      <c r="J37" s="203">
        <v>0.82899749945114298</v>
      </c>
      <c r="K37" s="203">
        <v>0.84741578217726188</v>
      </c>
      <c r="L37" s="203">
        <v>0.85544811273067212</v>
      </c>
      <c r="M37" s="203">
        <v>0.87429767738520048</v>
      </c>
      <c r="N37" s="203">
        <v>0.90118371544149101</v>
      </c>
      <c r="P37" s="202">
        <v>0.155</v>
      </c>
      <c r="Q37" s="203">
        <v>0.66458640097012467</v>
      </c>
      <c r="R37" s="203">
        <v>0.6813081752854343</v>
      </c>
      <c r="S37" s="203">
        <v>0.70019466604838565</v>
      </c>
      <c r="T37" s="203">
        <v>0.7238373127136396</v>
      </c>
      <c r="U37" s="203">
        <v>0.75009334816931961</v>
      </c>
      <c r="V37" s="203">
        <v>0.77671536370377847</v>
      </c>
      <c r="W37" s="203">
        <v>0.80007543595622121</v>
      </c>
      <c r="X37" s="203">
        <v>0.81044097912240154</v>
      </c>
      <c r="Y37" s="203">
        <v>0.83484123800951537</v>
      </c>
      <c r="Z37" s="203">
        <v>0.86839667769360396</v>
      </c>
      <c r="AB37" s="202">
        <v>0.155</v>
      </c>
      <c r="AC37" s="203">
        <v>0.64686858171494743</v>
      </c>
      <c r="AD37" s="203">
        <v>0.6524947620770094</v>
      </c>
      <c r="AE37" s="203">
        <v>0.65959601928261624</v>
      </c>
      <c r="AF37" s="203">
        <v>0.67074774588084851</v>
      </c>
      <c r="AG37" s="203">
        <v>0.68721125698180208</v>
      </c>
      <c r="AH37" s="203">
        <v>0.70894671486187255</v>
      </c>
      <c r="AI37" s="203">
        <v>0.7317159481174299</v>
      </c>
      <c r="AJ37" s="203">
        <v>0.74254995682331981</v>
      </c>
      <c r="AK37" s="203">
        <v>0.76845527834011584</v>
      </c>
      <c r="AL37" s="203">
        <v>0.80042479462930749</v>
      </c>
    </row>
    <row r="38" spans="1:38" x14ac:dyDescent="0.25">
      <c r="A38" s="198" t="s">
        <v>690</v>
      </c>
      <c r="B38" s="198">
        <v>4</v>
      </c>
      <c r="D38" s="202">
        <v>0.16</v>
      </c>
      <c r="E38" s="203">
        <v>0.70394713979022216</v>
      </c>
      <c r="F38" s="203">
        <v>0.73515461255602432</v>
      </c>
      <c r="G38" s="203">
        <v>0.761398017520311</v>
      </c>
      <c r="H38" s="203">
        <v>0.78716611739302389</v>
      </c>
      <c r="I38" s="203">
        <v>0.81110708723016334</v>
      </c>
      <c r="J38" s="203">
        <v>0.8328981129145111</v>
      </c>
      <c r="K38" s="203">
        <v>0.85104105435471344</v>
      </c>
      <c r="L38" s="203">
        <v>0.85895911257826729</v>
      </c>
      <c r="M38" s="203">
        <v>0.87756416136532311</v>
      </c>
      <c r="N38" s="203">
        <v>0.90423125830772677</v>
      </c>
      <c r="P38" s="202">
        <v>0.16</v>
      </c>
      <c r="Q38" s="203">
        <v>0.67035398491518861</v>
      </c>
      <c r="R38" s="203">
        <v>0.68694223307425117</v>
      </c>
      <c r="S38" s="203">
        <v>0.70562807344483469</v>
      </c>
      <c r="T38" s="203">
        <v>0.72898589300857619</v>
      </c>
      <c r="U38" s="203">
        <v>0.75490431422234217</v>
      </c>
      <c r="V38" s="203">
        <v>0.78117639839543485</v>
      </c>
      <c r="W38" s="203">
        <v>0.80423415709963475</v>
      </c>
      <c r="X38" s="203">
        <v>0.81447008899326989</v>
      </c>
      <c r="Y38" s="203">
        <v>0.83858713037867749</v>
      </c>
      <c r="Z38" s="203">
        <v>0.87186585311283249</v>
      </c>
      <c r="AB38" s="202">
        <v>0.16</v>
      </c>
      <c r="AC38" s="203">
        <v>0.65282616045617825</v>
      </c>
      <c r="AD38" s="203">
        <v>0.65845796984780969</v>
      </c>
      <c r="AE38" s="203">
        <v>0.66552456075652633</v>
      </c>
      <c r="AF38" s="203">
        <v>0.6765807850164256</v>
      </c>
      <c r="AG38" s="203">
        <v>0.6928624908316604</v>
      </c>
      <c r="AH38" s="203">
        <v>0.71432223953849827</v>
      </c>
      <c r="AI38" s="203">
        <v>0.73677920040067579</v>
      </c>
      <c r="AJ38" s="203">
        <v>0.74745941467831356</v>
      </c>
      <c r="AK38" s="203">
        <v>0.77298921666397447</v>
      </c>
      <c r="AL38" s="203">
        <v>0.80449116745346827</v>
      </c>
    </row>
    <row r="39" spans="1:38" x14ac:dyDescent="0.25">
      <c r="A39" s="198" t="s">
        <v>691</v>
      </c>
      <c r="B39" s="198">
        <v>4</v>
      </c>
      <c r="D39" s="202">
        <v>0.16500000000000001</v>
      </c>
      <c r="E39" s="203">
        <v>0.70964750345257543</v>
      </c>
      <c r="F39" s="203">
        <v>0.74042010252804458</v>
      </c>
      <c r="G39" s="203">
        <v>0.76626851897519188</v>
      </c>
      <c r="H39" s="203">
        <v>0.79163613390846121</v>
      </c>
      <c r="I39" s="203">
        <v>0.81520239873724576</v>
      </c>
      <c r="J39" s="203">
        <v>0.83665787673232694</v>
      </c>
      <c r="K39" s="203">
        <v>0.85453257951472783</v>
      </c>
      <c r="L39" s="203">
        <v>0.86233909272997467</v>
      </c>
      <c r="M39" s="203">
        <v>0.8807044480257431</v>
      </c>
      <c r="N39" s="203">
        <v>0.90715010400032048</v>
      </c>
      <c r="P39" s="202">
        <v>0.16500000000000001</v>
      </c>
      <c r="Q39" s="203">
        <v>0.67594590107240449</v>
      </c>
      <c r="R39" s="203">
        <v>0.69240143030427426</v>
      </c>
      <c r="S39" s="203">
        <v>0.7108898731472687</v>
      </c>
      <c r="T39" s="203">
        <v>0.73396865196931838</v>
      </c>
      <c r="U39" s="203">
        <v>0.75955706980114546</v>
      </c>
      <c r="V39" s="203">
        <v>0.78548741847419101</v>
      </c>
      <c r="W39" s="203">
        <v>0.80824981585984035</v>
      </c>
      <c r="X39" s="203">
        <v>0.81835895953089499</v>
      </c>
      <c r="Y39" s="203">
        <v>0.84219809700025949</v>
      </c>
      <c r="Z39" s="203">
        <v>0.87520006208929391</v>
      </c>
      <c r="AB39" s="202">
        <v>0.16500000000000001</v>
      </c>
      <c r="AC39" s="203">
        <v>0.65860511892424467</v>
      </c>
      <c r="AD39" s="203">
        <v>0.66424056445192647</v>
      </c>
      <c r="AE39" s="203">
        <v>0.6712717967914319</v>
      </c>
      <c r="AF39" s="203">
        <v>0.68223326417840802</v>
      </c>
      <c r="AG39" s="203">
        <v>0.69833618064114622</v>
      </c>
      <c r="AH39" s="203">
        <v>0.71952602691676637</v>
      </c>
      <c r="AI39" s="203">
        <v>0.74167812375846698</v>
      </c>
      <c r="AJ39" s="203">
        <v>0.75220838813412028</v>
      </c>
      <c r="AK39" s="203">
        <v>0.77737238306866741</v>
      </c>
      <c r="AL39" s="203">
        <v>0.80841911953642698</v>
      </c>
    </row>
    <row r="40" spans="1:38" x14ac:dyDescent="0.25">
      <c r="A40" s="198" t="s">
        <v>692</v>
      </c>
      <c r="B40" s="198">
        <v>5</v>
      </c>
      <c r="D40" s="202">
        <v>0.17</v>
      </c>
      <c r="E40" s="203">
        <v>0.7151666441092317</v>
      </c>
      <c r="F40" s="203">
        <v>0.74551397917642526</v>
      </c>
      <c r="G40" s="203">
        <v>0.77097725091335667</v>
      </c>
      <c r="H40" s="203">
        <v>0.79595490841020589</v>
      </c>
      <c r="I40" s="203">
        <v>0.8191565001577823</v>
      </c>
      <c r="J40" s="203">
        <v>0.84028528397876179</v>
      </c>
      <c r="K40" s="203">
        <v>0.8578984510853469</v>
      </c>
      <c r="L40" s="203">
        <v>0.86559599595419023</v>
      </c>
      <c r="M40" s="203">
        <v>0.8837262313208355</v>
      </c>
      <c r="N40" s="203">
        <v>0.90994824105959415</v>
      </c>
      <c r="P40" s="202">
        <v>0.17</v>
      </c>
      <c r="Q40" s="203">
        <v>0.68137236284848113</v>
      </c>
      <c r="R40" s="203">
        <v>0.69769597967252472</v>
      </c>
      <c r="S40" s="203">
        <v>0.71599014298441643</v>
      </c>
      <c r="T40" s="203">
        <v>0.73879538854898197</v>
      </c>
      <c r="U40" s="203">
        <v>0.76406101830916284</v>
      </c>
      <c r="V40" s="203">
        <v>0.78965738314723199</v>
      </c>
      <c r="W40" s="203">
        <v>0.81213098825317265</v>
      </c>
      <c r="X40" s="203">
        <v>0.82211601155687264</v>
      </c>
      <c r="Y40" s="203">
        <v>0.84568227647863714</v>
      </c>
      <c r="Z40" s="203">
        <v>0.87840753872651123</v>
      </c>
      <c r="AB40" s="202">
        <v>0.17</v>
      </c>
      <c r="AC40" s="203">
        <v>0.66421577168173185</v>
      </c>
      <c r="AD40" s="203">
        <v>0.66985297979995484</v>
      </c>
      <c r="AE40" s="203">
        <v>0.67684821929564321</v>
      </c>
      <c r="AF40" s="203">
        <v>0.68771567030348191</v>
      </c>
      <c r="AG40" s="203">
        <v>0.70364269781463651</v>
      </c>
      <c r="AH40" s="203">
        <v>0.7245681800987247</v>
      </c>
      <c r="AI40" s="203">
        <v>0.74642244566877314</v>
      </c>
      <c r="AJ40" s="203">
        <v>0.756806401057596</v>
      </c>
      <c r="AK40" s="203">
        <v>0.7816137700612138</v>
      </c>
      <c r="AL40" s="203">
        <v>0.8122169461245391</v>
      </c>
    </row>
    <row r="41" spans="1:38" x14ac:dyDescent="0.25">
      <c r="A41" s="198" t="s">
        <v>693</v>
      </c>
      <c r="B41" s="198">
        <v>5</v>
      </c>
      <c r="D41" s="202">
        <v>0.17499999999999999</v>
      </c>
      <c r="E41" s="203">
        <v>0.72051481365115722</v>
      </c>
      <c r="F41" s="203">
        <v>0.75044606928541924</v>
      </c>
      <c r="G41" s="203">
        <v>0.77553355170139582</v>
      </c>
      <c r="H41" s="203">
        <v>0.80013122638166134</v>
      </c>
      <c r="I41" s="203">
        <v>0.82297763341792141</v>
      </c>
      <c r="J41" s="203">
        <v>0.84378809087640161</v>
      </c>
      <c r="K41" s="203">
        <v>0.86114605958623747</v>
      </c>
      <c r="L41" s="203">
        <v>0.86873707496092989</v>
      </c>
      <c r="M41" s="203">
        <v>0.88663653634285433</v>
      </c>
      <c r="N41" s="203">
        <v>0.91263296287236895</v>
      </c>
      <c r="P41" s="202">
        <v>0.17499999999999999</v>
      </c>
      <c r="Q41" s="203">
        <v>0.6866427195444651</v>
      </c>
      <c r="R41" s="203">
        <v>0.70283522652295116</v>
      </c>
      <c r="S41" s="203">
        <v>0.72093810079739362</v>
      </c>
      <c r="T41" s="203">
        <v>0.74347506102389727</v>
      </c>
      <c r="U41" s="203">
        <v>0.76842475261591014</v>
      </c>
      <c r="V41" s="203">
        <v>0.79369447674097071</v>
      </c>
      <c r="W41" s="203">
        <v>0.81588550705132423</v>
      </c>
      <c r="X41" s="203">
        <v>0.82574893561451335</v>
      </c>
      <c r="Y41" s="203">
        <v>0.84904710083416068</v>
      </c>
      <c r="Z41" s="203">
        <v>0.88149580169958797</v>
      </c>
      <c r="AB41" s="202">
        <v>0.17499999999999999</v>
      </c>
      <c r="AC41" s="203">
        <v>0.66966756612155276</v>
      </c>
      <c r="AD41" s="203">
        <v>0.67530477256828214</v>
      </c>
      <c r="AE41" s="203">
        <v>0.68226343687913471</v>
      </c>
      <c r="AF41" s="203">
        <v>0.69303760464285935</v>
      </c>
      <c r="AG41" s="203">
        <v>0.70879153328077993</v>
      </c>
      <c r="AH41" s="203">
        <v>0.7294579390276501</v>
      </c>
      <c r="AI41" s="203">
        <v>0.75102105796507435</v>
      </c>
      <c r="AJ41" s="203">
        <v>0.76126215738992453</v>
      </c>
      <c r="AK41" s="203">
        <v>0.78572159281256515</v>
      </c>
      <c r="AL41" s="203">
        <v>0.81589222311202247</v>
      </c>
    </row>
    <row r="42" spans="1:38" x14ac:dyDescent="0.25">
      <c r="A42" s="198" t="s">
        <v>694</v>
      </c>
      <c r="B42" s="198">
        <v>5</v>
      </c>
      <c r="D42" s="202">
        <v>0.18</v>
      </c>
      <c r="E42" s="203">
        <v>0.72570142303182061</v>
      </c>
      <c r="F42" s="203">
        <v>0.7552253848106687</v>
      </c>
      <c r="G42" s="203">
        <v>0.77994597999359683</v>
      </c>
      <c r="H42" s="203">
        <v>0.80417313615493935</v>
      </c>
      <c r="I42" s="203">
        <v>0.82667334675574822</v>
      </c>
      <c r="J42" s="203">
        <v>0.84717339963036553</v>
      </c>
      <c r="K42" s="203">
        <v>0.86428217172105604</v>
      </c>
      <c r="L42" s="203">
        <v>0.87176897007010368</v>
      </c>
      <c r="M42" s="203">
        <v>0.88944179463487028</v>
      </c>
      <c r="N42" s="203">
        <v>0.91521094593140084</v>
      </c>
      <c r="P42" s="202">
        <v>0.18</v>
      </c>
      <c r="Q42" s="203">
        <v>0.69176555116466532</v>
      </c>
      <c r="R42" s="203">
        <v>0.7078277443656954</v>
      </c>
      <c r="S42" s="203">
        <v>0.72574219958749098</v>
      </c>
      <c r="T42" s="203">
        <v>0.74801588048966094</v>
      </c>
      <c r="U42" s="203">
        <v>0.77265614561188245</v>
      </c>
      <c r="V42" s="203">
        <v>0.79760619555852041</v>
      </c>
      <c r="W42" s="203">
        <v>0.81952054525508999</v>
      </c>
      <c r="X42" s="203">
        <v>0.82926477403775645</v>
      </c>
      <c r="Y42" s="203">
        <v>0.85229937498861952</v>
      </c>
      <c r="Z42" s="203">
        <v>0.88447173476390128</v>
      </c>
      <c r="AB42" s="202">
        <v>0.18</v>
      </c>
      <c r="AC42" s="203">
        <v>0.67496917702938175</v>
      </c>
      <c r="AD42" s="203">
        <v>0.68060471786215604</v>
      </c>
      <c r="AE42" s="203">
        <v>0.68752627130396915</v>
      </c>
      <c r="AF42" s="203">
        <v>0.69820787977213428</v>
      </c>
      <c r="AG42" s="203">
        <v>0.7137913944184513</v>
      </c>
      <c r="AH42" s="203">
        <v>0.73420377609560339</v>
      </c>
      <c r="AI42" s="203">
        <v>0.75548210989153575</v>
      </c>
      <c r="AJ42" s="203">
        <v>0.7655836326434593</v>
      </c>
      <c r="AK42" s="203">
        <v>0.78970337624482589</v>
      </c>
      <c r="AL42" s="203">
        <v>0.8194518878806264</v>
      </c>
    </row>
    <row r="43" spans="1:38" x14ac:dyDescent="0.25">
      <c r="A43" s="198" t="s">
        <v>695</v>
      </c>
      <c r="B43" s="198">
        <v>5</v>
      </c>
      <c r="D43" s="202">
        <v>0.185</v>
      </c>
      <c r="E43" s="203">
        <v>0.73073513179428562</v>
      </c>
      <c r="F43" s="203">
        <v>0.75986021054307762</v>
      </c>
      <c r="G43" s="203">
        <v>0.78422239918386816</v>
      </c>
      <c r="H43" s="203">
        <v>0.80808802913252575</v>
      </c>
      <c r="I43" s="203">
        <v>0.83025057043806005</v>
      </c>
      <c r="J43" s="203">
        <v>0.85044772993965634</v>
      </c>
      <c r="K43" s="203">
        <v>0.86731299864852218</v>
      </c>
      <c r="L43" s="203">
        <v>0.87469777625034217</v>
      </c>
      <c r="M43" s="203">
        <v>0.89214790919217646</v>
      </c>
      <c r="N43" s="203">
        <v>0.91768831737976386</v>
      </c>
      <c r="P43" s="202">
        <v>0.185</v>
      </c>
      <c r="Q43" s="203">
        <v>0.69674875056902175</v>
      </c>
      <c r="R43" s="203">
        <v>0.71268141759879322</v>
      </c>
      <c r="S43" s="203">
        <v>0.73041020985856475</v>
      </c>
      <c r="T43" s="203">
        <v>0.75242539171025902</v>
      </c>
      <c r="U43" s="203">
        <v>0.77676242845998178</v>
      </c>
      <c r="V43" s="203">
        <v>0.8013994228981155</v>
      </c>
      <c r="W43" s="203">
        <v>0.82304268816864601</v>
      </c>
      <c r="X43" s="203">
        <v>0.83266999180559564</v>
      </c>
      <c r="Y43" s="203">
        <v>0.85544534537852579</v>
      </c>
      <c r="Z43" s="203">
        <v>0.88734165624709205</v>
      </c>
      <c r="AB43" s="202">
        <v>0.185</v>
      </c>
      <c r="AC43" s="203">
        <v>0.68012858859770575</v>
      </c>
      <c r="AD43" s="203">
        <v>0.68576089218391156</v>
      </c>
      <c r="AE43" s="203">
        <v>0.69264484111908353</v>
      </c>
      <c r="AF43" s="203">
        <v>0.70323460367239543</v>
      </c>
      <c r="AG43" s="203">
        <v>0.71865028900167738</v>
      </c>
      <c r="AH43" s="203">
        <v>0.73881347886941973</v>
      </c>
      <c r="AI43" s="203">
        <v>0.75981308855522955</v>
      </c>
      <c r="AJ43" s="203">
        <v>0.76977815298129648</v>
      </c>
      <c r="AK43" s="203">
        <v>0.79356603025415939</v>
      </c>
      <c r="AL43" s="203">
        <v>0.82290230909302897</v>
      </c>
    </row>
    <row r="44" spans="1:38" x14ac:dyDescent="0.25">
      <c r="A44" s="198" t="s">
        <v>696</v>
      </c>
      <c r="B44" s="198">
        <v>5</v>
      </c>
      <c r="D44" s="202">
        <v>0.19</v>
      </c>
      <c r="E44" s="203">
        <v>0.73562392599249649</v>
      </c>
      <c r="F44" s="203">
        <v>0.76435818029146063</v>
      </c>
      <c r="G44" s="203">
        <v>0.78837005072439115</v>
      </c>
      <c r="H44" s="203">
        <v>0.81188270938434792</v>
      </c>
      <c r="I44" s="203">
        <v>0.8337156824200046</v>
      </c>
      <c r="J44" s="203">
        <v>0.85361708099371947</v>
      </c>
      <c r="K44" s="203">
        <v>0.87024425516164061</v>
      </c>
      <c r="L44" s="203">
        <v>0.8775291012276214</v>
      </c>
      <c r="M44" s="203">
        <v>0.89476031080128426</v>
      </c>
      <c r="N44" s="203">
        <v>0.92007071355390424</v>
      </c>
      <c r="P44" s="202">
        <v>0.19</v>
      </c>
      <c r="Q44" s="203">
        <v>0.70159959494381507</v>
      </c>
      <c r="R44" s="203">
        <v>0.71740351343625919</v>
      </c>
      <c r="S44" s="203">
        <v>0.73494929116803154</v>
      </c>
      <c r="T44" s="203">
        <v>0.75671054331915955</v>
      </c>
      <c r="U44" s="203">
        <v>0.78075025849648794</v>
      </c>
      <c r="V44" s="203">
        <v>0.80508049411766025</v>
      </c>
      <c r="W44" s="203">
        <v>0.82645799589290314</v>
      </c>
      <c r="X44" s="203">
        <v>0.83597053797211485</v>
      </c>
      <c r="Y44" s="203">
        <v>0.8584907594333443</v>
      </c>
      <c r="Z44" s="203">
        <v>0.89011137928529571</v>
      </c>
      <c r="AB44" s="202">
        <v>0.19</v>
      </c>
      <c r="AC44" s="203">
        <v>0.6851531658381359</v>
      </c>
      <c r="AD44" s="203">
        <v>0.69078074567577863</v>
      </c>
      <c r="AE44" s="203">
        <v>0.69762663447007067</v>
      </c>
      <c r="AF44" s="203">
        <v>0.7081252528966856</v>
      </c>
      <c r="AG44" s="203">
        <v>0.72337559819545405</v>
      </c>
      <c r="AH44" s="203">
        <v>0.74329422196330441</v>
      </c>
      <c r="AI44" s="203">
        <v>0.76402088876975871</v>
      </c>
      <c r="AJ44" s="203">
        <v>0.7738524638484674</v>
      </c>
      <c r="AK44" s="203">
        <v>0.79731591495763421</v>
      </c>
      <c r="AL44" s="203">
        <v>0.82624934720318011</v>
      </c>
    </row>
    <row r="45" spans="1:38" x14ac:dyDescent="0.25">
      <c r="A45" s="198" t="s">
        <v>697</v>
      </c>
      <c r="B45" s="198">
        <v>6</v>
      </c>
      <c r="D45" s="202">
        <v>0.19500000000000001</v>
      </c>
      <c r="E45" s="203">
        <v>0.74037518626663612</v>
      </c>
      <c r="F45" s="203">
        <v>0.76872634334242773</v>
      </c>
      <c r="G45" s="203">
        <v>0.79239561802709346</v>
      </c>
      <c r="H45" s="203">
        <v>0.81556345426531907</v>
      </c>
      <c r="I45" s="203">
        <v>0.83707456550919879</v>
      </c>
      <c r="J45" s="203">
        <v>0.85668698543406974</v>
      </c>
      <c r="K45" s="203">
        <v>0.87308121119041693</v>
      </c>
      <c r="L45" s="203">
        <v>0.88026811605423383</v>
      </c>
      <c r="M45" s="203">
        <v>0.89728400706590461</v>
      </c>
      <c r="N45" s="203">
        <v>0.92236333092759948</v>
      </c>
      <c r="P45" s="202">
        <v>0.19500000000000001</v>
      </c>
      <c r="Q45" s="203">
        <v>0.70632480821519128</v>
      </c>
      <c r="R45" s="203">
        <v>0.72200074468969044</v>
      </c>
      <c r="S45" s="203">
        <v>0.73936605454032478</v>
      </c>
      <c r="T45" s="203">
        <v>0.76087774901211902</v>
      </c>
      <c r="U45" s="203">
        <v>0.7846257783822157</v>
      </c>
      <c r="V45" s="203">
        <v>0.80865525328940469</v>
      </c>
      <c r="W45" s="203">
        <v>0.82977205772676732</v>
      </c>
      <c r="X45" s="203">
        <v>0.83917189913748835</v>
      </c>
      <c r="Y45" s="203">
        <v>0.86144091734036932</v>
      </c>
      <c r="Z45" s="203">
        <v>0.89278626424466367</v>
      </c>
      <c r="AB45" s="202">
        <v>0.19500000000000001</v>
      </c>
      <c r="AC45" s="203">
        <v>0.69004971699517015</v>
      </c>
      <c r="AD45" s="203">
        <v>0.6956711652592148</v>
      </c>
      <c r="AE45" s="203">
        <v>0.70247857272293535</v>
      </c>
      <c r="AF45" s="203">
        <v>0.71288673647907752</v>
      </c>
      <c r="AG45" s="203">
        <v>0.72797414027270513</v>
      </c>
      <c r="AH45" s="203">
        <v>0.74765262972314839</v>
      </c>
      <c r="AI45" s="203">
        <v>0.76811187392589186</v>
      </c>
      <c r="AJ45" s="203">
        <v>0.77781278976878176</v>
      </c>
      <c r="AK45" s="203">
        <v>0.80095889751071225</v>
      </c>
      <c r="AL45" s="203">
        <v>0.82949840712693368</v>
      </c>
    </row>
    <row r="46" spans="1:38" x14ac:dyDescent="0.25">
      <c r="A46" s="198" t="s">
        <v>698</v>
      </c>
      <c r="B46" s="198">
        <v>6</v>
      </c>
      <c r="D46" s="202">
        <v>0.2</v>
      </c>
      <c r="E46" s="203">
        <v>0.74499574752876085</v>
      </c>
      <c r="F46" s="203">
        <v>0.77297122264955143</v>
      </c>
      <c r="G46" s="203">
        <v>0.79630528236312881</v>
      </c>
      <c r="H46" s="203">
        <v>0.81913606740871847</v>
      </c>
      <c r="I46" s="203">
        <v>0.84033265732017937</v>
      </c>
      <c r="J46" s="203">
        <v>0.85966255649910828</v>
      </c>
      <c r="K46" s="203">
        <v>0.87582873679282258</v>
      </c>
      <c r="L46" s="203">
        <v>0.88291959928240749</v>
      </c>
      <c r="M46" s="203">
        <v>0.89972362523027005</v>
      </c>
      <c r="N46" s="203">
        <v>0.92457097061064764</v>
      </c>
      <c r="P46" s="202">
        <v>0.2</v>
      </c>
      <c r="Q46" s="203">
        <v>0.71093061574885885</v>
      </c>
      <c r="R46" s="203">
        <v>0.72647932476454824</v>
      </c>
      <c r="S46" s="203">
        <v>0.74366661710832316</v>
      </c>
      <c r="T46" s="203">
        <v>0.76493294108421317</v>
      </c>
      <c r="U46" s="203">
        <v>0.78839466782294276</v>
      </c>
      <c r="V46" s="203">
        <v>0.81212910271635763</v>
      </c>
      <c r="W46" s="203">
        <v>0.83299003970201435</v>
      </c>
      <c r="X46" s="203">
        <v>0.84227914616619171</v>
      </c>
      <c r="Y46" s="203">
        <v>0.86430071726631286</v>
      </c>
      <c r="Z46" s="203">
        <v>0.89537126451408511</v>
      </c>
      <c r="AB46" s="202">
        <v>0.2</v>
      </c>
      <c r="AC46" s="203">
        <v>0.69482454828869622</v>
      </c>
      <c r="AD46" s="203">
        <v>0.7004385300135676</v>
      </c>
      <c r="AE46" s="203">
        <v>0.70720706625841023</v>
      </c>
      <c r="AF46" s="203">
        <v>0.71752545195729878</v>
      </c>
      <c r="AG46" s="203">
        <v>0.73245222643274477</v>
      </c>
      <c r="AH46" s="203">
        <v>0.75189483109706645</v>
      </c>
      <c r="AI46" s="203">
        <v>0.77209192923796033</v>
      </c>
      <c r="AJ46" s="203">
        <v>0.78166488663775469</v>
      </c>
      <c r="AK46" s="203">
        <v>0.80450040176933146</v>
      </c>
      <c r="AL46" s="203">
        <v>0.83265448426110333</v>
      </c>
    </row>
    <row r="47" spans="1:38" x14ac:dyDescent="0.25">
      <c r="A47" s="198" t="s">
        <v>699</v>
      </c>
      <c r="B47" s="198">
        <v>6</v>
      </c>
      <c r="D47" s="202">
        <v>0.20499999999999999</v>
      </c>
      <c r="E47" s="203">
        <v>0.74949195146968128</v>
      </c>
      <c r="F47" s="203">
        <v>0.77709886595699329</v>
      </c>
      <c r="G47" s="203">
        <v>0.80010477193349916</v>
      </c>
      <c r="H47" s="203">
        <v>0.82260592521794651</v>
      </c>
      <c r="I47" s="203">
        <v>0.84349499408355477</v>
      </c>
      <c r="J47" s="203">
        <v>0.86254852936009141</v>
      </c>
      <c r="K47" s="203">
        <v>0.87849134159768127</v>
      </c>
      <c r="L47" s="203">
        <v>0.88548797568924809</v>
      </c>
      <c r="M47" s="203">
        <v>0.90208344971830401</v>
      </c>
      <c r="N47" s="203">
        <v>0.92669807735675658</v>
      </c>
      <c r="P47" s="202">
        <v>0.20499999999999999</v>
      </c>
      <c r="Q47" s="203">
        <v>0.71542279245245721</v>
      </c>
      <c r="R47" s="203">
        <v>0.73084501600164353</v>
      </c>
      <c r="S47" s="203">
        <v>0.74785665011595537</v>
      </c>
      <c r="T47" s="203">
        <v>0.76888161743245254</v>
      </c>
      <c r="U47" s="203">
        <v>0.79206218895187397</v>
      </c>
      <c r="V47" s="203">
        <v>0.81550704636323534</v>
      </c>
      <c r="W47" s="203">
        <v>0.83611672626621825</v>
      </c>
      <c r="X47" s="203">
        <v>0.84529697515061974</v>
      </c>
      <c r="Y47" s="203">
        <v>0.86707469500371059</v>
      </c>
      <c r="Z47" s="203">
        <v>0.89787096665022903</v>
      </c>
      <c r="AB47" s="202">
        <v>0.20499999999999999</v>
      </c>
      <c r="AC47" s="203">
        <v>0.69948351208958981</v>
      </c>
      <c r="AD47" s="203">
        <v>0.70508875991132269</v>
      </c>
      <c r="AE47" s="203">
        <v>0.71181806356528998</v>
      </c>
      <c r="AF47" s="203">
        <v>0.72204733464866666</v>
      </c>
      <c r="AG47" s="203">
        <v>0.73681570986781197</v>
      </c>
      <c r="AH47" s="203">
        <v>0.75602650783259251</v>
      </c>
      <c r="AI47" s="203">
        <v>0.77596650848402182</v>
      </c>
      <c r="AJ47" s="203">
        <v>0.78541408761400333</v>
      </c>
      <c r="AK47" s="203">
        <v>0.80794545185142175</v>
      </c>
      <c r="AL47" s="203">
        <v>0.83572220483416337</v>
      </c>
    </row>
    <row r="48" spans="1:38" x14ac:dyDescent="0.25">
      <c r="D48" s="202">
        <v>0.21</v>
      </c>
      <c r="E48" s="203">
        <v>0.75386969289891337</v>
      </c>
      <c r="F48" s="203">
        <v>0.78111489086274577</v>
      </c>
      <c r="G48" s="203">
        <v>0.80379940508806791</v>
      </c>
      <c r="H48" s="203">
        <v>0.8259780177909708</v>
      </c>
      <c r="I48" s="203">
        <v>0.84656624919529422</v>
      </c>
      <c r="J48" s="203">
        <v>0.86534929748650313</v>
      </c>
      <c r="K48" s="203">
        <v>0.8810732095007463</v>
      </c>
      <c r="L48" s="203">
        <v>0.88797735034012459</v>
      </c>
      <c r="M48" s="203">
        <v>0.9043674551522789</v>
      </c>
      <c r="N48" s="203">
        <v>0.92874877387416366</v>
      </c>
      <c r="P48" s="202">
        <v>0.21</v>
      </c>
      <c r="Q48" s="203">
        <v>0.71980670521299495</v>
      </c>
      <c r="R48" s="203">
        <v>0.735103172307354</v>
      </c>
      <c r="S48" s="203">
        <v>0.75194142122699015</v>
      </c>
      <c r="T48" s="203">
        <v>0.77272888295828956</v>
      </c>
      <c r="U48" s="203">
        <v>0.79563322628389554</v>
      </c>
      <c r="V48" s="203">
        <v>0.8187937280779235</v>
      </c>
      <c r="W48" s="203">
        <v>0.83915655695750291</v>
      </c>
      <c r="X48" s="203">
        <v>0.84822974345030255</v>
      </c>
      <c r="Y48" s="203">
        <v>0.86976705884713523</v>
      </c>
      <c r="Z48" s="203">
        <v>0.90028962569067383</v>
      </c>
      <c r="AB48" s="202">
        <v>0.21</v>
      </c>
      <c r="AC48" s="203">
        <v>0.70403204945161668</v>
      </c>
      <c r="AD48" s="203">
        <v>0.70962735884393924</v>
      </c>
      <c r="AE48" s="203">
        <v>0.7163170945759243</v>
      </c>
      <c r="AF48" s="203">
        <v>0.72645790113143216</v>
      </c>
      <c r="AG48" s="203">
        <v>0.74107002903464181</v>
      </c>
      <c r="AH48" s="203">
        <v>0.76005293695138387</v>
      </c>
      <c r="AI48" s="203">
        <v>0.77974067517108248</v>
      </c>
      <c r="AJ48" s="203">
        <v>0.78906534352707258</v>
      </c>
      <c r="AK48" s="203">
        <v>0.81129871047561974</v>
      </c>
      <c r="AL48" s="203">
        <v>0.83870586140632175</v>
      </c>
    </row>
    <row r="49" spans="4:38" x14ac:dyDescent="0.25">
      <c r="D49" s="202">
        <v>0.215</v>
      </c>
      <c r="E49" s="203">
        <v>0.75813446076695856</v>
      </c>
      <c r="F49" s="203">
        <v>0.78502452466365802</v>
      </c>
      <c r="G49" s="203">
        <v>0.80739412851085346</v>
      </c>
      <c r="H49" s="203">
        <v>0.8292569850588063</v>
      </c>
      <c r="I49" s="203">
        <v>0.84955076724623879</v>
      </c>
      <c r="J49" s="203">
        <v>0.86806894474127827</v>
      </c>
      <c r="K49" s="203">
        <v>0.88357822928340923</v>
      </c>
      <c r="L49" s="203">
        <v>0.89039153864806719</v>
      </c>
      <c r="M49" s="203">
        <v>0.90657933548887804</v>
      </c>
      <c r="N49" s="203">
        <v>0.93072689110186013</v>
      </c>
      <c r="P49" s="202">
        <v>0.215</v>
      </c>
      <c r="Q49" s="203">
        <v>0.72408735045154859</v>
      </c>
      <c r="R49" s="203">
        <v>0.73925877686361874</v>
      </c>
      <c r="S49" s="203">
        <v>0.75592583193170715</v>
      </c>
      <c r="T49" s="203">
        <v>0.77647948615208162</v>
      </c>
      <c r="U49" s="203">
        <v>0.79911232200257409</v>
      </c>
      <c r="V49" s="203">
        <v>0.821993465335768</v>
      </c>
      <c r="W49" s="203">
        <v>0.84211365877628552</v>
      </c>
      <c r="X49" s="203">
        <v>0.85108150150045214</v>
      </c>
      <c r="Y49" s="203">
        <v>0.87238172037180617</v>
      </c>
      <c r="Z49" s="203">
        <v>0.90263119631665456</v>
      </c>
      <c r="AB49" s="202">
        <v>0.215</v>
      </c>
      <c r="AC49" s="203">
        <v>0.70847522777489413</v>
      </c>
      <c r="AD49" s="203">
        <v>0.71405945272256188</v>
      </c>
      <c r="AE49" s="203">
        <v>0.72070930903569896</v>
      </c>
      <c r="AF49" s="203">
        <v>0.73076228773047935</v>
      </c>
      <c r="AG49" s="203">
        <v>0.74522024593345582</v>
      </c>
      <c r="AH49" s="203">
        <v>0.76397902829787889</v>
      </c>
      <c r="AI49" s="203">
        <v>0.78341913890475856</v>
      </c>
      <c r="AJ49" s="203">
        <v>0.79262325856965199</v>
      </c>
      <c r="AK49" s="203">
        <v>0.81456451281104192</v>
      </c>
      <c r="AL49" s="203">
        <v>0.84160944420229378</v>
      </c>
    </row>
    <row r="50" spans="4:38" x14ac:dyDescent="0.25">
      <c r="D50" s="202">
        <v>0.22</v>
      </c>
      <c r="E50" s="203">
        <v>0.76229137458577612</v>
      </c>
      <c r="F50" s="203">
        <v>0.78883263969097461</v>
      </c>
      <c r="G50" s="203">
        <v>0.81089355105915084</v>
      </c>
      <c r="H50" s="203">
        <v>0.83244714879434389</v>
      </c>
      <c r="I50" s="203">
        <v>0.85245259415320906</v>
      </c>
      <c r="J50" s="203">
        <v>0.87071127379378677</v>
      </c>
      <c r="K50" s="203">
        <v>0.88601002171584875</v>
      </c>
      <c r="L50" s="203">
        <v>0.8927340929810138</v>
      </c>
      <c r="M50" s="203">
        <v>0.90872252980795587</v>
      </c>
      <c r="N50" s="203">
        <v>0.93263599500766992</v>
      </c>
      <c r="P50" s="202">
        <v>0.22</v>
      </c>
      <c r="Q50" s="203">
        <v>0.72826938745423708</v>
      </c>
      <c r="R50" s="203">
        <v>0.74331647558381386</v>
      </c>
      <c r="S50" s="203">
        <v>0.75981445071762832</v>
      </c>
      <c r="T50" s="203">
        <v>0.78013785151705173</v>
      </c>
      <c r="U50" s="203">
        <v>0.80250370721924058</v>
      </c>
      <c r="V50" s="203">
        <v>0.82511027912164803</v>
      </c>
      <c r="W50" s="203">
        <v>0.8449918748459857</v>
      </c>
      <c r="X50" s="203">
        <v>0.85385602097216184</v>
      </c>
      <c r="Y50" s="203">
        <v>0.87492232167906259</v>
      </c>
      <c r="Z50" s="203">
        <v>0.9048993604373734</v>
      </c>
      <c r="AB50" s="202">
        <v>0.22</v>
      </c>
      <c r="AC50" s="203">
        <v>0.71281777425469128</v>
      </c>
      <c r="AD50" s="203">
        <v>0.71838982331503209</v>
      </c>
      <c r="AE50" s="203">
        <v>0.72499951057412115</v>
      </c>
      <c r="AF50" s="203">
        <v>0.73496528468068356</v>
      </c>
      <c r="AG50" s="203">
        <v>0.74927108007004184</v>
      </c>
      <c r="AH50" s="203">
        <v>0.76780935783196258</v>
      </c>
      <c r="AI50" s="203">
        <v>0.78700628761854241</v>
      </c>
      <c r="AJ50" s="203">
        <v>0.79609212191952206</v>
      </c>
      <c r="AK50" s="203">
        <v>0.81774689645442</v>
      </c>
      <c r="AL50" s="203">
        <v>0.84443666885036472</v>
      </c>
    </row>
    <row r="51" spans="4:38" x14ac:dyDescent="0.25">
      <c r="D51" s="202">
        <v>0.22500000000000001</v>
      </c>
      <c r="E51" s="203">
        <v>0.766345216853351</v>
      </c>
      <c r="F51" s="203">
        <v>0.79254378473529452</v>
      </c>
      <c r="G51" s="203">
        <v>0.81430197383690206</v>
      </c>
      <c r="H51" s="203">
        <v>0.83555254104518972</v>
      </c>
      <c r="I51" s="203">
        <v>0.85527550391564078</v>
      </c>
      <c r="J51" s="203">
        <v>0.87327983134618681</v>
      </c>
      <c r="K51" s="203">
        <v>0.88837196361815063</v>
      </c>
      <c r="L51" s="203">
        <v>0.89500832628199434</v>
      </c>
      <c r="M51" s="203">
        <v>0.91080024520512692</v>
      </c>
      <c r="N51" s="203">
        <v>0.93447941037695548</v>
      </c>
      <c r="P51" s="202">
        <v>0.22500000000000001</v>
      </c>
      <c r="Q51" s="203">
        <v>0.73235716803700113</v>
      </c>
      <c r="R51" s="203">
        <v>0.74728060687772069</v>
      </c>
      <c r="S51" s="203">
        <v>0.7636115425671921</v>
      </c>
      <c r="T51" s="203">
        <v>0.7837081083879186</v>
      </c>
      <c r="U51" s="203">
        <v>0.80581132974359282</v>
      </c>
      <c r="V51" s="203">
        <v>0.82814792046844332</v>
      </c>
      <c r="W51" s="203">
        <v>0.84779478986179035</v>
      </c>
      <c r="X51" s="203">
        <v>0.85655681977516607</v>
      </c>
      <c r="Y51" s="203">
        <v>0.8773922595844964</v>
      </c>
      <c r="Z51" s="203">
        <v>0.90709755167793082</v>
      </c>
      <c r="AB51" s="202">
        <v>0.22500000000000001</v>
      </c>
      <c r="AC51" s="203">
        <v>0.71706410566916556</v>
      </c>
      <c r="AD51" s="203">
        <v>0.72262293837924485</v>
      </c>
      <c r="AE51" s="203">
        <v>0.72919218704271327</v>
      </c>
      <c r="AF51" s="203">
        <v>0.73907136653768735</v>
      </c>
      <c r="AG51" s="203">
        <v>0.75322693867227042</v>
      </c>
      <c r="AH51" s="203">
        <v>0.7715481972317092</v>
      </c>
      <c r="AI51" s="203">
        <v>0.79050621621571837</v>
      </c>
      <c r="AJ51" s="203">
        <v>0.79947593583583676</v>
      </c>
      <c r="AK51" s="203">
        <v>0.82084962805440209</v>
      </c>
      <c r="AL51" s="203">
        <v>0.84719100101129197</v>
      </c>
    </row>
    <row r="52" spans="4:38" x14ac:dyDescent="0.25">
      <c r="D52" s="202">
        <v>0.23</v>
      </c>
      <c r="E52" s="203">
        <v>0.77030046199717273</v>
      </c>
      <c r="F52" s="203">
        <v>0.79616221306906276</v>
      </c>
      <c r="G52" s="203">
        <v>0.81762341699426522</v>
      </c>
      <c r="H52" s="203">
        <v>0.83857692945946338</v>
      </c>
      <c r="I52" s="203">
        <v>0.85802302244134121</v>
      </c>
      <c r="J52" s="203">
        <v>0.8757779305926241</v>
      </c>
      <c r="K52" s="203">
        <v>0.89066720928013898</v>
      </c>
      <c r="L52" s="203">
        <v>0.89721733309585128</v>
      </c>
      <c r="M52" s="203">
        <v>0.91281547716993061</v>
      </c>
      <c r="N52" s="203">
        <v>0.93626024198863578</v>
      </c>
      <c r="P52" s="202">
        <v>0.23</v>
      </c>
      <c r="Q52" s="203">
        <v>0.73635476301769698</v>
      </c>
      <c r="R52" s="203">
        <v>0.75115522820367953</v>
      </c>
      <c r="S52" s="203">
        <v>0.76732109525989145</v>
      </c>
      <c r="T52" s="203">
        <v>0.78719411661481531</v>
      </c>
      <c r="U52" s="203">
        <v>0.80903887882281567</v>
      </c>
      <c r="V52" s="203">
        <v>0.83110989409103986</v>
      </c>
      <c r="W52" s="203">
        <v>0.85052575274997066</v>
      </c>
      <c r="X52" s="203">
        <v>0.8591871843186899</v>
      </c>
      <c r="Y52" s="203">
        <v>0.87979470715141228</v>
      </c>
      <c r="Z52" s="203">
        <v>0.90922897717883089</v>
      </c>
      <c r="AB52" s="202">
        <v>0.23</v>
      </c>
      <c r="AC52" s="203">
        <v>0.72121835497660458</v>
      </c>
      <c r="AD52" s="203">
        <v>0.72676297856890826</v>
      </c>
      <c r="AE52" s="203">
        <v>0.73329153760006016</v>
      </c>
      <c r="AF52" s="203">
        <v>0.74308471932011022</v>
      </c>
      <c r="AG52" s="203">
        <v>0.75709194364607368</v>
      </c>
      <c r="AH52" s="203">
        <v>0.7751995402863352</v>
      </c>
      <c r="AI52" s="203">
        <v>0.79392275209267582</v>
      </c>
      <c r="AJ52" s="203">
        <v>0.80277844069117665</v>
      </c>
      <c r="AK52" s="203">
        <v>0.82387622702318752</v>
      </c>
      <c r="AL52" s="203">
        <v>0.84987567830633926</v>
      </c>
    </row>
    <row r="53" spans="4:38" x14ac:dyDescent="0.25">
      <c r="D53" s="202">
        <v>0.23499999999999999</v>
      </c>
      <c r="E53" s="203">
        <v>0.77416130227569324</v>
      </c>
      <c r="F53" s="203">
        <v>0.79969190749931252</v>
      </c>
      <c r="G53" s="203">
        <v>0.82086164367195324</v>
      </c>
      <c r="H53" s="203">
        <v>0.84152383990328716</v>
      </c>
      <c r="I53" s="203">
        <v>0.86069844881836843</v>
      </c>
      <c r="J53" s="203">
        <v>0.8782086712677214</v>
      </c>
      <c r="K53" s="203">
        <v>0.89289870958039552</v>
      </c>
      <c r="L53" s="203">
        <v>0.8993640083368768</v>
      </c>
      <c r="M53" s="203">
        <v>0.91477102777387598</v>
      </c>
      <c r="N53" s="203">
        <v>0.93798139351550613</v>
      </c>
      <c r="P53" s="202">
        <v>0.23499999999999999</v>
      </c>
      <c r="Q53" s="203">
        <v>0.74026598589916759</v>
      </c>
      <c r="R53" s="203">
        <v>0.75494413981530073</v>
      </c>
      <c r="S53" s="203">
        <v>0.7709468428854892</v>
      </c>
      <c r="T53" s="203">
        <v>0.7905994895129691</v>
      </c>
      <c r="U53" s="203">
        <v>0.81218980723784728</v>
      </c>
      <c r="V53" s="203">
        <v>0.83399947948916753</v>
      </c>
      <c r="W53" s="203">
        <v>0.85318789689679342</v>
      </c>
      <c r="X53" s="203">
        <v>0.86175018938348658</v>
      </c>
      <c r="Y53" s="203">
        <v>0.8821326329117507</v>
      </c>
      <c r="Z53" s="203">
        <v>0.91129663705365416</v>
      </c>
      <c r="AB53" s="202">
        <v>0.23499999999999999</v>
      </c>
      <c r="AC53" s="203">
        <v>0.72528439512366416</v>
      </c>
      <c r="AD53" s="203">
        <v>0.73081386151787731</v>
      </c>
      <c r="AE53" s="203">
        <v>0.73730149695377123</v>
      </c>
      <c r="AF53" s="203">
        <v>0.74700926479590679</v>
      </c>
      <c r="AG53" s="203">
        <v>0.76086995568417459</v>
      </c>
      <c r="AH53" s="203">
        <v>0.77876712648815705</v>
      </c>
      <c r="AI53" s="203">
        <v>0.79725947794241914</v>
      </c>
      <c r="AJ53" s="203">
        <v>0.80600313733185613</v>
      </c>
      <c r="AK53" s="203">
        <v>0.82682998670969554</v>
      </c>
      <c r="AL53" s="203">
        <v>0.85249372989225547</v>
      </c>
    </row>
    <row r="54" spans="4:38" x14ac:dyDescent="0.25">
      <c r="D54" s="202">
        <v>0.24</v>
      </c>
      <c r="E54" s="203">
        <v>0.77793167101354255</v>
      </c>
      <c r="F54" s="203">
        <v>0.80313660282051003</v>
      </c>
      <c r="G54" s="203">
        <v>0.82402018144777311</v>
      </c>
      <c r="H54" s="203">
        <v>0.84439657671025192</v>
      </c>
      <c r="I54" s="203">
        <v>0.86330487435465475</v>
      </c>
      <c r="J54" s="203">
        <v>0.88057495758835014</v>
      </c>
      <c r="K54" s="203">
        <v>0.89506922909481257</v>
      </c>
      <c r="L54" s="203">
        <v>0.90145106408250597</v>
      </c>
      <c r="M54" s="203">
        <v>0.91666952194489804</v>
      </c>
      <c r="N54" s="203">
        <v>0.93964558443620261</v>
      </c>
      <c r="P54" s="202">
        <v>0.24</v>
      </c>
      <c r="Q54" s="203">
        <v>0.74409441410864063</v>
      </c>
      <c r="R54" s="203">
        <v>0.75865090605108132</v>
      </c>
      <c r="S54" s="203">
        <v>0.77449228691582184</v>
      </c>
      <c r="T54" s="203">
        <v>0.79392761442016824</v>
      </c>
      <c r="U54" s="203">
        <v>0.815267351088522</v>
      </c>
      <c r="V54" s="203">
        <v>0.83681974983756124</v>
      </c>
      <c r="W54" s="203">
        <v>0.85578415825329246</v>
      </c>
      <c r="X54" s="203">
        <v>0.86424871590622199</v>
      </c>
      <c r="Y54" s="203">
        <v>0.8844088180662325</v>
      </c>
      <c r="Z54" s="203">
        <v>0.91330334180045503</v>
      </c>
      <c r="AB54" s="202">
        <v>0.24</v>
      </c>
      <c r="AC54" s="203">
        <v>0.72926586040835106</v>
      </c>
      <c r="AD54" s="203">
        <v>0.73477926345081357</v>
      </c>
      <c r="AE54" s="203">
        <v>0.74122575711012206</v>
      </c>
      <c r="AF54" s="203">
        <v>0.75084868226603552</v>
      </c>
      <c r="AG54" s="203">
        <v>0.76456459588101133</v>
      </c>
      <c r="AH54" s="203">
        <v>0.7822544621728611</v>
      </c>
      <c r="AI54" s="203">
        <v>0.80051975217882498</v>
      </c>
      <c r="AJ54" s="203">
        <v>0.80915330710154276</v>
      </c>
      <c r="AK54" s="203">
        <v>0.82971399335355256</v>
      </c>
      <c r="AL54" s="203">
        <v>0.85504799397984299</v>
      </c>
    </row>
    <row r="55" spans="4:38" x14ac:dyDescent="0.25">
      <c r="D55" s="202">
        <v>0.245</v>
      </c>
      <c r="E55" s="203">
        <v>0.78161526349321842</v>
      </c>
      <c r="F55" s="203">
        <v>0.80649980598469451</v>
      </c>
      <c r="G55" s="203">
        <v>0.82710234159166496</v>
      </c>
      <c r="H55" s="203">
        <v>0.84719824085428008</v>
      </c>
      <c r="I55" s="203">
        <v>0.86584519966070439</v>
      </c>
      <c r="J55" s="203">
        <v>0.8828795143488869</v>
      </c>
      <c r="K55" s="203">
        <v>0.89718136144315919</v>
      </c>
      <c r="L55" s="203">
        <v>0.90348104463709222</v>
      </c>
      <c r="M55" s="203">
        <v>0.91851342206485509</v>
      </c>
      <c r="N55" s="203">
        <v>0.94125536520469621</v>
      </c>
      <c r="P55" s="202">
        <v>0.245</v>
      </c>
      <c r="Q55" s="203">
        <v>0.74784340808991645</v>
      </c>
      <c r="R55" s="203">
        <v>0.76227887446584019</v>
      </c>
      <c r="S55" s="203">
        <v>0.77796071513320786</v>
      </c>
      <c r="T55" s="203">
        <v>0.79718167115514516</v>
      </c>
      <c r="U55" s="203">
        <v>0.81827454755172668</v>
      </c>
      <c r="V55" s="203">
        <v>0.83957358893614042</v>
      </c>
      <c r="W55" s="203">
        <v>0.85831729157805581</v>
      </c>
      <c r="X55" s="203">
        <v>0.86668546693398296</v>
      </c>
      <c r="Y55" s="203">
        <v>0.88662587191343356</v>
      </c>
      <c r="Z55" s="203">
        <v>0.91525172791981901</v>
      </c>
      <c r="AB55" s="202">
        <v>0.245</v>
      </c>
      <c r="AC55" s="203">
        <v>0.73316616569306559</v>
      </c>
      <c r="AD55" s="203">
        <v>0.73866263861892578</v>
      </c>
      <c r="AE55" s="203">
        <v>0.74506778693268017</v>
      </c>
      <c r="AF55" s="203">
        <v>0.75460642814868339</v>
      </c>
      <c r="AG55" s="203">
        <v>0.76817926515713808</v>
      </c>
      <c r="AH55" s="203">
        <v>0.78566483950760946</v>
      </c>
      <c r="AI55" s="203">
        <v>0.8037067272734586</v>
      </c>
      <c r="AJ55" s="203">
        <v>0.81223202981522136</v>
      </c>
      <c r="AK55" s="203">
        <v>0.83253114309328946</v>
      </c>
      <c r="AL55" s="203">
        <v>0.85754113355002703</v>
      </c>
    </row>
    <row r="56" spans="4:38" x14ac:dyDescent="0.25">
      <c r="D56" s="202">
        <v>0.25</v>
      </c>
      <c r="E56" s="203">
        <v>0.78521555578129887</v>
      </c>
      <c r="F56" s="203">
        <v>0.80978481426186699</v>
      </c>
      <c r="G56" s="203">
        <v>0.83011123639258921</v>
      </c>
      <c r="H56" s="203">
        <v>0.84993174629631063</v>
      </c>
      <c r="I56" s="203">
        <v>0.86832215001188084</v>
      </c>
      <c r="J56" s="203">
        <v>0.88512490139340028</v>
      </c>
      <c r="K56" s="203">
        <v>0.89923754308703086</v>
      </c>
      <c r="L56" s="203">
        <v>0.90545634007528764</v>
      </c>
      <c r="M56" s="203">
        <v>0.92030504109325484</v>
      </c>
      <c r="N56" s="203">
        <v>0.94281313088845253</v>
      </c>
      <c r="P56" s="202">
        <v>0.25</v>
      </c>
      <c r="Q56" s="203">
        <v>0.75151612850368188</v>
      </c>
      <c r="R56" s="203">
        <v>0.76583119306129843</v>
      </c>
      <c r="S56" s="203">
        <v>0.78135521867187918</v>
      </c>
      <c r="T56" s="203">
        <v>0.80036464862893664</v>
      </c>
      <c r="U56" s="203">
        <v>0.82121425085677435</v>
      </c>
      <c r="V56" s="203">
        <v>0.84226370645448156</v>
      </c>
      <c r="W56" s="203">
        <v>0.86078988504319731</v>
      </c>
      <c r="X56" s="203">
        <v>0.86906298197029597</v>
      </c>
      <c r="Y56" s="203">
        <v>0.88878624572221698</v>
      </c>
      <c r="Z56" s="203">
        <v>0.91714427195677395</v>
      </c>
      <c r="AB56" s="202">
        <v>0.25</v>
      </c>
      <c r="AC56" s="203">
        <v>0.736988523722232</v>
      </c>
      <c r="AD56" s="203">
        <v>0.74246723681828497</v>
      </c>
      <c r="AE56" s="203">
        <v>0.74883084976954761</v>
      </c>
      <c r="AF56" s="203">
        <v>0.75828575362526129</v>
      </c>
      <c r="AG56" s="203">
        <v>0.7717171617542169</v>
      </c>
      <c r="AH56" s="203">
        <v>0.78900135358466394</v>
      </c>
      <c r="AI56" s="203">
        <v>0.80682336625584306</v>
      </c>
      <c r="AJ56" s="203">
        <v>0.81524219993023217</v>
      </c>
      <c r="AK56" s="203">
        <v>0.8352841572636398</v>
      </c>
      <c r="AL56" s="203">
        <v>0.85997565048550173</v>
      </c>
    </row>
    <row r="57" spans="4:38" x14ac:dyDescent="0.25">
      <c r="D57" s="202">
        <v>0.255</v>
      </c>
      <c r="E57" s="203">
        <v>0.78873582172947476</v>
      </c>
      <c r="F57" s="203">
        <v>0.81299473162624092</v>
      </c>
      <c r="G57" s="203">
        <v>0.83304979478441921</v>
      </c>
      <c r="H57" s="203">
        <v>0.85259983472068801</v>
      </c>
      <c r="I57" s="203">
        <v>0.8707382891940989</v>
      </c>
      <c r="J57" s="203">
        <v>0.88731352665730812</v>
      </c>
      <c r="K57" s="203">
        <v>0.90124006576300764</v>
      </c>
      <c r="L57" s="203">
        <v>0.90737919844554304</v>
      </c>
      <c r="M57" s="203">
        <v>0.92204655439223393</v>
      </c>
      <c r="N57" s="203">
        <v>0.94432113345711688</v>
      </c>
      <c r="P57" s="202">
        <v>0.255</v>
      </c>
      <c r="Q57" s="203">
        <v>0.75511555175654532</v>
      </c>
      <c r="R57" s="203">
        <v>0.76931082583803168</v>
      </c>
      <c r="S57" s="203">
        <v>0.78467870739376744</v>
      </c>
      <c r="T57" s="203">
        <v>0.8034793598266623</v>
      </c>
      <c r="U57" s="203">
        <v>0.82408914668854705</v>
      </c>
      <c r="V57" s="203">
        <v>0.84489265167250416</v>
      </c>
      <c r="W57" s="203">
        <v>0.86320437339755052</v>
      </c>
      <c r="X57" s="203">
        <v>0.87138364990341599</v>
      </c>
      <c r="Y57" s="203">
        <v>0.89089224523226151</v>
      </c>
      <c r="Z57" s="203">
        <v>0.91898330315366294</v>
      </c>
      <c r="AB57" s="202">
        <v>0.255</v>
      </c>
      <c r="AC57" s="203">
        <v>0.74073596076456494</v>
      </c>
      <c r="AD57" s="203">
        <v>0.7461961192133173</v>
      </c>
      <c r="AE57" s="203">
        <v>0.75251801937366725</v>
      </c>
      <c r="AF57" s="203">
        <v>0.76188972057390525</v>
      </c>
      <c r="AG57" s="203">
        <v>0.77518129702609939</v>
      </c>
      <c r="AH57" s="203">
        <v>0.7922669178429117</v>
      </c>
      <c r="AI57" s="203">
        <v>0.80987245759358661</v>
      </c>
      <c r="AJ57" s="203">
        <v>0.81818654112713696</v>
      </c>
      <c r="AK57" s="203">
        <v>0.83797559618439232</v>
      </c>
      <c r="AL57" s="203">
        <v>0.86235389830584952</v>
      </c>
    </row>
    <row r="58" spans="4:38" x14ac:dyDescent="0.25">
      <c r="D58" s="202">
        <v>0.26</v>
      </c>
      <c r="E58" s="203">
        <v>0.79217914835871395</v>
      </c>
      <c r="F58" s="203">
        <v>0.8161324835723599</v>
      </c>
      <c r="G58" s="203">
        <v>0.83592077646737306</v>
      </c>
      <c r="H58" s="203">
        <v>0.85520508884793578</v>
      </c>
      <c r="I58" s="203">
        <v>0.87309603200911545</v>
      </c>
      <c r="J58" s="203">
        <v>0.88944765794490077</v>
      </c>
      <c r="K58" s="203">
        <v>0.9031910877098791</v>
      </c>
      <c r="L58" s="203">
        <v>0.90925173678971916</v>
      </c>
      <c r="M58" s="203">
        <v>0.92374001040404374</v>
      </c>
      <c r="N58" s="203">
        <v>0.94578149287889757</v>
      </c>
      <c r="P58" s="202">
        <v>0.26</v>
      </c>
      <c r="Q58" s="203">
        <v>0.75864448404995466</v>
      </c>
      <c r="R58" s="203">
        <v>0.77272056686129598</v>
      </c>
      <c r="S58" s="203">
        <v>0.78793392379026661</v>
      </c>
      <c r="T58" s="203">
        <v>0.80652845534786988</v>
      </c>
      <c r="U58" s="203">
        <v>0.82690176520051062</v>
      </c>
      <c r="V58" s="203">
        <v>0.84746282589194</v>
      </c>
      <c r="W58" s="203">
        <v>0.86556304985478971</v>
      </c>
      <c r="X58" s="203">
        <v>0.87364972068175406</v>
      </c>
      <c r="Y58" s="203">
        <v>0.89294604194234528</v>
      </c>
      <c r="Z58" s="203">
        <v>0.92077101487568502</v>
      </c>
      <c r="AB58" s="202">
        <v>0.26</v>
      </c>
      <c r="AC58" s="203">
        <v>0.74441133077078225</v>
      </c>
      <c r="AD58" s="203">
        <v>0.74985217265851167</v>
      </c>
      <c r="AE58" s="203">
        <v>0.75613219431077361</v>
      </c>
      <c r="AF58" s="203">
        <v>0.76542121598611845</v>
      </c>
      <c r="AG58" s="203">
        <v>0.77857450972134501</v>
      </c>
      <c r="AH58" s="203">
        <v>0.79546427800981934</v>
      </c>
      <c r="AI58" s="203">
        <v>0.8128566286395883</v>
      </c>
      <c r="AJ58" s="203">
        <v>0.82106761948444085</v>
      </c>
      <c r="AK58" s="203">
        <v>0.84060787161585249</v>
      </c>
      <c r="AL58" s="203">
        <v>0.86467809366854131</v>
      </c>
    </row>
    <row r="59" spans="4:38" x14ac:dyDescent="0.25">
      <c r="D59" s="202">
        <v>0.26500000000000001</v>
      </c>
      <c r="E59" s="203">
        <v>0.79554844980763839</v>
      </c>
      <c r="F59" s="203">
        <v>0.81920083053823323</v>
      </c>
      <c r="G59" s="203">
        <v>0.83872678469552231</v>
      </c>
      <c r="H59" s="203">
        <v>0.85774994448583075</v>
      </c>
      <c r="I59" s="203">
        <v>0.87539765559218408</v>
      </c>
      <c r="J59" s="203">
        <v>0.89152943358698311</v>
      </c>
      <c r="K59" s="203">
        <v>0.90509264382763066</v>
      </c>
      <c r="L59" s="203">
        <v>0.91107595111401085</v>
      </c>
      <c r="M59" s="203">
        <v>0.92538734031212766</v>
      </c>
      <c r="N59" s="203">
        <v>0.94719620716085018</v>
      </c>
      <c r="P59" s="202">
        <v>0.26500000000000001</v>
      </c>
      <c r="Q59" s="203">
        <v>0.76210557411512536</v>
      </c>
      <c r="R59" s="203">
        <v>0.77606305300794487</v>
      </c>
      <c r="S59" s="203">
        <v>0.79112345557635744</v>
      </c>
      <c r="T59" s="203">
        <v>0.80951443566873149</v>
      </c>
      <c r="U59" s="203">
        <v>0.8296544927955547</v>
      </c>
      <c r="V59" s="203">
        <v>0.84997649366995853</v>
      </c>
      <c r="W59" s="203">
        <v>0.86786807685188694</v>
      </c>
      <c r="X59" s="203">
        <v>0.87586331587938038</v>
      </c>
      <c r="Y59" s="203">
        <v>0.89494968332477287</v>
      </c>
      <c r="Z59" s="203">
        <v>0.92250947494925195</v>
      </c>
      <c r="AB59" s="202">
        <v>0.26500000000000001</v>
      </c>
      <c r="AC59" s="203">
        <v>0.74801732821269085</v>
      </c>
      <c r="AD59" s="203">
        <v>0.75343812268619803</v>
      </c>
      <c r="AE59" s="203">
        <v>0.75967611102418464</v>
      </c>
      <c r="AF59" s="203">
        <v>0.76888296503660958</v>
      </c>
      <c r="AG59" s="203">
        <v>0.78189947892687428</v>
      </c>
      <c r="AH59" s="203">
        <v>0.79859602473094538</v>
      </c>
      <c r="AI59" s="203">
        <v>0.81577835780878871</v>
      </c>
      <c r="AJ59" s="203">
        <v>0.82388785540682496</v>
      </c>
      <c r="AK59" s="203">
        <v>0.84318325803270278</v>
      </c>
      <c r="AL59" s="203">
        <v>0.86695032677660588</v>
      </c>
    </row>
    <row r="60" spans="4:38" x14ac:dyDescent="0.25">
      <c r="D60" s="202">
        <v>0.27</v>
      </c>
      <c r="E60" s="203">
        <v>0.79884648000297886</v>
      </c>
      <c r="F60" s="203">
        <v>0.82220238008975244</v>
      </c>
      <c r="G60" s="203">
        <v>0.84147027787878526</v>
      </c>
      <c r="H60" s="203">
        <v>0.86023670145959885</v>
      </c>
      <c r="I60" s="203">
        <v>0.87764530967490495</v>
      </c>
      <c r="J60" s="203">
        <v>0.89356087210403412</v>
      </c>
      <c r="K60" s="203">
        <v>0.90694665488788873</v>
      </c>
      <c r="L60" s="203">
        <v>0.91285372542871546</v>
      </c>
      <c r="M60" s="203">
        <v>0.92699036679973623</v>
      </c>
      <c r="N60" s="203">
        <v>0.94856716145146991</v>
      </c>
      <c r="P60" s="202">
        <v>0.27</v>
      </c>
      <c r="Q60" s="203">
        <v>0.76550132477875044</v>
      </c>
      <c r="R60" s="203">
        <v>0.77934077554011894</v>
      </c>
      <c r="S60" s="203">
        <v>0.79424974712197449</v>
      </c>
      <c r="T60" s="203">
        <v>0.81243966226819486</v>
      </c>
      <c r="U60" s="203">
        <v>0.83234958281207394</v>
      </c>
      <c r="V60" s="203">
        <v>0.85243579300659067</v>
      </c>
      <c r="W60" s="203">
        <v>0.87012149580431442</v>
      </c>
      <c r="X60" s="203">
        <v>0.87802643827585591</v>
      </c>
      <c r="Y60" s="203">
        <v>0.89690510208625085</v>
      </c>
      <c r="Z60" s="203">
        <v>0.9242006350349955</v>
      </c>
      <c r="AB60" s="202">
        <v>0.27</v>
      </c>
      <c r="AC60" s="203">
        <v>0.75155649974833649</v>
      </c>
      <c r="AD60" s="203">
        <v>0.75695654530676171</v>
      </c>
      <c r="AE60" s="203">
        <v>0.76315235570393958</v>
      </c>
      <c r="AF60" s="203">
        <v>0.77227754295454087</v>
      </c>
      <c r="AG60" s="203">
        <v>0.78515873582060292</v>
      </c>
      <c r="AH60" s="203">
        <v>0.80166460503254544</v>
      </c>
      <c r="AI60" s="203">
        <v>0.8186399856258274</v>
      </c>
      <c r="AJ60" s="203">
        <v>0.82664953444578071</v>
      </c>
      <c r="AK60" s="203">
        <v>0.84570390284827845</v>
      </c>
      <c r="AL60" s="203">
        <v>0.86917257081536825</v>
      </c>
    </row>
    <row r="61" spans="4:38" x14ac:dyDescent="0.25">
      <c r="D61" s="202">
        <v>0.27500000000000002</v>
      </c>
      <c r="E61" s="203">
        <v>0.80207584419007272</v>
      </c>
      <c r="F61" s="203">
        <v>0.82513959800108083</v>
      </c>
      <c r="G61" s="203">
        <v>0.84415358012889985</v>
      </c>
      <c r="H61" s="203">
        <v>0.86266753354406234</v>
      </c>
      <c r="I61" s="203">
        <v>0.8798410259090822</v>
      </c>
      <c r="J61" s="203">
        <v>0.89554388098420912</v>
      </c>
      <c r="K61" s="203">
        <v>0.90875493590015854</v>
      </c>
      <c r="L61" s="203">
        <v>0.91458683995928625</v>
      </c>
      <c r="M61" s="203">
        <v>0.92855081200539291</v>
      </c>
      <c r="N61" s="203">
        <v>0.94989613630877578</v>
      </c>
      <c r="P61" s="202">
        <v>0.27500000000000002</v>
      </c>
      <c r="Q61" s="203">
        <v>0.76883410348598957</v>
      </c>
      <c r="R61" s="203">
        <v>0.78255609063294773</v>
      </c>
      <c r="S61" s="203">
        <v>0.79731510984710408</v>
      </c>
      <c r="T61" s="203">
        <v>0.81530636774209486</v>
      </c>
      <c r="U61" s="203">
        <v>0.83498916523513789</v>
      </c>
      <c r="V61" s="203">
        <v>0.85484274460073462</v>
      </c>
      <c r="W61" s="203">
        <v>0.8723252359682182</v>
      </c>
      <c r="X61" s="203">
        <v>0.88014098055872592</v>
      </c>
      <c r="Y61" s="203">
        <v>0.89881412458007959</v>
      </c>
      <c r="Z61" s="203">
        <v>0.92584633914162007</v>
      </c>
      <c r="AB61" s="202">
        <v>0.27500000000000002</v>
      </c>
      <c r="AC61" s="203">
        <v>0.7550312548397069</v>
      </c>
      <c r="AD61" s="203">
        <v>0.76040987774926849</v>
      </c>
      <c r="AE61" s="203">
        <v>0.766563375089237</v>
      </c>
      <c r="AF61" s="203">
        <v>0.77560738582572208</v>
      </c>
      <c r="AG61" s="203">
        <v>0.78835467436219031</v>
      </c>
      <c r="AH61" s="203">
        <v>0.80467233274429528</v>
      </c>
      <c r="AI61" s="203">
        <v>0.82144372476696126</v>
      </c>
      <c r="AJ61" s="203">
        <v>0.82935481713382242</v>
      </c>
      <c r="AK61" s="203">
        <v>0.8481718357043776</v>
      </c>
      <c r="AL61" s="203">
        <v>0.8713466905249645</v>
      </c>
    </row>
    <row r="62" spans="4:38" x14ac:dyDescent="0.25">
      <c r="D62" s="202">
        <v>0.28000000000000003</v>
      </c>
      <c r="E62" s="203">
        <v>0.80523900944431248</v>
      </c>
      <c r="F62" s="203">
        <v>0.82801481834892476</v>
      </c>
      <c r="G62" s="203">
        <v>0.84677889086265312</v>
      </c>
      <c r="H62" s="203">
        <v>0.86504449750513457</v>
      </c>
      <c r="I62" s="203">
        <v>0.88198672635283681</v>
      </c>
      <c r="J62" s="203">
        <v>0.8974802646717297</v>
      </c>
      <c r="K62" s="203">
        <v>0.91051920372504147</v>
      </c>
      <c r="L62" s="203">
        <v>0.91627697861819801</v>
      </c>
      <c r="M62" s="203">
        <v>0.93007030476200347</v>
      </c>
      <c r="N62" s="203">
        <v>0.95118481522408138</v>
      </c>
      <c r="P62" s="202">
        <v>0.28000000000000003</v>
      </c>
      <c r="Q62" s="203">
        <v>0.77210615189155529</v>
      </c>
      <c r="R62" s="203">
        <v>0.78571122896769097</v>
      </c>
      <c r="S62" s="203">
        <v>0.80032173169133658</v>
      </c>
      <c r="T62" s="203">
        <v>0.81811666501372027</v>
      </c>
      <c r="U62" s="203">
        <v>0.83757525553757839</v>
      </c>
      <c r="V62" s="203">
        <v>0.85719926027509952</v>
      </c>
      <c r="W62" s="203">
        <v>0.87448112250589149</v>
      </c>
      <c r="X62" s="203">
        <v>0.8822087332433578</v>
      </c>
      <c r="Y62" s="203">
        <v>0.90067847846131033</v>
      </c>
      <c r="Z62" s="203">
        <v>0.92744833137341132</v>
      </c>
      <c r="AB62" s="202">
        <v>0.28000000000000003</v>
      </c>
      <c r="AC62" s="203">
        <v>0.75844387543387215</v>
      </c>
      <c r="AD62" s="203">
        <v>0.76380042825465544</v>
      </c>
      <c r="AE62" s="203">
        <v>0.76991148631718564</v>
      </c>
      <c r="AF62" s="203">
        <v>0.77887480043922785</v>
      </c>
      <c r="AG62" s="203">
        <v>0.79148956103499846</v>
      </c>
      <c r="AH62" s="203">
        <v>0.80762139799332999</v>
      </c>
      <c r="AI62" s="203">
        <v>0.82419166920415232</v>
      </c>
      <c r="AJ62" s="203">
        <v>0.83200574793824533</v>
      </c>
      <c r="AK62" s="203">
        <v>0.85058897692725166</v>
      </c>
      <c r="AL62" s="203">
        <v>0.87347445000190083</v>
      </c>
    </row>
    <row r="63" spans="4:38" x14ac:dyDescent="0.25">
      <c r="D63" s="202">
        <v>0.28499999999999998</v>
      </c>
      <c r="E63" s="203">
        <v>0.80833831426974279</v>
      </c>
      <c r="F63" s="203">
        <v>0.830830252724163</v>
      </c>
      <c r="G63" s="203">
        <v>0.84934829356173447</v>
      </c>
      <c r="H63" s="203">
        <v>0.86736954134482136</v>
      </c>
      <c r="I63" s="203">
        <v>0.88408423120770574</v>
      </c>
      <c r="J63" s="203">
        <v>0.89937173184939878</v>
      </c>
      <c r="K63" s="203">
        <v>0.91224108401433057</v>
      </c>
      <c r="L63" s="203">
        <v>0.91792573581607573</v>
      </c>
      <c r="M63" s="203">
        <v>0.93155038719565419</v>
      </c>
      <c r="N63" s="203">
        <v>0.95243479148045995</v>
      </c>
      <c r="P63" s="202">
        <v>0.28499999999999998</v>
      </c>
      <c r="Q63" s="203">
        <v>0.77531959461620492</v>
      </c>
      <c r="R63" s="203">
        <v>0.78880830448814343</v>
      </c>
      <c r="S63" s="203">
        <v>0.80327168575503416</v>
      </c>
      <c r="T63" s="203">
        <v>0.82087255573600326</v>
      </c>
      <c r="U63" s="203">
        <v>0.8401097627428914</v>
      </c>
      <c r="V63" s="203">
        <v>0.8595071506580565</v>
      </c>
      <c r="W63" s="203">
        <v>0.87659088383898798</v>
      </c>
      <c r="X63" s="203">
        <v>0.8842313918931004</v>
      </c>
      <c r="Y63" s="203">
        <v>0.90249979966518434</v>
      </c>
      <c r="Z63" s="203">
        <v>0.92900826299271988</v>
      </c>
      <c r="AB63" s="202">
        <v>0.28499999999999998</v>
      </c>
      <c r="AC63" s="203">
        <v>0.76179652480497262</v>
      </c>
      <c r="AD63" s="203">
        <v>0.76713038502004605</v>
      </c>
      <c r="AE63" s="203">
        <v>0.77319888591714625</v>
      </c>
      <c r="AF63" s="203">
        <v>0.78208197327812579</v>
      </c>
      <c r="AG63" s="203">
        <v>0.79456554373854471</v>
      </c>
      <c r="AH63" s="203">
        <v>0.81051387586715806</v>
      </c>
      <c r="AI63" s="203">
        <v>0.82688580254596356</v>
      </c>
      <c r="AJ63" s="203">
        <v>0.83460426342737326</v>
      </c>
      <c r="AK63" s="203">
        <v>0.85295714523800925</v>
      </c>
      <c r="AL63" s="203">
        <v>0.87555751981139374</v>
      </c>
    </row>
    <row r="64" spans="4:38" x14ac:dyDescent="0.25">
      <c r="D64" s="202">
        <v>0.28999999999999998</v>
      </c>
      <c r="E64" s="203">
        <v>0.81137597737831402</v>
      </c>
      <c r="F64" s="203">
        <v>0.83358799865185895</v>
      </c>
      <c r="G64" s="203">
        <v>0.85186376377655004</v>
      </c>
      <c r="H64" s="203">
        <v>0.86964451183247193</v>
      </c>
      <c r="I64" s="203">
        <v>0.88613526588469294</v>
      </c>
      <c r="J64" s="203">
        <v>0.90121990208878733</v>
      </c>
      <c r="K64" s="203">
        <v>0.91392211754816</v>
      </c>
      <c r="L64" s="203">
        <v>0.91953462268097941</v>
      </c>
      <c r="M64" s="203">
        <v>0.93299252075088468</v>
      </c>
      <c r="N64" s="203">
        <v>0.95364757441530523</v>
      </c>
      <c r="P64" s="202">
        <v>0.28999999999999998</v>
      </c>
      <c r="Q64" s="203">
        <v>0.7784764472543011</v>
      </c>
      <c r="R64" s="203">
        <v>0.79184932240637862</v>
      </c>
      <c r="S64" s="203">
        <v>0.80616693819758201</v>
      </c>
      <c r="T64" s="203">
        <v>0.82357593796899631</v>
      </c>
      <c r="U64" s="203">
        <v>0.84259449679073151</v>
      </c>
      <c r="V64" s="203">
        <v>0.86176813219967907</v>
      </c>
      <c r="W64" s="203">
        <v>0.87865615836364208</v>
      </c>
      <c r="X64" s="203">
        <v>0.88621056371265772</v>
      </c>
      <c r="Y64" s="203">
        <v>0.90427963877939221</v>
      </c>
      <c r="Z64" s="203">
        <v>0.93052769886884967</v>
      </c>
      <c r="AB64" s="202">
        <v>0.28999999999999998</v>
      </c>
      <c r="AC64" s="203">
        <v>0.7650912556428584</v>
      </c>
      <c r="AD64" s="203">
        <v>0.77040182438098026</v>
      </c>
      <c r="AE64" s="203">
        <v>0.7764276580381051</v>
      </c>
      <c r="AF64" s="203">
        <v>0.7852309787420565</v>
      </c>
      <c r="AG64" s="203">
        <v>0.79758465991882055</v>
      </c>
      <c r="AH64" s="203">
        <v>0.81335173433125674</v>
      </c>
      <c r="AI64" s="203">
        <v>0.82952800565846063</v>
      </c>
      <c r="AJ64" s="203">
        <v>0.83715219973096622</v>
      </c>
      <c r="AK64" s="203">
        <v>0.8552780647949545</v>
      </c>
      <c r="AL64" s="203">
        <v>0.8775974834822875</v>
      </c>
    </row>
    <row r="65" spans="4:38" x14ac:dyDescent="0.25">
      <c r="D65" s="202">
        <v>0.29499999999999998</v>
      </c>
      <c r="E65" s="203">
        <v>0.81435410573231526</v>
      </c>
      <c r="F65" s="203">
        <v>0.8362900472999083</v>
      </c>
      <c r="G65" s="203">
        <v>0.8543271764509851</v>
      </c>
      <c r="H65" s="203">
        <v>0.87187116139516319</v>
      </c>
      <c r="I65" s="203">
        <v>0.88814146746791489</v>
      </c>
      <c r="J65" s="203">
        <v>0.90302631193285687</v>
      </c>
      <c r="K65" s="203">
        <v>0.91556376603100642</v>
      </c>
      <c r="L65" s="203">
        <v>0.92110507274651432</v>
      </c>
      <c r="M65" s="203">
        <v>0.93439809170123977</v>
      </c>
      <c r="N65" s="203">
        <v>0.95482459514808227</v>
      </c>
      <c r="P65" s="202">
        <v>0.29499999999999998</v>
      </c>
      <c r="Q65" s="203">
        <v>0.78157862370801601</v>
      </c>
      <c r="R65" s="203">
        <v>0.7948361865337541</v>
      </c>
      <c r="S65" s="203">
        <v>0.80900935546807151</v>
      </c>
      <c r="T65" s="203">
        <v>0.82622861320638619</v>
      </c>
      <c r="U65" s="203">
        <v>0.84503117527615546</v>
      </c>
      <c r="V65" s="203">
        <v>0.86398383359005115</v>
      </c>
      <c r="W65" s="203">
        <v>0.88067850059281361</v>
      </c>
      <c r="X65" s="203">
        <v>0.88814777357885111</v>
      </c>
      <c r="Y65" s="203">
        <v>0.90601946687226287</v>
      </c>
      <c r="Z65" s="203">
        <v>0.93200812337623584</v>
      </c>
      <c r="AB65" s="202">
        <v>0.29499999999999998</v>
      </c>
      <c r="AC65" s="203">
        <v>0.76833001746411478</v>
      </c>
      <c r="AD65" s="203">
        <v>0.77361671830817391</v>
      </c>
      <c r="AE65" s="203">
        <v>0.77959978198623814</v>
      </c>
      <c r="AF65" s="203">
        <v>0.78832378667910885</v>
      </c>
      <c r="AG65" s="203">
        <v>0.80054884401354032</v>
      </c>
      <c r="AH65" s="203">
        <v>0.81613684147700427</v>
      </c>
      <c r="AI65" s="203">
        <v>0.83212006363944135</v>
      </c>
      <c r="AJ65" s="203">
        <v>0.83965129936676264</v>
      </c>
      <c r="AK65" s="203">
        <v>0.85755337163613987</v>
      </c>
      <c r="AL65" s="203">
        <v>0.87959584344777386</v>
      </c>
    </row>
    <row r="66" spans="4:38" x14ac:dyDescent="0.25">
      <c r="D66" s="202">
        <v>0.3</v>
      </c>
      <c r="E66" s="203">
        <v>0.81727470192296914</v>
      </c>
      <c r="F66" s="203">
        <v>0.83893829054725177</v>
      </c>
      <c r="G66" s="203">
        <v>0.85674031263608807</v>
      </c>
      <c r="H66" s="203">
        <v>0.874051154431569</v>
      </c>
      <c r="I66" s="203">
        <v>0.89010439063644753</v>
      </c>
      <c r="J66" s="203">
        <v>0.90479242046817188</v>
      </c>
      <c r="K66" s="203">
        <v>0.91716741740105634</v>
      </c>
      <c r="L66" s="203">
        <v>0.92263844716229215</v>
      </c>
      <c r="M66" s="203">
        <v>0.9357684161969837</v>
      </c>
      <c r="N66" s="203">
        <v>0.95596721182718503</v>
      </c>
      <c r="P66" s="202">
        <v>0.3</v>
      </c>
      <c r="Q66" s="203">
        <v>0.78462794291500204</v>
      </c>
      <c r="R66" s="203">
        <v>0.797770706004296</v>
      </c>
      <c r="S66" s="203">
        <v>0.81180071093500261</v>
      </c>
      <c r="T66" s="203">
        <v>0.82883229281616588</v>
      </c>
      <c r="U66" s="203">
        <v>0.84742142962544642</v>
      </c>
      <c r="V66" s="203">
        <v>0.86615580163992434</v>
      </c>
      <c r="W66" s="203">
        <v>0.88265938678350209</v>
      </c>
      <c r="X66" s="203">
        <v>0.89004446956542382</v>
      </c>
      <c r="Y66" s="203">
        <v>0.90772068083169777</v>
      </c>
      <c r="Z66" s="203">
        <v>0.93345094579740895</v>
      </c>
      <c r="AB66" s="202">
        <v>0.3</v>
      </c>
      <c r="AC66" s="203">
        <v>0.77151466341246999</v>
      </c>
      <c r="AD66" s="203">
        <v>0.77677694128658781</v>
      </c>
      <c r="AE66" s="203">
        <v>0.78271713914093122</v>
      </c>
      <c r="AF66" s="203">
        <v>0.79136226929545561</v>
      </c>
      <c r="AG66" s="203">
        <v>0.80345993428044082</v>
      </c>
      <c r="AH66" s="203">
        <v>0.81887097216677962</v>
      </c>
      <c r="AI66" s="203">
        <v>0.83466367221073923</v>
      </c>
      <c r="AJ66" s="203">
        <v>0.84210321749670192</v>
      </c>
      <c r="AK66" s="203">
        <v>0.85978461958240571</v>
      </c>
      <c r="AL66" s="203">
        <v>0.88155402648770442</v>
      </c>
    </row>
    <row r="67" spans="4:38" x14ac:dyDescent="0.25">
      <c r="D67" s="202">
        <v>0.30499999999999999</v>
      </c>
      <c r="E67" s="203">
        <v>0.82013967094987705</v>
      </c>
      <c r="F67" s="203">
        <v>0.8415345274744559</v>
      </c>
      <c r="G67" s="203">
        <v>0.85910486565285282</v>
      </c>
      <c r="H67" s="203">
        <v>0.87618607310624297</v>
      </c>
      <c r="I67" s="203">
        <v>0.89202551309797107</v>
      </c>
      <c r="J67" s="203">
        <v>0.90651961443725038</v>
      </c>
      <c r="K67" s="203">
        <v>0.91873439070116958</v>
      </c>
      <c r="L67" s="203">
        <v>0.92413603947408374</v>
      </c>
      <c r="M67" s="203">
        <v>0.93710474489585915</v>
      </c>
      <c r="N67" s="203">
        <v>0.95707671444357012</v>
      </c>
      <c r="P67" s="202">
        <v>0.30499999999999999</v>
      </c>
      <c r="Q67" s="203">
        <v>0.78762613502874834</v>
      </c>
      <c r="R67" s="203">
        <v>0.80065460144990341</v>
      </c>
      <c r="S67" s="203">
        <v>0.81454269097396559</v>
      </c>
      <c r="T67" s="203">
        <v>0.83138860395312419</v>
      </c>
      <c r="U67" s="203">
        <v>0.84976681076411154</v>
      </c>
      <c r="V67" s="203">
        <v>0.86828550667688198</v>
      </c>
      <c r="W67" s="203">
        <v>0.88460022009981421</v>
      </c>
      <c r="X67" s="203">
        <v>0.89190202801197704</v>
      </c>
      <c r="Y67" s="203">
        <v>0.90938460826331668</v>
      </c>
      <c r="Z67" s="203">
        <v>0.93485750527981937</v>
      </c>
      <c r="AB67" s="202">
        <v>0.30499999999999999</v>
      </c>
      <c r="AC67" s="203">
        <v>0.77464695650798077</v>
      </c>
      <c r="AD67" s="203">
        <v>0.77988427663688686</v>
      </c>
      <c r="AE67" s="203">
        <v>0.78578151930976203</v>
      </c>
      <c r="AF67" s="203">
        <v>0.79434820750344448</v>
      </c>
      <c r="AG67" s="203">
        <v>0.80631967906898694</v>
      </c>
      <c r="AH67" s="203">
        <v>0.821555814135421</v>
      </c>
      <c r="AI67" s="203">
        <v>0.8371604435859149</v>
      </c>
      <c r="AJ67" s="203">
        <v>0.8445095276690685</v>
      </c>
      <c r="AK67" s="203">
        <v>0.86197328565423526</v>
      </c>
      <c r="AL67" s="203">
        <v>0.88347338872185688</v>
      </c>
    </row>
    <row r="68" spans="4:38" x14ac:dyDescent="0.25">
      <c r="D68" s="202">
        <v>0.31</v>
      </c>
      <c r="E68" s="203">
        <v>0.82295082645876338</v>
      </c>
      <c r="F68" s="203">
        <v>0.84408047033240086</v>
      </c>
      <c r="G68" s="203">
        <v>0.86142244675747459</v>
      </c>
      <c r="H68" s="203">
        <v>0.87827742267479869</v>
      </c>
      <c r="I68" s="203">
        <v>0.89390624058172796</v>
      </c>
      <c r="J68" s="203">
        <v>0.90820921293586054</v>
      </c>
      <c r="K68" s="203">
        <v>0.92026594055417188</v>
      </c>
      <c r="L68" s="203">
        <v>0.92559908001561542</v>
      </c>
      <c r="M68" s="203">
        <v>0.93840826721755921</v>
      </c>
      <c r="N68" s="203">
        <v>0.95815432925342414</v>
      </c>
      <c r="P68" s="202">
        <v>0.31</v>
      </c>
      <c r="Q68" s="203">
        <v>0.79057484710418957</v>
      </c>
      <c r="R68" s="203">
        <v>0.80348951068015662</v>
      </c>
      <c r="S68" s="203">
        <v>0.81723690056562726</v>
      </c>
      <c r="T68" s="203">
        <v>0.8338990949942906</v>
      </c>
      <c r="U68" s="203">
        <v>0.85206879432635496</v>
      </c>
      <c r="V68" s="203">
        <v>0.87037434750413623</v>
      </c>
      <c r="W68" s="203">
        <v>0.88650233535708645</v>
      </c>
      <c r="X68" s="203">
        <v>0.8937217581814515</v>
      </c>
      <c r="Y68" s="203">
        <v>0.91101251199078526</v>
      </c>
      <c r="Z68" s="203">
        <v>0.93622907539001787</v>
      </c>
      <c r="AB68" s="202">
        <v>0.31</v>
      </c>
      <c r="AC68" s="203">
        <v>0.77772857539776141</v>
      </c>
      <c r="AD68" s="203">
        <v>0.78294042233266659</v>
      </c>
      <c r="AE68" s="203">
        <v>0.78879462657618393</v>
      </c>
      <c r="AF68" s="203">
        <v>0.79728329676202569</v>
      </c>
      <c r="AG68" s="203">
        <v>0.80912974258904691</v>
      </c>
      <c r="AH68" s="203">
        <v>0.82419297360055022</v>
      </c>
      <c r="AI68" s="203">
        <v>0.83961191186416773</v>
      </c>
      <c r="AJ68" s="203">
        <v>0.84687172709642455</v>
      </c>
      <c r="AK68" s="203">
        <v>0.86412077504969476</v>
      </c>
      <c r="AL68" s="203">
        <v>0.88535522019788271</v>
      </c>
    </row>
    <row r="69" spans="4:38" x14ac:dyDescent="0.25">
      <c r="D69" s="202">
        <v>0.315</v>
      </c>
      <c r="E69" s="203">
        <v>0.82570989648864634</v>
      </c>
      <c r="F69" s="203">
        <v>0.84657775003863489</v>
      </c>
      <c r="G69" s="203">
        <v>0.86369459035650498</v>
      </c>
      <c r="H69" s="203">
        <v>0.88032663638483566</v>
      </c>
      <c r="I69" s="203">
        <v>0.89574791143300292</v>
      </c>
      <c r="J69" s="203">
        <v>0.90986247173505042</v>
      </c>
      <c r="K69" s="203">
        <v>0.92176326128043162</v>
      </c>
      <c r="L69" s="203">
        <v>0.9270287399492757</v>
      </c>
      <c r="M69" s="203">
        <v>0.93968011525801654</v>
      </c>
      <c r="N69" s="203">
        <v>0.95920122284737963</v>
      </c>
      <c r="P69" s="202">
        <v>0.315</v>
      </c>
      <c r="Q69" s="203">
        <v>0.79347564833535733</v>
      </c>
      <c r="R69" s="203">
        <v>0.80627699391366103</v>
      </c>
      <c r="S69" s="203">
        <v>0.81988486845053865</v>
      </c>
      <c r="T69" s="203">
        <v>0.83636524054279415</v>
      </c>
      <c r="U69" s="203">
        <v>0.85432878544982971</v>
      </c>
      <c r="V69" s="203">
        <v>0.87242365596381699</v>
      </c>
      <c r="W69" s="203">
        <v>0.88836700338720498</v>
      </c>
      <c r="X69" s="203">
        <v>0.89550490654558834</v>
      </c>
      <c r="Y69" s="203">
        <v>0.91260559419647047</v>
      </c>
      <c r="Z69" s="203">
        <v>0.93756686830382152</v>
      </c>
      <c r="AB69" s="202">
        <v>0.315</v>
      </c>
      <c r="AC69" s="203">
        <v>0.78076111965521455</v>
      </c>
      <c r="AD69" s="203">
        <v>0.78594699636095311</v>
      </c>
      <c r="AE69" s="203">
        <v>0.79175808468774822</v>
      </c>
      <c r="AF69" s="203">
        <v>0.80016915245747566</v>
      </c>
      <c r="AG69" s="203">
        <v>0.81189171022419604</v>
      </c>
      <c r="AH69" s="203">
        <v>0.82678398042845691</v>
      </c>
      <c r="AI69" s="203">
        <v>0.84201953799564344</v>
      </c>
      <c r="AJ69" s="203">
        <v>0.84919124151365366</v>
      </c>
      <c r="AK69" s="203">
        <v>0.86622842572545866</v>
      </c>
      <c r="AL69" s="203">
        <v>0.887200749112798</v>
      </c>
    </row>
    <row r="70" spans="4:38" x14ac:dyDescent="0.25">
      <c r="D70" s="202">
        <v>0.32</v>
      </c>
      <c r="E70" s="203">
        <v>0.82841852877401212</v>
      </c>
      <c r="F70" s="203">
        <v>0.84902792124555082</v>
      </c>
      <c r="G70" s="203">
        <v>0.86592275881415914</v>
      </c>
      <c r="H70" s="203">
        <v>0.88233507999253613</v>
      </c>
      <c r="I70" s="203">
        <v>0.8975518008466864</v>
      </c>
      <c r="J70" s="203">
        <v>0.91148058726332626</v>
      </c>
      <c r="K70" s="203">
        <v>0.92322749069149546</v>
      </c>
      <c r="L70" s="203">
        <v>0.92842613498887683</v>
      </c>
      <c r="M70" s="203">
        <v>0.94092136739564713</v>
      </c>
      <c r="N70" s="203">
        <v>0.9602185058996684</v>
      </c>
      <c r="P70" s="202">
        <v>0.32</v>
      </c>
      <c r="Q70" s="203">
        <v>0.79633003488676102</v>
      </c>
      <c r="R70" s="203">
        <v>0.80901853860276263</v>
      </c>
      <c r="S70" s="203">
        <v>0.82248805188221707</v>
      </c>
      <c r="T70" s="203">
        <v>0.83878844604061142</v>
      </c>
      <c r="U70" s="203">
        <v>0.85654812319466789</v>
      </c>
      <c r="V70" s="203">
        <v>0.8744347011420156</v>
      </c>
      <c r="W70" s="203">
        <v>0.89019543506084453</v>
      </c>
      <c r="X70" s="203">
        <v>0.8972526607334711</v>
      </c>
      <c r="Y70" s="203">
        <v>0.91416500023638569</v>
      </c>
      <c r="Z70" s="203">
        <v>0.93887203866683544</v>
      </c>
      <c r="AB70" s="202">
        <v>0.32</v>
      </c>
      <c r="AC70" s="203">
        <v>0.78374611466964539</v>
      </c>
      <c r="AD70" s="203">
        <v>0.78890554166834304</v>
      </c>
      <c r="AE70" s="203">
        <v>0.79467344202751544</v>
      </c>
      <c r="AF70" s="203">
        <v>0.80300731486715671</v>
      </c>
      <c r="AG70" s="203">
        <v>0.81460709343211091</v>
      </c>
      <c r="AH70" s="203">
        <v>0.82933029289713056</v>
      </c>
      <c r="AI70" s="203">
        <v>0.84438471435836915</v>
      </c>
      <c r="AJ70" s="203">
        <v>0.85146942965557382</v>
      </c>
      <c r="AK70" s="203">
        <v>0.86829751261830068</v>
      </c>
      <c r="AL70" s="203">
        <v>0.88901114570258499</v>
      </c>
    </row>
    <row r="71" spans="4:38" x14ac:dyDescent="0.25">
      <c r="D71" s="202">
        <v>0.32500000000000001</v>
      </c>
      <c r="E71" s="203">
        <v>0.8310782956427174</v>
      </c>
      <c r="F71" s="203">
        <v>0.85143246701980357</v>
      </c>
      <c r="G71" s="203">
        <v>0.86810834688945204</v>
      </c>
      <c r="H71" s="203">
        <v>0.88430405593054162</v>
      </c>
      <c r="I71" s="203">
        <v>0.89931912477342113</v>
      </c>
      <c r="J71" s="203">
        <v>0.91306470028055153</v>
      </c>
      <c r="K71" s="203">
        <v>0.92465971358989285</v>
      </c>
      <c r="L71" s="203">
        <v>0.92979232883403407</v>
      </c>
      <c r="M71" s="203">
        <v>0.94213305161819039</v>
      </c>
      <c r="N71" s="203">
        <v>0.96120723662697294</v>
      </c>
      <c r="P71" s="202">
        <v>0.32500000000000001</v>
      </c>
      <c r="Q71" s="203">
        <v>0.79913943435574131</v>
      </c>
      <c r="R71" s="203">
        <v>0.81171556388898247</v>
      </c>
      <c r="S71" s="203">
        <v>0.82504784101548911</v>
      </c>
      <c r="T71" s="203">
        <v>0.84117005202632866</v>
      </c>
      <c r="U71" s="203">
        <v>0.85872808462157135</v>
      </c>
      <c r="V71" s="203">
        <v>0.87640869324880943</v>
      </c>
      <c r="W71" s="203">
        <v>0.89198878499848666</v>
      </c>
      <c r="X71" s="203">
        <v>0.89896615317444328</v>
      </c>
      <c r="Y71" s="203">
        <v>0.91569182215968947</v>
      </c>
      <c r="Z71" s="203">
        <v>0.94014568715597047</v>
      </c>
      <c r="AB71" s="202">
        <v>0.32500000000000001</v>
      </c>
      <c r="AC71" s="203">
        <v>0.78668501616367981</v>
      </c>
      <c r="AD71" s="203">
        <v>0.79181753073063676</v>
      </c>
      <c r="AE71" s="203">
        <v>0.79754217620675671</v>
      </c>
      <c r="AF71" s="203">
        <v>0.80579925374450501</v>
      </c>
      <c r="AG71" s="203">
        <v>0.8172773342699724</v>
      </c>
      <c r="AH71" s="203">
        <v>0.83183330209356454</v>
      </c>
      <c r="AI71" s="203">
        <v>0.84670876898270897</v>
      </c>
      <c r="AJ71" s="203">
        <v>0.85370758738931618</v>
      </c>
      <c r="AK71" s="203">
        <v>0.87032925154039065</v>
      </c>
      <c r="AL71" s="203">
        <v>0.89078752583073284</v>
      </c>
    </row>
    <row r="72" spans="4:38" x14ac:dyDescent="0.25">
      <c r="D72" s="202">
        <v>0.33</v>
      </c>
      <c r="E72" s="203">
        <v>0.83369069854604527</v>
      </c>
      <c r="F72" s="203">
        <v>0.85379280316820716</v>
      </c>
      <c r="G72" s="203">
        <v>0.87025268583685522</v>
      </c>
      <c r="H72" s="203">
        <v>0.88623480715892866</v>
      </c>
      <c r="I72" s="203">
        <v>0.90105104352825383</v>
      </c>
      <c r="J72" s="203">
        <v>0.91461589927176845</v>
      </c>
      <c r="K72" s="203">
        <v>0.92606096500200452</v>
      </c>
      <c r="L72" s="203">
        <v>0.93112833634256409</v>
      </c>
      <c r="M72" s="203">
        <v>0.94331614859573054</v>
      </c>
      <c r="N72" s="203">
        <v>0.9621684239835655</v>
      </c>
      <c r="P72" s="202">
        <v>0.33</v>
      </c>
      <c r="Q72" s="203">
        <v>0.80190520989911174</v>
      </c>
      <c r="R72" s="203">
        <v>0.81436942472257501</v>
      </c>
      <c r="S72" s="203">
        <v>0.8275655629631824</v>
      </c>
      <c r="T72" s="203">
        <v>0.84351133807020373</v>
      </c>
      <c r="U72" s="203">
        <v>0.8608698885600562</v>
      </c>
      <c r="V72" s="203">
        <v>0.87834678720295745</v>
      </c>
      <c r="W72" s="203">
        <v>0.89374815499867466</v>
      </c>
      <c r="X72" s="203">
        <v>0.90064646446335617</v>
      </c>
      <c r="Y72" s="203">
        <v>0.91718710195977959</v>
      </c>
      <c r="Z72" s="203">
        <v>0.94138886376933628</v>
      </c>
      <c r="AB72" s="202">
        <v>0.33</v>
      </c>
      <c r="AC72" s="203">
        <v>0.78957921437196765</v>
      </c>
      <c r="AD72" s="203">
        <v>0.79468436977983659</v>
      </c>
      <c r="AE72" s="203">
        <v>0.80036569831304527</v>
      </c>
      <c r="AF72" s="203">
        <v>0.80854637255940043</v>
      </c>
      <c r="AG72" s="203">
        <v>0.81990380957879461</v>
      </c>
      <c r="AH72" s="203">
        <v>0.83429433597851632</v>
      </c>
      <c r="AI72" s="203">
        <v>0.84899296945541725</v>
      </c>
      <c r="AJ72" s="203">
        <v>0.85590695153292917</v>
      </c>
      <c r="AK72" s="203">
        <v>0.87232480277818147</v>
      </c>
      <c r="AL72" s="203">
        <v>0.89253095430325635</v>
      </c>
    </row>
    <row r="73" spans="4:38" x14ac:dyDescent="0.25">
      <c r="D73" s="202">
        <v>0.33500000000000002</v>
      </c>
      <c r="E73" s="203">
        <v>0.8362571722535852</v>
      </c>
      <c r="F73" s="203">
        <v>0.85611028224168728</v>
      </c>
      <c r="G73" s="203">
        <v>0.872357047200638</v>
      </c>
      <c r="H73" s="203">
        <v>0.8881285207277656</v>
      </c>
      <c r="I73" s="203">
        <v>0.90274866512857366</v>
      </c>
      <c r="J73" s="203">
        <v>0.91613522358618438</v>
      </c>
      <c r="K73" s="203">
        <v>0.92743223316806422</v>
      </c>
      <c r="L73" s="203">
        <v>0.93243512646452531</v>
      </c>
      <c r="M73" s="203">
        <v>0.94447159452279605</v>
      </c>
      <c r="N73" s="203">
        <v>0.9631030306165107</v>
      </c>
      <c r="P73" s="202">
        <v>0.33500000000000002</v>
      </c>
      <c r="Q73" s="203">
        <v>0.80462866405394629</v>
      </c>
      <c r="R73" s="203">
        <v>0.81698141567614702</v>
      </c>
      <c r="S73" s="203">
        <v>0.83004248555078763</v>
      </c>
      <c r="T73" s="203">
        <v>0.8458135264154355</v>
      </c>
      <c r="U73" s="203">
        <v>0.86297469909467206</v>
      </c>
      <c r="V73" s="203">
        <v>0.88025008594783671</v>
      </c>
      <c r="W73" s="203">
        <v>0.89547459720896783</v>
      </c>
      <c r="X73" s="203">
        <v>0.90229462647316372</v>
      </c>
      <c r="Y73" s="203">
        <v>0.91865183458117949</v>
      </c>
      <c r="Z73" s="203">
        <v>0.94260257086899391</v>
      </c>
      <c r="AB73" s="202">
        <v>0.33500000000000002</v>
      </c>
      <c r="AC73" s="203">
        <v>0.7924300379112057</v>
      </c>
      <c r="AD73" s="203">
        <v>0.79750740271889109</v>
      </c>
      <c r="AE73" s="203">
        <v>0.80314535684431365</v>
      </c>
      <c r="AF73" s="203">
        <v>0.81125001242454842</v>
      </c>
      <c r="AG73" s="203">
        <v>0.82248783485706956</v>
      </c>
      <c r="AH73" s="203">
        <v>0.83671466314846166</v>
      </c>
      <c r="AI73" s="203">
        <v>0.85123852653201948</v>
      </c>
      <c r="AJ73" s="203">
        <v>0.8580687033883706</v>
      </c>
      <c r="AK73" s="203">
        <v>0.87428527442155024</v>
      </c>
      <c r="AL73" s="203">
        <v>0.89424244793483409</v>
      </c>
    </row>
    <row r="74" spans="4:38" x14ac:dyDescent="0.25">
      <c r="D74" s="202">
        <v>0.34</v>
      </c>
      <c r="E74" s="203">
        <v>0.8387790887422556</v>
      </c>
      <c r="F74" s="203">
        <v>0.85838619724561971</v>
      </c>
      <c r="G74" s="203">
        <v>0.8744226463299416</v>
      </c>
      <c r="H74" s="203">
        <v>0.88998633107679104</v>
      </c>
      <c r="I74" s="203">
        <v>0.9044130483853543</v>
      </c>
      <c r="J74" s="203">
        <v>0.91762366634394099</v>
      </c>
      <c r="K74" s="203">
        <v>0.92877446231085803</v>
      </c>
      <c r="L74" s="203">
        <v>0.93371362495907073</v>
      </c>
      <c r="M74" s="203">
        <v>0.94560028375005056</v>
      </c>
      <c r="N74" s="203">
        <v>0.96401197560226382</v>
      </c>
      <c r="P74" s="202">
        <v>0.34</v>
      </c>
      <c r="Q74" s="203">
        <v>0.80731104227932071</v>
      </c>
      <c r="R74" s="203">
        <v>0.81955277447920127</v>
      </c>
      <c r="S74" s="203">
        <v>0.83247982079568672</v>
      </c>
      <c r="T74" s="203">
        <v>0.84807778535158118</v>
      </c>
      <c r="U74" s="203">
        <v>0.86504362879415309</v>
      </c>
      <c r="V74" s="203">
        <v>0.88211964352244265</v>
      </c>
      <c r="W74" s="203">
        <v>0.89716911706243285</v>
      </c>
      <c r="X74" s="203">
        <v>0.90391162523729041</v>
      </c>
      <c r="Y74" s="203">
        <v>0.92008697070389911</v>
      </c>
      <c r="Z74" s="203">
        <v>0.94378776599852388</v>
      </c>
      <c r="AB74" s="202">
        <v>0.34</v>
      </c>
      <c r="AC74" s="203">
        <v>0.79523875736843852</v>
      </c>
      <c r="AD74" s="203">
        <v>0.80028791475145722</v>
      </c>
      <c r="AE74" s="203">
        <v>0.80588244135632081</v>
      </c>
      <c r="AF74" s="203">
        <v>0.8139114557353635</v>
      </c>
      <c r="AG74" s="203">
        <v>0.82503066785100043</v>
      </c>
      <c r="AH74" s="203">
        <v>0.83909549632140534</v>
      </c>
      <c r="AI74" s="203">
        <v>0.85344659748328311</v>
      </c>
      <c r="AJ74" s="203">
        <v>0.8601939720141456</v>
      </c>
      <c r="AK74" s="203">
        <v>0.87621172544709258</v>
      </c>
      <c r="AL74" s="203">
        <v>0.89592297838815671</v>
      </c>
    </row>
    <row r="75" spans="4:38" x14ac:dyDescent="0.25">
      <c r="D75" s="202">
        <v>0.34499999999999997</v>
      </c>
      <c r="E75" s="203">
        <v>0.84125776080585168</v>
      </c>
      <c r="F75" s="203">
        <v>0.86062178508201981</v>
      </c>
      <c r="G75" s="203">
        <v>0.87645064563890074</v>
      </c>
      <c r="H75" s="203">
        <v>0.8918093230951516</v>
      </c>
      <c r="I75" s="203">
        <v>0.90604520576925007</v>
      </c>
      <c r="J75" s="203">
        <v>0.9190821771309885</v>
      </c>
      <c r="K75" s="203">
        <v>0.930088555202504</v>
      </c>
      <c r="L75" s="203">
        <v>0.93496471691313465</v>
      </c>
      <c r="M75" s="203">
        <v>0.94670307122400477</v>
      </c>
      <c r="N75" s="203">
        <v>0.96489613698379251</v>
      </c>
      <c r="P75" s="202">
        <v>0.34499999999999997</v>
      </c>
      <c r="Q75" s="203">
        <v>0.80995353624310928</v>
      </c>
      <c r="R75" s="203">
        <v>0.82208468529775824</v>
      </c>
      <c r="S75" s="203">
        <v>0.83487872813484099</v>
      </c>
      <c r="T75" s="203">
        <v>0.85030523234341981</v>
      </c>
      <c r="U75" s="203">
        <v>0.86707774170592333</v>
      </c>
      <c r="V75" s="203">
        <v>0.88395646790884752</v>
      </c>
      <c r="W75" s="203">
        <v>0.89883267600016847</v>
      </c>
      <c r="X75" s="203">
        <v>0.90549840362191059</v>
      </c>
      <c r="Y75" s="203">
        <v>0.92149341932475526</v>
      </c>
      <c r="Z75" s="203">
        <v>0.94494536449512434</v>
      </c>
      <c r="AB75" s="202">
        <v>0.34499999999999997</v>
      </c>
      <c r="AC75" s="203">
        <v>0.79800658863189977</v>
      </c>
      <c r="AD75" s="203">
        <v>0.80302713575122131</v>
      </c>
      <c r="AE75" s="203">
        <v>0.80857818584822883</v>
      </c>
      <c r="AF75" s="203">
        <v>0.81653192954808151</v>
      </c>
      <c r="AG75" s="203">
        <v>0.827533511885857</v>
      </c>
      <c r="AH75" s="203">
        <v>0.8414379955705269</v>
      </c>
      <c r="AI75" s="203">
        <v>0.85561828919892735</v>
      </c>
      <c r="AJ75" s="203">
        <v>0.86228383726027868</v>
      </c>
      <c r="AK75" s="203">
        <v>0.87810516857704546</v>
      </c>
      <c r="AL75" s="203">
        <v>0.89757347480632321</v>
      </c>
    </row>
    <row r="76" spans="4:38" x14ac:dyDescent="0.25">
      <c r="D76" s="202">
        <v>0.35</v>
      </c>
      <c r="E76" s="203">
        <v>0.84369444540887473</v>
      </c>
      <c r="F76" s="203">
        <v>0.86281822974650579</v>
      </c>
      <c r="G76" s="203">
        <v>0.87844215763368405</v>
      </c>
      <c r="H76" s="203">
        <v>0.89359853496183794</v>
      </c>
      <c r="I76" s="203">
        <v>0.90764610607095408</v>
      </c>
      <c r="J76" s="203">
        <v>0.92051166450032829</v>
      </c>
      <c r="K76" s="203">
        <v>0.93137537554671868</v>
      </c>
      <c r="L76" s="203">
        <v>0.93618924907904422</v>
      </c>
      <c r="M76" s="203">
        <v>0.94778077475131306</v>
      </c>
      <c r="N76" s="203">
        <v>0.9657563541254528</v>
      </c>
      <c r="P76" s="202">
        <v>0.35</v>
      </c>
      <c r="Q76" s="203">
        <v>0.81255728687554762</v>
      </c>
      <c r="R76" s="203">
        <v>0.82457828178080883</v>
      </c>
      <c r="S76" s="203">
        <v>0.83724031742244853</v>
      </c>
      <c r="T76" s="203">
        <v>0.85249693693623141</v>
      </c>
      <c r="U76" s="203">
        <v>0.86907805613611588</v>
      </c>
      <c r="V76" s="203">
        <v>0.88576152367536853</v>
      </c>
      <c r="W76" s="203">
        <v>0.9004661939983053</v>
      </c>
      <c r="X76" s="203">
        <v>0.90705586380625092</v>
      </c>
      <c r="Y76" s="203">
        <v>0.92287205015315021</v>
      </c>
      <c r="Z76" s="203">
        <v>0.94607624191396167</v>
      </c>
      <c r="AB76" s="202">
        <v>0.35</v>
      </c>
      <c r="AC76" s="203">
        <v>0.80073469598624181</v>
      </c>
      <c r="AD76" s="203">
        <v>0.80572624339288657</v>
      </c>
      <c r="AE76" s="203">
        <v>0.81123377190853441</v>
      </c>
      <c r="AF76" s="203">
        <v>0.81911260871836966</v>
      </c>
      <c r="AG76" s="203">
        <v>0.82999751896052498</v>
      </c>
      <c r="AH76" s="203">
        <v>0.84374327132724058</v>
      </c>
      <c r="AI76" s="203">
        <v>0.85775466106940101</v>
      </c>
      <c r="AJ76" s="203">
        <v>0.86433933258603624</v>
      </c>
      <c r="AK76" s="203">
        <v>0.87996657293314662</v>
      </c>
      <c r="AL76" s="203">
        <v>0.89919482625612601</v>
      </c>
    </row>
    <row r="77" spans="4:38" x14ac:dyDescent="0.25">
      <c r="D77" s="202">
        <v>0.35499999999999998</v>
      </c>
      <c r="E77" s="203">
        <v>0.84609034680607709</v>
      </c>
      <c r="F77" s="203">
        <v>0.86497666530070749</v>
      </c>
      <c r="G77" s="203">
        <v>0.88039824772616571</v>
      </c>
      <c r="H77" s="203">
        <v>0.89535496078541466</v>
      </c>
      <c r="I77" s="203">
        <v>0.90921667687328178</v>
      </c>
      <c r="J77" s="203">
        <v>0.92191299829609119</v>
      </c>
      <c r="K77" s="203">
        <v>0.93263575019227052</v>
      </c>
      <c r="L77" s="203">
        <v>0.93738803204645904</v>
      </c>
      <c r="M77" s="203">
        <v>0.94883417710258178</v>
      </c>
      <c r="N77" s="203">
        <v>0.96659342990111019</v>
      </c>
      <c r="P77" s="202">
        <v>0.35499999999999998</v>
      </c>
      <c r="Q77" s="203">
        <v>0.81512338720914634</v>
      </c>
      <c r="R77" s="203">
        <v>0.82703464989320552</v>
      </c>
      <c r="S77" s="203">
        <v>0.83956565171697151</v>
      </c>
      <c r="T77" s="203">
        <v>0.85465392345639835</v>
      </c>
      <c r="U77" s="203">
        <v>0.87104554723328742</v>
      </c>
      <c r="V77" s="203">
        <v>0.88753573443277767</v>
      </c>
      <c r="W77" s="203">
        <v>0.90207055191609364</v>
      </c>
      <c r="X77" s="203">
        <v>0.90858486958723239</v>
      </c>
      <c r="Y77" s="203">
        <v>0.92422369583710096</v>
      </c>
      <c r="Z77" s="203">
        <v>0.94718123628074535</v>
      </c>
      <c r="AB77" s="202">
        <v>0.35499999999999998</v>
      </c>
      <c r="AC77" s="203">
        <v>0.80342419499188189</v>
      </c>
      <c r="AD77" s="203">
        <v>0.80838636606477543</v>
      </c>
      <c r="AE77" s="203">
        <v>0.81385033164142406</v>
      </c>
      <c r="AF77" s="203">
        <v>0.82165461882053059</v>
      </c>
      <c r="AG77" s="203">
        <v>0.83242379262517274</v>
      </c>
      <c r="AH77" s="203">
        <v>0.84601238717311822</v>
      </c>
      <c r="AI77" s="203">
        <v>0.8598567276645076</v>
      </c>
      <c r="AJ77" s="203">
        <v>0.86636144767879864</v>
      </c>
      <c r="AK77" s="203">
        <v>0.88179686650283273</v>
      </c>
      <c r="AL77" s="203">
        <v>0.90078788399829746</v>
      </c>
    </row>
    <row r="78" spans="4:38" x14ac:dyDescent="0.25">
      <c r="D78" s="202">
        <v>0.36</v>
      </c>
      <c r="E78" s="203">
        <v>0.84844661944710087</v>
      </c>
      <c r="F78" s="203">
        <v>0.86709817863878724</v>
      </c>
      <c r="G78" s="203">
        <v>0.88231993685203214</v>
      </c>
      <c r="H78" s="203">
        <v>0.89707955305982545</v>
      </c>
      <c r="I78" s="203">
        <v>0.91075780685075181</v>
      </c>
      <c r="J78" s="203">
        <v>0.92328701181529471</v>
      </c>
      <c r="K78" s="203">
        <v>0.93387047119177369</v>
      </c>
      <c r="L78" s="203">
        <v>0.93856184226253769</v>
      </c>
      <c r="M78" s="203">
        <v>0.94986402796915015</v>
      </c>
      <c r="N78" s="203">
        <v>0.96740813272950432</v>
      </c>
      <c r="P78" s="202">
        <v>0.36</v>
      </c>
      <c r="Q78" s="203">
        <v>0.81765288502264299</v>
      </c>
      <c r="R78" s="203">
        <v>0.82945483055271918</v>
      </c>
      <c r="S78" s="203">
        <v>0.84185574987504574</v>
      </c>
      <c r="T78" s="203">
        <v>0.85677717352439009</v>
      </c>
      <c r="U78" s="203">
        <v>0.87298114939222837</v>
      </c>
      <c r="V78" s="203">
        <v>0.88927998511920892</v>
      </c>
      <c r="W78" s="203">
        <v>0.90364659368006839</v>
      </c>
      <c r="X78" s="203">
        <v>0.9100862485231701</v>
      </c>
      <c r="Y78" s="203">
        <v>0.92554915403374194</v>
      </c>
      <c r="Z78" s="203">
        <v>0.94826115018693335</v>
      </c>
      <c r="AB78" s="202">
        <v>0.36</v>
      </c>
      <c r="AC78" s="203">
        <v>0.80607615516627795</v>
      </c>
      <c r="AD78" s="203">
        <v>0.81100858558107214</v>
      </c>
      <c r="AE78" s="203">
        <v>0.81642895039169394</v>
      </c>
      <c r="AF78" s="203">
        <v>0.8241590388654465</v>
      </c>
      <c r="AG78" s="203">
        <v>0.83481339066002225</v>
      </c>
      <c r="AH78" s="203">
        <v>0.84824636243824747</v>
      </c>
      <c r="AI78" s="203">
        <v>0.86192546122581892</v>
      </c>
      <c r="AJ78" s="203">
        <v>0.8683511308906855</v>
      </c>
      <c r="AK78" s="203">
        <v>0.88359693843347986</v>
      </c>
      <c r="AL78" s="203">
        <v>0.90235346359921731</v>
      </c>
    </row>
    <row r="79" spans="4:38" x14ac:dyDescent="0.25">
      <c r="D79" s="202">
        <v>0.36499999999999999</v>
      </c>
      <c r="E79" s="203">
        <v>0.8507643706837249</v>
      </c>
      <c r="F79" s="203">
        <v>0.8691838120649471</v>
      </c>
      <c r="G79" s="203">
        <v>0.88420820390940558</v>
      </c>
      <c r="H79" s="203">
        <v>0.89877322495144174</v>
      </c>
      <c r="I79" s="203">
        <v>0.91227034791090711</v>
      </c>
      <c r="J79" s="203">
        <v>0.92463450382070078</v>
      </c>
      <c r="K79" s="203">
        <v>0.93508029771861301</v>
      </c>
      <c r="L79" s="203">
        <v>0.93971142391287854</v>
      </c>
      <c r="M79" s="203">
        <v>0.95087104578501025</v>
      </c>
      <c r="N79" s="203">
        <v>0.96820119846948749</v>
      </c>
      <c r="P79" s="202">
        <v>0.36499999999999999</v>
      </c>
      <c r="Q79" s="203">
        <v>0.82014678530500229</v>
      </c>
      <c r="R79" s="203">
        <v>0.83183982208727447</v>
      </c>
      <c r="S79" s="203">
        <v>0.84411158896811167</v>
      </c>
      <c r="T79" s="203">
        <v>0.85886762839555764</v>
      </c>
      <c r="U79" s="203">
        <v>0.87488575849269512</v>
      </c>
      <c r="V79" s="203">
        <v>0.89099512412789639</v>
      </c>
      <c r="W79" s="203">
        <v>0.905195128317834</v>
      </c>
      <c r="X79" s="203">
        <v>0.91156079392983735</v>
      </c>
      <c r="Y79" s="203">
        <v>0.92684918933716209</v>
      </c>
      <c r="Z79" s="203">
        <v>0.94931675274058003</v>
      </c>
      <c r="AB79" s="202">
        <v>0.36499999999999999</v>
      </c>
      <c r="AC79" s="203">
        <v>0.80869160248326755</v>
      </c>
      <c r="AD79" s="203">
        <v>0.81359393971002625</v>
      </c>
      <c r="AE79" s="203">
        <v>0.81897066928464479</v>
      </c>
      <c r="AF79" s="203">
        <v>0.82662690383369275</v>
      </c>
      <c r="AG79" s="203">
        <v>0.83716732757149492</v>
      </c>
      <c r="AH79" s="203">
        <v>0.85044617462190475</v>
      </c>
      <c r="AI79" s="203">
        <v>0.86396179398820294</v>
      </c>
      <c r="AJ79" s="203">
        <v>0.87030929150794689</v>
      </c>
      <c r="AK79" s="203">
        <v>0.88536764116887534</v>
      </c>
      <c r="AL79" s="203">
        <v>0.90389234689718667</v>
      </c>
    </row>
    <row r="80" spans="4:38" x14ac:dyDescent="0.25">
      <c r="D80" s="202">
        <v>0.37</v>
      </c>
      <c r="E80" s="203">
        <v>0.8530446632956058</v>
      </c>
      <c r="F80" s="203">
        <v>0.87123456569722002</v>
      </c>
      <c r="G80" s="203">
        <v>0.88606398803255604</v>
      </c>
      <c r="H80" s="203">
        <v>0.90043685243108296</v>
      </c>
      <c r="I80" s="203">
        <v>0.91375511719027436</v>
      </c>
      <c r="J80" s="203">
        <v>0.92595624041691305</v>
      </c>
      <c r="K80" s="203">
        <v>0.9362659578535738</v>
      </c>
      <c r="L80" s="203">
        <v>0.94083749067460221</v>
      </c>
      <c r="M80" s="203">
        <v>0.95185591942486703</v>
      </c>
      <c r="N80" s="203">
        <v>0.96897333218657833</v>
      </c>
      <c r="P80" s="202">
        <v>0.37</v>
      </c>
      <c r="Q80" s="203">
        <v>0.82260605255395924</v>
      </c>
      <c r="R80" s="203">
        <v>0.83419058252689005</v>
      </c>
      <c r="S80" s="203">
        <v>0.84633410653610697</v>
      </c>
      <c r="T80" s="203">
        <v>0.86092619114270563</v>
      </c>
      <c r="U80" s="203">
        <v>0.87676023398648384</v>
      </c>
      <c r="V80" s="203">
        <v>0.89268196529054344</v>
      </c>
      <c r="W80" s="203">
        <v>0.9067169318537236</v>
      </c>
      <c r="X80" s="203">
        <v>0.91300926674092553</v>
      </c>
      <c r="Y80" s="203">
        <v>0.92812453507522086</v>
      </c>
      <c r="Z80" s="203">
        <v>0.95034878138460865</v>
      </c>
      <c r="AB80" s="202">
        <v>0.37</v>
      </c>
      <c r="AC80" s="203">
        <v>0.81127152170508565</v>
      </c>
      <c r="AD80" s="203">
        <v>0.81614342453289446</v>
      </c>
      <c r="AE80" s="203">
        <v>0.82147648759583003</v>
      </c>
      <c r="AF80" s="203">
        <v>0.82905920703869884</v>
      </c>
      <c r="AG80" s="203">
        <v>0.83948657692047346</v>
      </c>
      <c r="AH80" s="203">
        <v>0.85261276164993105</v>
      </c>
      <c r="AI80" s="203">
        <v>0.86596662034433469</v>
      </c>
      <c r="AJ80" s="203">
        <v>0.87223680186670627</v>
      </c>
      <c r="AK80" s="203">
        <v>0.8871097924407636</v>
      </c>
      <c r="AL80" s="203">
        <v>0.9054052838351222</v>
      </c>
    </row>
    <row r="81" spans="4:38" x14ac:dyDescent="0.25">
      <c r="D81" s="202">
        <v>0.375</v>
      </c>
      <c r="E81" s="203">
        <v>0.85528851784892601</v>
      </c>
      <c r="F81" s="203">
        <v>0.87325139971139831</v>
      </c>
      <c r="G81" s="203">
        <v>0.88788819071390035</v>
      </c>
      <c r="H81" s="203">
        <v>0.90207127626344574</v>
      </c>
      <c r="I81" s="203">
        <v>0.91521289891663959</v>
      </c>
      <c r="J81" s="203">
        <v>0.9272529568007174</v>
      </c>
      <c r="K81" s="203">
        <v>0.93742815025166182</v>
      </c>
      <c r="L81" s="203">
        <v>0.94194072735185486</v>
      </c>
      <c r="M81" s="203">
        <v>0.95281930978831664</v>
      </c>
      <c r="N81" s="203">
        <v>0.96972520980118437</v>
      </c>
      <c r="P81" s="202">
        <v>0.375</v>
      </c>
      <c r="Q81" s="203">
        <v>0.82503161292226757</v>
      </c>
      <c r="R81" s="203">
        <v>0.83650803174348398</v>
      </c>
      <c r="S81" s="203">
        <v>0.8485242026912343</v>
      </c>
      <c r="T81" s="203">
        <v>0.86295372869310516</v>
      </c>
      <c r="U81" s="203">
        <v>0.87860540084501004</v>
      </c>
      <c r="V81" s="203">
        <v>0.89434128972792148</v>
      </c>
      <c r="W81" s="203">
        <v>0.90821274907744587</v>
      </c>
      <c r="X81" s="203">
        <v>0.91443239724380898</v>
      </c>
      <c r="Y81" s="203">
        <v>0.92937589498587669</v>
      </c>
      <c r="Z81" s="203">
        <v>0.95135794359317538</v>
      </c>
      <c r="AB81" s="202">
        <v>0.375</v>
      </c>
      <c r="AC81" s="203">
        <v>0.81381685856032238</v>
      </c>
      <c r="AD81" s="203">
        <v>0.81865799664704864</v>
      </c>
      <c r="AE81" s="203">
        <v>0.82394736496414989</v>
      </c>
      <c r="AF81" s="203">
        <v>0.83145690233346048</v>
      </c>
      <c r="AG81" s="203">
        <v>0.84177207349604988</v>
      </c>
      <c r="AH81" s="203">
        <v>0.85474702398185187</v>
      </c>
      <c r="AI81" s="203">
        <v>0.86794079886476205</v>
      </c>
      <c r="AJ81" s="203">
        <v>0.87413449932737197</v>
      </c>
      <c r="AK81" s="203">
        <v>0.88882417712710704</v>
      </c>
      <c r="AL81" s="203">
        <v>0.90689299417041591</v>
      </c>
    </row>
    <row r="82" spans="4:38" x14ac:dyDescent="0.25">
      <c r="D82" s="202">
        <v>0.38</v>
      </c>
      <c r="E82" s="203">
        <v>0.85749691490103686</v>
      </c>
      <c r="F82" s="203">
        <v>0.87523523643769763</v>
      </c>
      <c r="G82" s="203">
        <v>0.88968167778628227</v>
      </c>
      <c r="H82" s="203">
        <v>0.90367730386524581</v>
      </c>
      <c r="I82" s="203">
        <v>0.91664444614824692</v>
      </c>
      <c r="J82" s="203">
        <v>0.92852535889564602</v>
      </c>
      <c r="K82" s="203">
        <v>0.93856754569862955</v>
      </c>
      <c r="L82" s="203">
        <v>0.94302179140308817</v>
      </c>
      <c r="M82" s="203">
        <v>0.95376185127918511</v>
      </c>
      <c r="N82" s="203">
        <v>0.97045747962790063</v>
      </c>
      <c r="P82" s="202">
        <v>0.38</v>
      </c>
      <c r="Q82" s="203">
        <v>0.82742435622359745</v>
      </c>
      <c r="R82" s="203">
        <v>0.83879305345050437</v>
      </c>
      <c r="S82" s="203">
        <v>0.85068274208361072</v>
      </c>
      <c r="T82" s="203">
        <v>0.86495107373144353</v>
      </c>
      <c r="U82" s="203">
        <v>0.88042205137843399</v>
      </c>
      <c r="V82" s="203">
        <v>0.89597384757822074</v>
      </c>
      <c r="W82" s="203">
        <v>0.90968329519578528</v>
      </c>
      <c r="X82" s="203">
        <v>0.91583088670051305</v>
      </c>
      <c r="Y82" s="203">
        <v>0.93060394478260067</v>
      </c>
      <c r="Z82" s="203">
        <v>0.95234491845580993</v>
      </c>
      <c r="AB82" s="202">
        <v>0.38</v>
      </c>
      <c r="AC82" s="203">
        <v>0.8163285217798788</v>
      </c>
      <c r="AD82" s="203">
        <v>0.8211385752254331</v>
      </c>
      <c r="AE82" s="203">
        <v>0.8263842234605604</v>
      </c>
      <c r="AF82" s="203">
        <v>0.83382090617306615</v>
      </c>
      <c r="AG82" s="203">
        <v>0.84402471534690215</v>
      </c>
      <c r="AH82" s="203">
        <v>0.85684982657958364</v>
      </c>
      <c r="AI82" s="203">
        <v>0.86988515418494416</v>
      </c>
      <c r="AJ82" s="203">
        <v>0.87600318811889677</v>
      </c>
      <c r="AK82" s="203">
        <v>0.89051154898762253</v>
      </c>
      <c r="AL82" s="203">
        <v>0.90835616907171024</v>
      </c>
    </row>
    <row r="83" spans="4:38" x14ac:dyDescent="0.25">
      <c r="D83" s="202">
        <v>0.38500000000000001</v>
      </c>
      <c r="E83" s="203">
        <v>0.85967079706300698</v>
      </c>
      <c r="F83" s="203">
        <v>0.8771869623215981</v>
      </c>
      <c r="G83" s="203">
        <v>0.89144528127642586</v>
      </c>
      <c r="H83" s="203">
        <v>0.90525571104232139</v>
      </c>
      <c r="I83" s="203">
        <v>0.918050482399553</v>
      </c>
      <c r="J83" s="203">
        <v>0.92977412487983779</v>
      </c>
      <c r="K83" s="203">
        <v>0.93968478856585302</v>
      </c>
      <c r="L83" s="203">
        <v>0.94408131436858367</v>
      </c>
      <c r="M83" s="203">
        <v>0.95468415318825062</v>
      </c>
      <c r="N83" s="203">
        <v>0.97117076381441503</v>
      </c>
      <c r="P83" s="202">
        <v>0.38500000000000001</v>
      </c>
      <c r="Q83" s="203">
        <v>0.82978513780896068</v>
      </c>
      <c r="R83" s="203">
        <v>0.84104649707326651</v>
      </c>
      <c r="S83" s="203">
        <v>0.85281055573953979</v>
      </c>
      <c r="T83" s="203">
        <v>0.86691902647915908</v>
      </c>
      <c r="U83" s="203">
        <v>0.88221094693636692</v>
      </c>
      <c r="V83" s="203">
        <v>0.89758035961271931</v>
      </c>
      <c r="W83" s="203">
        <v>0.91112925737652684</v>
      </c>
      <c r="X83" s="203">
        <v>0.91720540886287238</v>
      </c>
      <c r="Y83" s="203">
        <v>0.93180933361756957</v>
      </c>
      <c r="Z83" s="203">
        <v>0.95331035815812859</v>
      </c>
      <c r="AB83" s="202">
        <v>0.38500000000000001</v>
      </c>
      <c r="AC83" s="203">
        <v>0.81880738500188699</v>
      </c>
      <c r="AD83" s="203">
        <v>0.82358604394347501</v>
      </c>
      <c r="AE83" s="203">
        <v>0.82878794952355095</v>
      </c>
      <c r="AF83" s="203">
        <v>0.83615209954420466</v>
      </c>
      <c r="AG83" s="203">
        <v>0.84624536568134745</v>
      </c>
      <c r="AH83" s="203">
        <v>0.85892200074850222</v>
      </c>
      <c r="AI83" s="203">
        <v>0.87180047876963529</v>
      </c>
      <c r="AJ83" s="203">
        <v>0.87784364106304991</v>
      </c>
      <c r="AK83" s="203">
        <v>0.89217263228619481</v>
      </c>
      <c r="AL83" s="203">
        <v>0.90979547261144345</v>
      </c>
    </row>
    <row r="84" spans="4:38" x14ac:dyDescent="0.25">
      <c r="D84" s="202">
        <v>0.39</v>
      </c>
      <c r="E84" s="203">
        <v>0.86181107093093234</v>
      </c>
      <c r="F84" s="203">
        <v>0.87910742975929101</v>
      </c>
      <c r="G84" s="203">
        <v>0.89317980113948192</v>
      </c>
      <c r="H84" s="203">
        <v>0.90680724361504983</v>
      </c>
      <c r="I84" s="203">
        <v>0.91943170316230416</v>
      </c>
      <c r="J84" s="203">
        <v>0.93099990661544563</v>
      </c>
      <c r="K84" s="203">
        <v>0.94078049817142351</v>
      </c>
      <c r="L84" s="203">
        <v>0.94511990320595141</v>
      </c>
      <c r="M84" s="203">
        <v>0.95558680098682536</v>
      </c>
      <c r="N84" s="203">
        <v>0.97186565968780059</v>
      </c>
      <c r="P84" s="202">
        <v>0.39</v>
      </c>
      <c r="Q84" s="203">
        <v>0.83211478032355801</v>
      </c>
      <c r="R84" s="203">
        <v>0.84326917949989366</v>
      </c>
      <c r="S84" s="203">
        <v>0.85490844278219102</v>
      </c>
      <c r="T84" s="203">
        <v>0.86885835635967656</v>
      </c>
      <c r="U84" s="203">
        <v>0.88397281949929196</v>
      </c>
      <c r="V84" s="203">
        <v>0.89916151874747263</v>
      </c>
      <c r="W84" s="203">
        <v>0.91255129619292663</v>
      </c>
      <c r="X84" s="203">
        <v>0.91855661139006684</v>
      </c>
      <c r="Y84" s="203">
        <v>0.93299268545053904</v>
      </c>
      <c r="Z84" s="203">
        <v>0.95425488936712077</v>
      </c>
      <c r="AB84" s="202">
        <v>0.39</v>
      </c>
      <c r="AC84" s="203">
        <v>0.82125428855558369</v>
      </c>
      <c r="AD84" s="203">
        <v>0.82600125278354875</v>
      </c>
      <c r="AE84" s="203">
        <v>0.83115939577156306</v>
      </c>
      <c r="AF84" s="203">
        <v>0.83845132977180825</v>
      </c>
      <c r="AG84" s="203">
        <v>0.84843485464612556</v>
      </c>
      <c r="AH84" s="203">
        <v>0.86096434586066861</v>
      </c>
      <c r="AI84" s="203">
        <v>0.87368753456406356</v>
      </c>
      <c r="AJ84" s="203">
        <v>0.87965660118794387</v>
      </c>
      <c r="AK84" s="203">
        <v>0.89380812330890214</v>
      </c>
      <c r="AL84" s="203">
        <v>0.91121154316222963</v>
      </c>
    </row>
    <row r="85" spans="4:38" x14ac:dyDescent="0.25">
      <c r="D85" s="202">
        <v>0.39500000000000002</v>
      </c>
      <c r="E85" s="203">
        <v>0.86391860889589722</v>
      </c>
      <c r="F85" s="203">
        <v>0.88099745881723002</v>
      </c>
      <c r="G85" s="203">
        <v>0.8948860068837049</v>
      </c>
      <c r="H85" s="203">
        <v>0.90833261894057737</v>
      </c>
      <c r="I85" s="203">
        <v>0.92078877732992126</v>
      </c>
      <c r="J85" s="203">
        <v>0.9322033309871085</v>
      </c>
      <c r="K85" s="203">
        <v>0.94185527005461911</v>
      </c>
      <c r="L85" s="203">
        <v>0.94613814154062692</v>
      </c>
      <c r="M85" s="203">
        <v>0.95647035753800935</v>
      </c>
      <c r="N85" s="203">
        <v>0.9725427410152605</v>
      </c>
      <c r="P85" s="202">
        <v>0.39500000000000002</v>
      </c>
      <c r="Q85" s="203">
        <v>0.83441407535308187</v>
      </c>
      <c r="R85" s="203">
        <v>0.84546188672189793</v>
      </c>
      <c r="S85" s="203">
        <v>0.85697717204358859</v>
      </c>
      <c r="T85" s="203">
        <v>0.87076980355820988</v>
      </c>
      <c r="U85" s="203">
        <v>0.88570837316901452</v>
      </c>
      <c r="V85" s="203">
        <v>0.90071799145894904</v>
      </c>
      <c r="W85" s="203">
        <v>0.91395004697632409</v>
      </c>
      <c r="X85" s="203">
        <v>0.9198851171759852</v>
      </c>
      <c r="Y85" s="203">
        <v>0.93415460033060749</v>
      </c>
      <c r="Z85" s="203">
        <v>0.9551791145283024</v>
      </c>
      <c r="AB85" s="202">
        <v>0.39500000000000002</v>
      </c>
      <c r="AC85" s="203">
        <v>0.82367004113325415</v>
      </c>
      <c r="AD85" s="203">
        <v>0.8283850197262177</v>
      </c>
      <c r="AE85" s="203">
        <v>0.83349938270161317</v>
      </c>
      <c r="AF85" s="203">
        <v>0.84071941221210966</v>
      </c>
      <c r="AG85" s="203">
        <v>0.85059398099308969</v>
      </c>
      <c r="AH85" s="203">
        <v>0.86297763096915514</v>
      </c>
      <c r="AI85" s="203">
        <v>0.8755470545405033</v>
      </c>
      <c r="AJ85" s="203">
        <v>0.88144278323924918</v>
      </c>
      <c r="AK85" s="203">
        <v>0.89541869178560751</v>
      </c>
      <c r="AL85" s="203">
        <v>0.91260499470440681</v>
      </c>
    </row>
    <row r="86" spans="4:38" x14ac:dyDescent="0.25">
      <c r="D86" s="202">
        <v>0.4</v>
      </c>
      <c r="E86" s="203">
        <v>0.86599425084162573</v>
      </c>
      <c r="F86" s="203">
        <v>0.88285783884446078</v>
      </c>
      <c r="G86" s="203">
        <v>0.89656463909351025</v>
      </c>
      <c r="H86" s="203">
        <v>0.90983252733962927</v>
      </c>
      <c r="I86" s="203">
        <v>0.92212234853247455</v>
      </c>
      <c r="J86" s="203">
        <v>0.9333850011563416</v>
      </c>
      <c r="K86" s="203">
        <v>0.94290967717028695</v>
      </c>
      <c r="L86" s="203">
        <v>0.94713659083778334</v>
      </c>
      <c r="M86" s="203">
        <v>0.95733536423182697</v>
      </c>
      <c r="N86" s="203">
        <v>0.97320255918578513</v>
      </c>
      <c r="P86" s="202">
        <v>0.4</v>
      </c>
      <c r="Q86" s="203">
        <v>0.83668378496771689</v>
      </c>
      <c r="R86" s="203">
        <v>0.84762537537264337</v>
      </c>
      <c r="S86" s="203">
        <v>0.85901748357605556</v>
      </c>
      <c r="T86" s="203">
        <v>0.87265408048404469</v>
      </c>
      <c r="U86" s="203">
        <v>0.88741828556574065</v>
      </c>
      <c r="V86" s="203">
        <v>0.9022504191108508</v>
      </c>
      <c r="W86" s="203">
        <v>0.91532612108381339</v>
      </c>
      <c r="X86" s="203">
        <v>0.92119152559321182</v>
      </c>
      <c r="Y86" s="203">
        <v>0.93529565559743777</v>
      </c>
      <c r="Z86" s="203">
        <v>0.95608361308138057</v>
      </c>
      <c r="AB86" s="202">
        <v>0.4</v>
      </c>
      <c r="AC86" s="203">
        <v>0.82605542135857235</v>
      </c>
      <c r="AD86" s="203">
        <v>0.83073813233667082</v>
      </c>
      <c r="AE86" s="203">
        <v>0.83580870028259524</v>
      </c>
      <c r="AF86" s="203">
        <v>0.84295713184057131</v>
      </c>
      <c r="AG86" s="203">
        <v>0.85272351364216836</v>
      </c>
      <c r="AH86" s="203">
        <v>0.86496259632162609</v>
      </c>
      <c r="AI86" s="203">
        <v>0.87737974414809883</v>
      </c>
      <c r="AJ86" s="203">
        <v>0.88320287509678108</v>
      </c>
      <c r="AK86" s="203">
        <v>0.89700498222238101</v>
      </c>
      <c r="AL86" s="203">
        <v>0.91397641805145968</v>
      </c>
    </row>
    <row r="87" spans="4:38" x14ac:dyDescent="0.25">
      <c r="D87" s="202">
        <v>0.40500000000000003</v>
      </c>
      <c r="E87" s="203">
        <v>0.86803880573808134</v>
      </c>
      <c r="F87" s="203">
        <v>0.88468932998565053</v>
      </c>
      <c r="G87" s="203">
        <v>0.89821641085844117</v>
      </c>
      <c r="H87" s="203">
        <v>0.91130763343498733</v>
      </c>
      <c r="I87" s="203">
        <v>0.92343303638890384</v>
      </c>
      <c r="J87" s="203">
        <v>0.93454549773810913</v>
      </c>
      <c r="K87" s="203">
        <v>0.9439442710091035</v>
      </c>
      <c r="L87" s="203">
        <v>0.94811579150150671</v>
      </c>
      <c r="M87" s="203">
        <v>0.95818234204991959</v>
      </c>
      <c r="N87" s="203">
        <v>0.97384564431861198</v>
      </c>
      <c r="P87" s="202">
        <v>0.40500000000000003</v>
      </c>
      <c r="Q87" s="203">
        <v>0.83892464317137083</v>
      </c>
      <c r="R87" s="203">
        <v>0.84976037417122252</v>
      </c>
      <c r="S87" s="203">
        <v>0.86103009007054121</v>
      </c>
      <c r="T87" s="203">
        <v>0.87451187314252343</v>
      </c>
      <c r="U87" s="203">
        <v>0.88910320913870911</v>
      </c>
      <c r="V87" s="203">
        <v>0.90375941919871428</v>
      </c>
      <c r="W87" s="203">
        <v>0.91668010708730119</v>
      </c>
      <c r="X87" s="203">
        <v>0.92247641365984545</v>
      </c>
      <c r="Y87" s="203">
        <v>0.93641640700793116</v>
      </c>
      <c r="Z87" s="203">
        <v>0.95696894260049947</v>
      </c>
      <c r="AB87" s="202">
        <v>0.40500000000000003</v>
      </c>
      <c r="AC87" s="203">
        <v>0.82841117925893903</v>
      </c>
      <c r="AD87" s="203">
        <v>0.83306134925405462</v>
      </c>
      <c r="AE87" s="203">
        <v>0.83808810945099743</v>
      </c>
      <c r="AF87" s="203">
        <v>0.84516524474242594</v>
      </c>
      <c r="AG87" s="203">
        <v>0.85482419314825631</v>
      </c>
      <c r="AH87" s="203">
        <v>0.86691995478062056</v>
      </c>
      <c r="AI87" s="203">
        <v>0.87918628267311372</v>
      </c>
      <c r="AJ87" s="203">
        <v>0.88493753910347916</v>
      </c>
      <c r="AK87" s="203">
        <v>0.89856761515137429</v>
      </c>
      <c r="AL87" s="203">
        <v>0.91532638199941885</v>
      </c>
    </row>
    <row r="88" spans="4:38" x14ac:dyDescent="0.25">
      <c r="D88" s="202">
        <v>0.41</v>
      </c>
      <c r="E88" s="203">
        <v>0.87005305313857861</v>
      </c>
      <c r="F88" s="203">
        <v>0.88649266460207077</v>
      </c>
      <c r="G88" s="203">
        <v>0.89984200911493872</v>
      </c>
      <c r="H88" s="203">
        <v>0.91275857740811772</v>
      </c>
      <c r="I88" s="203">
        <v>0.92472143768256221</v>
      </c>
      <c r="J88" s="203">
        <v>0.93568537990529932</v>
      </c>
      <c r="K88" s="203">
        <v>0.94495958264916602</v>
      </c>
      <c r="L88" s="203">
        <v>0.94907626390659428</v>
      </c>
      <c r="M88" s="203">
        <v>0.95901179256497404</v>
      </c>
      <c r="N88" s="203">
        <v>0.97447250630387439</v>
      </c>
      <c r="P88" s="202">
        <v>0.41</v>
      </c>
      <c r="Q88" s="203">
        <v>0.84113735726303684</v>
      </c>
      <c r="R88" s="203">
        <v>0.85186758527864292</v>
      </c>
      <c r="S88" s="203">
        <v>0.86301567818863334</v>
      </c>
      <c r="T88" s="203">
        <v>0.87634384242334784</v>
      </c>
      <c r="U88" s="203">
        <v>0.89076377239672333</v>
      </c>
      <c r="V88" s="203">
        <v>0.90524558651833809</v>
      </c>
      <c r="W88" s="203">
        <v>0.91801257188972352</v>
      </c>
      <c r="X88" s="203">
        <v>0.92374033713482495</v>
      </c>
      <c r="Y88" s="203">
        <v>0.93751738979384514</v>
      </c>
      <c r="Z88" s="203">
        <v>0.95783563986462295</v>
      </c>
      <c r="AB88" s="202">
        <v>0.41</v>
      </c>
      <c r="AC88" s="203">
        <v>0.83073803764879428</v>
      </c>
      <c r="AD88" s="203">
        <v>0.83535540159074373</v>
      </c>
      <c r="AE88" s="203">
        <v>0.84033834351612136</v>
      </c>
      <c r="AF88" s="203">
        <v>0.84734447951290925</v>
      </c>
      <c r="AG88" s="203">
        <v>0.85689673307903091</v>
      </c>
      <c r="AH88" s="203">
        <v>0.86885039315736345</v>
      </c>
      <c r="AI88" s="203">
        <v>0.88096732451616044</v>
      </c>
      <c r="AJ88" s="203">
        <v>0.88664741331320962</v>
      </c>
      <c r="AK88" s="203">
        <v>0.90010718830421732</v>
      </c>
      <c r="AL88" s="203">
        <v>0.91665543440583663</v>
      </c>
    </row>
    <row r="89" spans="4:38" x14ac:dyDescent="0.25">
      <c r="D89" s="202">
        <v>0.41499999999999998</v>
      </c>
      <c r="E89" s="203">
        <v>0.87203774458733097</v>
      </c>
      <c r="F89" s="203">
        <v>0.88826854860716964</v>
      </c>
      <c r="G89" s="203">
        <v>0.90144209590722124</v>
      </c>
      <c r="H89" s="203">
        <v>0.9141859761798844</v>
      </c>
      <c r="I89" s="203">
        <v>0.92598812746565085</v>
      </c>
      <c r="J89" s="203">
        <v>0.93680518642634036</v>
      </c>
      <c r="K89" s="203">
        <v>0.94595612374390681</v>
      </c>
      <c r="L89" s="203">
        <v>0.95001850936786769</v>
      </c>
      <c r="M89" s="203">
        <v>0.95982419887963943</v>
      </c>
      <c r="N89" s="203">
        <v>0.97508363578036739</v>
      </c>
      <c r="P89" s="202">
        <v>0.41499999999999998</v>
      </c>
      <c r="Q89" s="203">
        <v>0.84332260911659673</v>
      </c>
      <c r="R89" s="203">
        <v>0.85394768557263756</v>
      </c>
      <c r="S89" s="203">
        <v>0.86497490981448399</v>
      </c>
      <c r="T89" s="203">
        <v>0.87815062531124366</v>
      </c>
      <c r="U89" s="203">
        <v>0.8924005810643828</v>
      </c>
      <c r="V89" s="203">
        <v>0.90670949426356051</v>
      </c>
      <c r="W89" s="203">
        <v>0.91932406177371784</v>
      </c>
      <c r="X89" s="203">
        <v>0.92498383154695274</v>
      </c>
      <c r="Y89" s="203">
        <v>0.93859911965536769</v>
      </c>
      <c r="Z89" s="203">
        <v>0.95868422186312141</v>
      </c>
      <c r="AB89" s="202">
        <v>0.41499999999999998</v>
      </c>
      <c r="AC89" s="203">
        <v>0.8330366934302782</v>
      </c>
      <c r="AD89" s="203">
        <v>0.83762099424801151</v>
      </c>
      <c r="AE89" s="203">
        <v>0.84256010948129623</v>
      </c>
      <c r="AF89" s="203">
        <v>0.84949553857367266</v>
      </c>
      <c r="AG89" s="203">
        <v>0.85894182131010943</v>
      </c>
      <c r="AH89" s="203">
        <v>0.87075457346533414</v>
      </c>
      <c r="AI89" s="203">
        <v>0.88272350039242331</v>
      </c>
      <c r="AJ89" s="203">
        <v>0.88833311266325987</v>
      </c>
      <c r="AK89" s="203">
        <v>0.90162427771447828</v>
      </c>
      <c r="AL89" s="203">
        <v>0.91796410320344868</v>
      </c>
    </row>
    <row r="90" spans="4:38" x14ac:dyDescent="0.25">
      <c r="D90" s="202">
        <v>0.42</v>
      </c>
      <c r="E90" s="203">
        <v>0.87399360494378941</v>
      </c>
      <c r="F90" s="203">
        <v>0.89001766272282357</v>
      </c>
      <c r="G90" s="203">
        <v>0.90301730957305959</v>
      </c>
      <c r="H90" s="203">
        <v>0.91559042452078365</v>
      </c>
      <c r="I90" s="203">
        <v>0.92723366009764374</v>
      </c>
      <c r="J90" s="203">
        <v>0.93790543664075754</v>
      </c>
      <c r="K90" s="203">
        <v>0.94693438745089997</v>
      </c>
      <c r="L90" s="203">
        <v>0.95094301105149037</v>
      </c>
      <c r="M90" s="203">
        <v>0.96062002650927247</v>
      </c>
      <c r="N90" s="203">
        <v>0.97567950505494883</v>
      </c>
      <c r="P90" s="202">
        <v>0.42</v>
      </c>
      <c r="Q90" s="203">
        <v>0.84548105638486648</v>
      </c>
      <c r="R90" s="203">
        <v>0.85600132784688765</v>
      </c>
      <c r="S90" s="203">
        <v>0.86690842323235506</v>
      </c>
      <c r="T90" s="203">
        <v>0.87993283602454242</v>
      </c>
      <c r="U90" s="203">
        <v>0.89401421916933466</v>
      </c>
      <c r="V90" s="203">
        <v>0.90815169505845184</v>
      </c>
      <c r="W90" s="203">
        <v>0.92061510338759134</v>
      </c>
      <c r="X90" s="203">
        <v>0.92620741316237687</v>
      </c>
      <c r="Y90" s="203">
        <v>0.93966209369524756</v>
      </c>
      <c r="Z90" s="203">
        <v>0.95951518674122749</v>
      </c>
      <c r="AB90" s="202">
        <v>0.42</v>
      </c>
      <c r="AC90" s="203">
        <v>0.83530781881710225</v>
      </c>
      <c r="AD90" s="203">
        <v>0.83985880715401895</v>
      </c>
      <c r="AE90" s="203">
        <v>0.84475408928704054</v>
      </c>
      <c r="AF90" s="203">
        <v>0.85161909941132297</v>
      </c>
      <c r="AG90" s="203">
        <v>0.86096012124342414</v>
      </c>
      <c r="AH90" s="203">
        <v>0.87263313409933074</v>
      </c>
      <c r="AI90" s="203">
        <v>0.88445541846037568</v>
      </c>
      <c r="AJ90" s="203">
        <v>0.8899952300769185</v>
      </c>
      <c r="AK90" s="203">
        <v>0.90311943875427558</v>
      </c>
      <c r="AL90" s="203">
        <v>0.91925289735321103</v>
      </c>
    </row>
    <row r="91" spans="4:38" x14ac:dyDescent="0.25">
      <c r="D91" s="202">
        <v>0.42499999999999999</v>
      </c>
      <c r="E91" s="203">
        <v>0.87592133362960611</v>
      </c>
      <c r="F91" s="203">
        <v>0.89174066366185401</v>
      </c>
      <c r="G91" s="203">
        <v>0.90456826585974526</v>
      </c>
      <c r="H91" s="203">
        <v>0.91697249609569031</v>
      </c>
      <c r="I91" s="203">
        <v>0.92845857022238654</v>
      </c>
      <c r="J91" s="203">
        <v>0.93898663137707228</v>
      </c>
      <c r="K91" s="203">
        <v>0.94789484930576196</v>
      </c>
      <c r="L91" s="203">
        <v>0.95185023483240705</v>
      </c>
      <c r="M91" s="203">
        <v>0.96139972421250219</v>
      </c>
      <c r="N91" s="203">
        <v>0.9762605689677154</v>
      </c>
      <c r="P91" s="202">
        <v>0.42499999999999999</v>
      </c>
      <c r="Q91" s="203">
        <v>0.84761333363319535</v>
      </c>
      <c r="R91" s="203">
        <v>0.85802914193997448</v>
      </c>
      <c r="S91" s="203">
        <v>0.86881683423503031</v>
      </c>
      <c r="T91" s="203">
        <v>0.88169106708676115</v>
      </c>
      <c r="U91" s="203">
        <v>0.89560525006542846</v>
      </c>
      <c r="V91" s="203">
        <v>0.90957272192857175</v>
      </c>
      <c r="W91" s="203">
        <v>0.92188620467303528</v>
      </c>
      <c r="X91" s="203">
        <v>0.9274115798948962</v>
      </c>
      <c r="Y91" s="203">
        <v>0.94070679129770229</v>
      </c>
      <c r="Z91" s="203">
        <v>0.96032901468961995</v>
      </c>
      <c r="AB91" s="202">
        <v>0.42499999999999999</v>
      </c>
      <c r="AC91" s="203">
        <v>0.83755206248700553</v>
      </c>
      <c r="AD91" s="203">
        <v>0.84206949642956541</v>
      </c>
      <c r="AE91" s="203">
        <v>0.8469209409816445</v>
      </c>
      <c r="AF91" s="203">
        <v>0.85371581574355693</v>
      </c>
      <c r="AG91" s="203">
        <v>0.86295227295422028</v>
      </c>
      <c r="AH91" s="203">
        <v>0.87448669094526899</v>
      </c>
      <c r="AI91" s="203">
        <v>0.88616366538404523</v>
      </c>
      <c r="AJ91" s="203">
        <v>0.89163433750108612</v>
      </c>
      <c r="AK91" s="203">
        <v>0.90459320710970414</v>
      </c>
      <c r="AL91" s="203">
        <v>0.92052230774101496</v>
      </c>
    </row>
    <row r="92" spans="4:38" x14ac:dyDescent="0.25">
      <c r="D92" s="202">
        <v>0.43</v>
      </c>
      <c r="E92" s="203">
        <v>0.87782160580358626</v>
      </c>
      <c r="F92" s="203">
        <v>0.89343818524194141</v>
      </c>
      <c r="G92" s="203">
        <v>0.90609555897513705</v>
      </c>
      <c r="H92" s="203">
        <v>0.91833274444769863</v>
      </c>
      <c r="I92" s="203">
        <v>0.92966337368815666</v>
      </c>
      <c r="J92" s="203">
        <v>0.94004925381708804</v>
      </c>
      <c r="K92" s="203">
        <v>0.94883796804498677</v>
      </c>
      <c r="L92" s="203">
        <v>0.95274063010168231</v>
      </c>
      <c r="M92" s="203">
        <v>0.9621637247732745</v>
      </c>
      <c r="N92" s="203">
        <v>0.97682726570675871</v>
      </c>
      <c r="P92" s="202">
        <v>0.43</v>
      </c>
      <c r="Q92" s="203">
        <v>0.84972005340751455</v>
      </c>
      <c r="R92" s="203">
        <v>0.86003173579894276</v>
      </c>
      <c r="S92" s="203">
        <v>0.87070073716790042</v>
      </c>
      <c r="T92" s="203">
        <v>0.88342589033586827</v>
      </c>
      <c r="U92" s="203">
        <v>0.8971742173962497</v>
      </c>
      <c r="V92" s="203">
        <v>0.91097308921555364</v>
      </c>
      <c r="W92" s="203">
        <v>0.92313785573866436</v>
      </c>
      <c r="X92" s="203">
        <v>0.92859681216309442</v>
      </c>
      <c r="Y92" s="203">
        <v>0.94173367495597116</v>
      </c>
      <c r="Z92" s="203">
        <v>0.96112616878205814</v>
      </c>
      <c r="AB92" s="202">
        <v>0.43</v>
      </c>
      <c r="AC92" s="203">
        <v>0.83977005066773658</v>
      </c>
      <c r="AD92" s="203">
        <v>0.84425369548659956</v>
      </c>
      <c r="AE92" s="203">
        <v>0.84906129982419287</v>
      </c>
      <c r="AF92" s="203">
        <v>0.85578631861790688</v>
      </c>
      <c r="AG92" s="203">
        <v>0.86491889427162572</v>
      </c>
      <c r="AH92" s="203">
        <v>0.87631583842554928</v>
      </c>
      <c r="AI92" s="203">
        <v>0.88784880733346794</v>
      </c>
      <c r="AJ92" s="203">
        <v>0.89325098688345528</v>
      </c>
      <c r="AK92" s="203">
        <v>0.90604609969935945</v>
      </c>
      <c r="AL92" s="203">
        <v>0.92177280802202244</v>
      </c>
    </row>
    <row r="93" spans="4:38" x14ac:dyDescent="0.25">
      <c r="D93" s="202">
        <v>0.435</v>
      </c>
      <c r="E93" s="203">
        <v>0.87969507346955833</v>
      </c>
      <c r="F93" s="203">
        <v>0.8951108394356605</v>
      </c>
      <c r="G93" s="203">
        <v>0.9075997625782557</v>
      </c>
      <c r="H93" s="203">
        <v>0.91967170392526776</v>
      </c>
      <c r="I93" s="203">
        <v>0.9308485684146427</v>
      </c>
      <c r="J93" s="203">
        <v>0.94109377031027408</v>
      </c>
      <c r="K93" s="203">
        <v>0.94976418638126647</v>
      </c>
      <c r="L93" s="203">
        <v>0.95361463052721396</v>
      </c>
      <c r="M93" s="203">
        <v>0.96291244573773827</v>
      </c>
      <c r="N93" s="203">
        <v>0.97738001757599546</v>
      </c>
      <c r="P93" s="202">
        <v>0.435</v>
      </c>
      <c r="Q93" s="203">
        <v>0.8518018072413267</v>
      </c>
      <c r="R93" s="203">
        <v>0.86200969648197012</v>
      </c>
      <c r="S93" s="203">
        <v>0.87256070591315671</v>
      </c>
      <c r="T93" s="203">
        <v>0.88513785787552057</v>
      </c>
      <c r="U93" s="203">
        <v>0.89872164600315974</v>
      </c>
      <c r="V93" s="203">
        <v>0.91235329343894189</v>
      </c>
      <c r="W93" s="203">
        <v>0.92437052968313982</v>
      </c>
      <c r="X93" s="203">
        <v>0.92976357369799134</v>
      </c>
      <c r="Y93" s="203">
        <v>0.94274319105207505</v>
      </c>
      <c r="Z93" s="203">
        <v>0.96190709576466782</v>
      </c>
      <c r="AB93" s="202">
        <v>0.435</v>
      </c>
      <c r="AC93" s="203">
        <v>0.84196238816111646</v>
      </c>
      <c r="AD93" s="203">
        <v>0.84641201606409133</v>
      </c>
      <c r="AE93" s="203">
        <v>0.85117577932466137</v>
      </c>
      <c r="AF93" s="203">
        <v>0.85783121744772162</v>
      </c>
      <c r="AG93" s="203">
        <v>0.86686058179736869</v>
      </c>
      <c r="AH93" s="203">
        <v>0.87812115048442829</v>
      </c>
      <c r="AI93" s="203">
        <v>0.88951139092759535</v>
      </c>
      <c r="AJ93" s="203">
        <v>0.89484571109343325</v>
      </c>
      <c r="AK93" s="203">
        <v>0.90747861553989695</v>
      </c>
      <c r="AL93" s="203">
        <v>0.92300485541625521</v>
      </c>
    </row>
    <row r="94" spans="4:38" x14ac:dyDescent="0.25">
      <c r="D94" s="202">
        <v>0.44</v>
      </c>
      <c r="E94" s="203">
        <v>0.88154236652171325</v>
      </c>
      <c r="F94" s="203">
        <v>0.89675921736098063</v>
      </c>
      <c r="G94" s="203">
        <v>0.90908143071356029</v>
      </c>
      <c r="H94" s="203">
        <v>0.9209898905565479</v>
      </c>
      <c r="I94" s="203">
        <v>0.93201463521047223</v>
      </c>
      <c r="J94" s="203">
        <v>0.94212063114166911</v>
      </c>
      <c r="K94" s="203">
        <v>0.95067393173454384</v>
      </c>
      <c r="L94" s="203">
        <v>0.95447265477101162</v>
      </c>
      <c r="M94" s="203">
        <v>0.96364629010907521</v>
      </c>
      <c r="N94" s="203">
        <v>0.97791923171928763</v>
      </c>
      <c r="P94" s="202">
        <v>0.44</v>
      </c>
      <c r="Q94" s="203">
        <v>0.85385916660577854</v>
      </c>
      <c r="R94" s="203">
        <v>0.86396359110427878</v>
      </c>
      <c r="S94" s="203">
        <v>0.87439729481816519</v>
      </c>
      <c r="T94" s="203">
        <v>0.88682750297224133</v>
      </c>
      <c r="U94" s="203">
        <v>0.90024804278162929</v>
      </c>
      <c r="V94" s="203">
        <v>0.91371381410888919</v>
      </c>
      <c r="W94" s="203">
        <v>0.92558468337131894</v>
      </c>
      <c r="X94" s="203">
        <v>0.93091231230459437</v>
      </c>
      <c r="Y94" s="203">
        <v>0.94373577059206049</v>
      </c>
      <c r="Z94" s="203">
        <v>0.96267222680019349</v>
      </c>
      <c r="AB94" s="202">
        <v>0.44</v>
      </c>
      <c r="AC94" s="203">
        <v>0.84412965930936157</v>
      </c>
      <c r="AD94" s="203">
        <v>0.84854504920550244</v>
      </c>
      <c r="AE94" s="203">
        <v>0.85326497222534015</v>
      </c>
      <c r="AF94" s="203">
        <v>0.85985110098963302</v>
      </c>
      <c r="AG94" s="203">
        <v>0.8687779118668354</v>
      </c>
      <c r="AH94" s="203">
        <v>0.87990318151747771</v>
      </c>
      <c r="AI94" s="203">
        <v>0.89115194412358489</v>
      </c>
      <c r="AJ94" s="203">
        <v>0.89641902479065361</v>
      </c>
      <c r="AK94" s="203">
        <v>0.90889123656225212</v>
      </c>
      <c r="AL94" s="203">
        <v>0.92421889145877345</v>
      </c>
    </row>
    <row r="95" spans="4:38" x14ac:dyDescent="0.25">
      <c r="D95" s="202">
        <v>0.44500000000000001</v>
      </c>
      <c r="E95" s="203">
        <v>0.88336409373159153</v>
      </c>
      <c r="F95" s="203">
        <v>0.89838389021623899</v>
      </c>
      <c r="G95" s="203">
        <v>0.91054109869269906</v>
      </c>
      <c r="H95" s="203">
        <v>0.92228780287446055</v>
      </c>
      <c r="I95" s="203">
        <v>0.9331620385446362</v>
      </c>
      <c r="J95" s="203">
        <v>0.94313027125645221</v>
      </c>
      <c r="K95" s="203">
        <v>0.95156761692180458</v>
      </c>
      <c r="L95" s="203">
        <v>0.95531510716599433</v>
      </c>
      <c r="M95" s="203">
        <v>0.96436564700311456</v>
      </c>
      <c r="N95" s="203">
        <v>0.97844530080381198</v>
      </c>
      <c r="P95" s="202">
        <v>0.44500000000000001</v>
      </c>
      <c r="Q95" s="203">
        <v>0.85589268380663852</v>
      </c>
      <c r="R95" s="203">
        <v>0.86589396773110017</v>
      </c>
      <c r="S95" s="203">
        <v>0.87621103957177859</v>
      </c>
      <c r="T95" s="203">
        <v>0.88849534090217697</v>
      </c>
      <c r="U95" s="203">
        <v>0.90175389748936119</v>
      </c>
      <c r="V95" s="203">
        <v>0.91505511449303911</v>
      </c>
      <c r="W95" s="203">
        <v>0.9267807581666212</v>
      </c>
      <c r="X95" s="203">
        <v>0.93204346058047838</v>
      </c>
      <c r="Y95" s="203">
        <v>0.94471182989973912</v>
      </c>
      <c r="Z95" s="203">
        <v>0.96342197817026265</v>
      </c>
      <c r="AB95" s="202">
        <v>0.44500000000000001</v>
      </c>
      <c r="AC95" s="203">
        <v>0.84627242890754051</v>
      </c>
      <c r="AD95" s="203">
        <v>0.85065336618176479</v>
      </c>
      <c r="AE95" s="203">
        <v>0.85532945142751415</v>
      </c>
      <c r="AF95" s="203">
        <v>0.86184653826643098</v>
      </c>
      <c r="AG95" s="203">
        <v>0.87067144145634201</v>
      </c>
      <c r="AH95" s="203">
        <v>0.88166246724889608</v>
      </c>
      <c r="AI95" s="203">
        <v>0.8927709770560871</v>
      </c>
      <c r="AJ95" s="203">
        <v>0.89797142524461304</v>
      </c>
      <c r="AK95" s="203">
        <v>0.91028442838185197</v>
      </c>
      <c r="AL95" s="203">
        <v>0.92541534270752479</v>
      </c>
    </row>
    <row r="96" spans="4:38" x14ac:dyDescent="0.25">
      <c r="D96" s="202">
        <v>0.45</v>
      </c>
      <c r="E96" s="203">
        <v>0.88516084368059345</v>
      </c>
      <c r="F96" s="203">
        <v>0.89998541016327827</v>
      </c>
      <c r="G96" s="203">
        <v>0.91197928392724392</v>
      </c>
      <c r="H96" s="203">
        <v>0.92356592269582061</v>
      </c>
      <c r="I96" s="203">
        <v>0.93429122727489444</v>
      </c>
      <c r="J96" s="203">
        <v>0.94412311094408086</v>
      </c>
      <c r="K96" s="203">
        <v>0.9524456408083678</v>
      </c>
      <c r="L96" s="203">
        <v>0.95614237835500693</v>
      </c>
      <c r="M96" s="203">
        <v>0.96507089226737108</v>
      </c>
      <c r="N96" s="203">
        <v>0.9789586036654141</v>
      </c>
      <c r="P96" s="202">
        <v>0.45</v>
      </c>
      <c r="Q96" s="203">
        <v>0.85790289283169285</v>
      </c>
      <c r="R96" s="203">
        <v>0.8678013562212098</v>
      </c>
      <c r="S96" s="203">
        <v>0.87800245803205124</v>
      </c>
      <c r="T96" s="203">
        <v>0.89014186975079934</v>
      </c>
      <c r="U96" s="203">
        <v>0.90323968350942374</v>
      </c>
      <c r="V96" s="203">
        <v>0.91637764234065866</v>
      </c>
      <c r="W96" s="203">
        <v>0.92795918062253502</v>
      </c>
      <c r="X96" s="203">
        <v>0.93315743659426964</v>
      </c>
      <c r="Y96" s="203">
        <v>0.94567177127170665</v>
      </c>
      <c r="Z96" s="203">
        <v>0.96415675193848682</v>
      </c>
      <c r="AB96" s="202">
        <v>0.45</v>
      </c>
      <c r="AC96" s="203">
        <v>0.84839124306572</v>
      </c>
      <c r="AD96" s="203">
        <v>0.85273751936336906</v>
      </c>
      <c r="AE96" s="203">
        <v>0.85736977086702415</v>
      </c>
      <c r="AF96" s="203">
        <v>0.86381807943896582</v>
      </c>
      <c r="AG96" s="203">
        <v>0.87254170904019479</v>
      </c>
      <c r="AH96" s="203">
        <v>0.88339952556014834</v>
      </c>
      <c r="AI96" s="203">
        <v>0.89436898282987087</v>
      </c>
      <c r="AJ96" s="203">
        <v>0.89950339310869687</v>
      </c>
      <c r="AK96" s="203">
        <v>0.91165864102590521</v>
      </c>
      <c r="AL96" s="203">
        <v>0.9265946214116898</v>
      </c>
    </row>
    <row r="97" spans="4:38" x14ac:dyDescent="0.25">
      <c r="D97" s="202">
        <v>0.45500000000000002</v>
      </c>
      <c r="E97" s="203">
        <v>0.8869331856415763</v>
      </c>
      <c r="F97" s="203">
        <v>0.90156431116215996</v>
      </c>
      <c r="G97" s="203">
        <v>0.91339648671563889</v>
      </c>
      <c r="H97" s="203">
        <v>0.92482471585754233</v>
      </c>
      <c r="I97" s="203">
        <v>0.93540263533601253</v>
      </c>
      <c r="J97" s="203">
        <v>0.94509955648467825</v>
      </c>
      <c r="K97" s="203">
        <v>0.95330838892322711</v>
      </c>
      <c r="L97" s="203">
        <v>0.95695484589456958</v>
      </c>
      <c r="M97" s="203">
        <v>0.9657623890659206</v>
      </c>
      <c r="N97" s="203">
        <v>0.97945950591845832</v>
      </c>
      <c r="P97" s="202">
        <v>0.45500000000000002</v>
      </c>
      <c r="Q97" s="203">
        <v>0.85989031015182138</v>
      </c>
      <c r="R97" s="203">
        <v>0.86968626902428414</v>
      </c>
      <c r="S97" s="203">
        <v>0.87977205100855516</v>
      </c>
      <c r="T97" s="203">
        <v>0.89176757116865424</v>
      </c>
      <c r="U97" s="203">
        <v>0.90470585857136332</v>
      </c>
      <c r="V97" s="203">
        <v>0.91768183056684938</v>
      </c>
      <c r="W97" s="203">
        <v>0.92912036313597568</v>
      </c>
      <c r="X97" s="203">
        <v>0.93425464452668516</v>
      </c>
      <c r="Y97" s="203">
        <v>0.94661598359620625</v>
      </c>
      <c r="Z97" s="203">
        <v>0.96487693657698059</v>
      </c>
      <c r="AB97" s="202">
        <v>0.45500000000000002</v>
      </c>
      <c r="AC97" s="203">
        <v>0.85048663002409708</v>
      </c>
      <c r="AD97" s="203">
        <v>0.85479804304489604</v>
      </c>
      <c r="AE97" s="203">
        <v>0.85938646634205673</v>
      </c>
      <c r="AF97" s="203">
        <v>0.86576625663042017</v>
      </c>
      <c r="AG97" s="203">
        <v>0.87438923540083724</v>
      </c>
      <c r="AH97" s="203">
        <v>0.88511485727313011</v>
      </c>
      <c r="AI97" s="203">
        <v>0.89594643826886078</v>
      </c>
      <c r="AJ97" s="203">
        <v>0.90101539315160972</v>
      </c>
      <c r="AK97" s="203">
        <v>0.9130143096205996</v>
      </c>
      <c r="AL97" s="203">
        <v>0.92775712614314676</v>
      </c>
    </row>
    <row r="98" spans="4:38" x14ac:dyDescent="0.25">
      <c r="D98" s="202">
        <v>0.46</v>
      </c>
      <c r="E98" s="203">
        <v>0.88868167041283552</v>
      </c>
      <c r="F98" s="203">
        <v>0.90312110976060855</v>
      </c>
      <c r="G98" s="203">
        <v>0.9147931909873549</v>
      </c>
      <c r="H98" s="203">
        <v>0.92606463291273355</v>
      </c>
      <c r="I98" s="203">
        <v>0.93649668239045558</v>
      </c>
      <c r="J98" s="203">
        <v>0.94606000076014063</v>
      </c>
      <c r="K98" s="203">
        <v>0.95415623404080407</v>
      </c>
      <c r="L98" s="203">
        <v>0.95775287482566396</v>
      </c>
      <c r="M98" s="203">
        <v>0.96644048843236297</v>
      </c>
      <c r="N98" s="203">
        <v>0.97994836053250434</v>
      </c>
      <c r="P98" s="202">
        <v>0.46</v>
      </c>
      <c r="Q98" s="203">
        <v>0.8618554354787521</v>
      </c>
      <c r="R98" s="203">
        <v>0.87154920193507335</v>
      </c>
      <c r="S98" s="203">
        <v>0.8815203030022527</v>
      </c>
      <c r="T98" s="203">
        <v>0.89337291108602646</v>
      </c>
      <c r="U98" s="203">
        <v>0.9061528654330494</v>
      </c>
      <c r="V98" s="203">
        <v>0.918968097899449</v>
      </c>
      <c r="W98" s="203">
        <v>0.93026470456498644</v>
      </c>
      <c r="X98" s="203">
        <v>0.93533547527658678</v>
      </c>
      <c r="Y98" s="203">
        <v>0.94754484293820351</v>
      </c>
      <c r="Z98" s="203">
        <v>0.96558290755870757</v>
      </c>
      <c r="AB98" s="202">
        <v>0.46</v>
      </c>
      <c r="AC98" s="203">
        <v>0.85255910092415654</v>
      </c>
      <c r="AD98" s="203">
        <v>0.85683545422506735</v>
      </c>
      <c r="AE98" s="203">
        <v>0.86138005629625314</v>
      </c>
      <c r="AF98" s="203">
        <v>0.86769158470603669</v>
      </c>
      <c r="AG98" s="203">
        <v>0.8762145243951277</v>
      </c>
      <c r="AH98" s="203">
        <v>0.88680894689083101</v>
      </c>
      <c r="AI98" s="203">
        <v>0.89750380462443557</v>
      </c>
      <c r="AJ98" s="203">
        <v>0.90250787494898688</v>
      </c>
      <c r="AK98" s="203">
        <v>0.91435185504083627</v>
      </c>
      <c r="AL98" s="203">
        <v>0.92890324239347</v>
      </c>
    </row>
    <row r="99" spans="4:38" x14ac:dyDescent="0.25">
      <c r="D99" s="202">
        <v>0.46500000000000002</v>
      </c>
      <c r="E99" s="203">
        <v>0.89040683110753238</v>
      </c>
      <c r="F99" s="203">
        <v>0.90465630584109658</v>
      </c>
      <c r="G99" s="203">
        <v>0.91616986500700981</v>
      </c>
      <c r="H99" s="203">
        <v>0.92728610978927051</v>
      </c>
      <c r="I99" s="203">
        <v>0.9375737744439735</v>
      </c>
      <c r="J99" s="203">
        <v>0.94700482383224838</v>
      </c>
      <c r="K99" s="203">
        <v>0.95498953673127984</v>
      </c>
      <c r="L99" s="203">
        <v>0.95853681821370285</v>
      </c>
      <c r="M99" s="203">
        <v>0.96710552979293096</v>
      </c>
      <c r="N99" s="203">
        <v>0.98042550837795917</v>
      </c>
      <c r="P99" s="202">
        <v>0.46500000000000002</v>
      </c>
      <c r="Q99" s="203">
        <v>0.86379875248228022</v>
      </c>
      <c r="R99" s="203">
        <v>0.87339063480717094</v>
      </c>
      <c r="S99" s="203">
        <v>0.88324768290566036</v>
      </c>
      <c r="T99" s="203">
        <v>0.8949583403891691</v>
      </c>
      <c r="U99" s="203">
        <v>0.90758113252578265</v>
      </c>
      <c r="V99" s="203">
        <v>0.92023684949103812</v>
      </c>
      <c r="W99" s="203">
        <v>0.93139259081310266</v>
      </c>
      <c r="X99" s="203">
        <v>0.93640030703431254</v>
      </c>
      <c r="Y99" s="203">
        <v>0.94845871309286633</v>
      </c>
      <c r="Z99" s="203">
        <v>0.96627502791786279</v>
      </c>
      <c r="AB99" s="202">
        <v>0.46500000000000002</v>
      </c>
      <c r="AC99" s="203">
        <v>0.85460915053867847</v>
      </c>
      <c r="AD99" s="203">
        <v>0.85885025334516696</v>
      </c>
      <c r="AE99" s="203">
        <v>0.86335104256000483</v>
      </c>
      <c r="AF99" s="203">
        <v>0.86959456201116214</v>
      </c>
      <c r="AG99" s="203">
        <v>0.87801806367957336</v>
      </c>
      <c r="AH99" s="203">
        <v>0.88848226329822177</v>
      </c>
      <c r="AI99" s="203">
        <v>0.89904152824561578</v>
      </c>
      <c r="AJ99" s="203">
        <v>0.90398127353776547</v>
      </c>
      <c r="AK99" s="203">
        <v>0.91567168452492553</v>
      </c>
      <c r="AL99" s="203">
        <v>0.93003334313869268</v>
      </c>
    </row>
    <row r="100" spans="4:38" x14ac:dyDescent="0.25">
      <c r="D100" s="202">
        <v>0.47</v>
      </c>
      <c r="E100" s="203">
        <v>0.89210918390138316</v>
      </c>
      <c r="F100" s="203">
        <v>0.90617038332827227</v>
      </c>
      <c r="G100" s="203">
        <v>0.91752696204101203</v>
      </c>
      <c r="H100" s="203">
        <v>0.92848956841326002</v>
      </c>
      <c r="I100" s="203">
        <v>0.93863430442832607</v>
      </c>
      <c r="J100" s="203">
        <v>0.94793439348990527</v>
      </c>
      <c r="K100" s="203">
        <v>0.95580864588153347</v>
      </c>
      <c r="L100" s="203">
        <v>0.95930701765964621</v>
      </c>
      <c r="M100" s="203">
        <v>0.96775784146166954</v>
      </c>
      <c r="N100" s="203">
        <v>0.98089127874269344</v>
      </c>
      <c r="P100" s="202">
        <v>0.47</v>
      </c>
      <c r="Q100" s="203">
        <v>0.86572072946952128</v>
      </c>
      <c r="R100" s="203">
        <v>0.87521103222895014</v>
      </c>
      <c r="S100" s="203">
        <v>0.88495464466583329</v>
      </c>
      <c r="T100" s="203">
        <v>0.89652429556055502</v>
      </c>
      <c r="U100" s="203">
        <v>0.90899107456502204</v>
      </c>
      <c r="V100" s="203">
        <v>0.92148847749828833</v>
      </c>
      <c r="W100" s="203">
        <v>0.93250439538250274</v>
      </c>
      <c r="X100" s="203">
        <v>0.93744950582438402</v>
      </c>
      <c r="Y100" s="203">
        <v>0.94935794610947244</v>
      </c>
      <c r="Z100" s="203">
        <v>0.96695364878034396</v>
      </c>
      <c r="AB100" s="202">
        <v>0.47</v>
      </c>
      <c r="AC100" s="203">
        <v>0.85663725796319146</v>
      </c>
      <c r="AD100" s="203">
        <v>0.86084292498846848</v>
      </c>
      <c r="AE100" s="203">
        <v>0.86529991105258464</v>
      </c>
      <c r="AF100" s="203">
        <v>0.87147567107025103</v>
      </c>
      <c r="AG100" s="203">
        <v>0.87980032539712727</v>
      </c>
      <c r="AH100" s="203">
        <v>0.89013526042591384</v>
      </c>
      <c r="AI100" s="203">
        <v>0.90056004121357558</v>
      </c>
      <c r="AJ100" s="203">
        <v>0.90543601003569407</v>
      </c>
      <c r="AK100" s="203">
        <v>0.91697419225648291</v>
      </c>
      <c r="AL100" s="203">
        <v>0.9311477893739043</v>
      </c>
    </row>
    <row r="101" spans="4:38" x14ac:dyDescent="0.25">
      <c r="D101" s="202">
        <v>0.47499999999999998</v>
      </c>
      <c r="E101" s="203">
        <v>0.89378922874124067</v>
      </c>
      <c r="F101" s="203">
        <v>0.9076638108592282</v>
      </c>
      <c r="G101" s="203">
        <v>0.91886492098909811</v>
      </c>
      <c r="H101" s="203">
        <v>0.92967541729960712</v>
      </c>
      <c r="I101" s="203">
        <v>0.93967865275323059</v>
      </c>
      <c r="J101" s="203">
        <v>0.94884906576744998</v>
      </c>
      <c r="K101" s="203">
        <v>0.95661389918854189</v>
      </c>
      <c r="L101" s="203">
        <v>0.96006380378411005</v>
      </c>
      <c r="M101" s="203">
        <v>0.96839774110945409</v>
      </c>
      <c r="N101" s="203">
        <v>0.98134598982146337</v>
      </c>
      <c r="P101" s="202">
        <v>0.47499999999999998</v>
      </c>
      <c r="Q101" s="203">
        <v>0.86762182002859178</v>
      </c>
      <c r="R101" s="203">
        <v>0.87701084416404573</v>
      </c>
      <c r="S101" s="203">
        <v>0.88664162791251455</v>
      </c>
      <c r="T101" s="203">
        <v>0.8980711992854199</v>
      </c>
      <c r="U101" s="203">
        <v>0.91038309312890486</v>
      </c>
      <c r="V101" s="203">
        <v>0.92272336163071966</v>
      </c>
      <c r="W101" s="203">
        <v>0.93360047989793671</v>
      </c>
      <c r="X101" s="203">
        <v>0.93848342601953261</v>
      </c>
      <c r="Y101" s="203">
        <v>0.95024288278762548</v>
      </c>
      <c r="Z101" s="203">
        <v>0.96761910986620714</v>
      </c>
      <c r="AB101" s="202">
        <v>0.47499999999999998</v>
      </c>
      <c r="AC101" s="203">
        <v>0.85864388727129837</v>
      </c>
      <c r="AD101" s="203">
        <v>0.86281393854311605</v>
      </c>
      <c r="AE101" s="203">
        <v>0.86722713244756899</v>
      </c>
      <c r="AF101" s="203">
        <v>0.87333537924928328</v>
      </c>
      <c r="AG101" s="203">
        <v>0.88156176682796683</v>
      </c>
      <c r="AH101" s="203">
        <v>0.89176837787892804</v>
      </c>
      <c r="AI101" s="203">
        <v>0.90205976194273452</v>
      </c>
      <c r="AJ101" s="203">
        <v>0.906872492228186</v>
      </c>
      <c r="AK101" s="203">
        <v>0.91825975991560671</v>
      </c>
      <c r="AL101" s="203">
        <v>0.93224693061959252</v>
      </c>
    </row>
    <row r="102" spans="4:38" x14ac:dyDescent="0.25">
      <c r="D102" s="202">
        <v>0.48</v>
      </c>
      <c r="E102" s="203">
        <v>0.89544745001698833</v>
      </c>
      <c r="F102" s="203">
        <v>0.9091370424189299</v>
      </c>
      <c r="G102" s="203">
        <v>0.9201841669829578</v>
      </c>
      <c r="H102" s="203">
        <v>0.93084405211174959</v>
      </c>
      <c r="I102" s="203">
        <v>0.94070718782946305</v>
      </c>
      <c r="J102" s="203">
        <v>0.94974918543587306</v>
      </c>
      <c r="K102" s="203">
        <v>0.95740562362697601</v>
      </c>
      <c r="L102" s="203">
        <v>0.96080749668615195</v>
      </c>
      <c r="M102" s="203">
        <v>0.96902553620848908</v>
      </c>
      <c r="N102" s="203">
        <v>0.98178994917984364</v>
      </c>
      <c r="P102" s="202">
        <v>0.48</v>
      </c>
      <c r="Q102" s="203">
        <v>0.86950246363892314</v>
      </c>
      <c r="R102" s="203">
        <v>0.87879050655859303</v>
      </c>
      <c r="S102" s="203">
        <v>0.88830905855362352</v>
      </c>
      <c r="T102" s="203">
        <v>0.89959946102670774</v>
      </c>
      <c r="U102" s="203">
        <v>0.91175757720657347</v>
      </c>
      <c r="V102" s="203">
        <v>0.92394186967078629</v>
      </c>
      <c r="W102" s="203">
        <v>0.9346811946032576</v>
      </c>
      <c r="X102" s="203">
        <v>0.93950241082784447</v>
      </c>
      <c r="Y102" s="203">
        <v>0.95111385314751185</v>
      </c>
      <c r="Z102" s="203">
        <v>0.96827173996587002</v>
      </c>
      <c r="AB102" s="202">
        <v>0.48</v>
      </c>
      <c r="AC102" s="203">
        <v>0.86062948813611417</v>
      </c>
      <c r="AD102" s="203">
        <v>0.86476374883072371</v>
      </c>
      <c r="AE102" s="203">
        <v>0.86913316280383401</v>
      </c>
      <c r="AF102" s="203">
        <v>0.87517413938386923</v>
      </c>
      <c r="AG102" s="203">
        <v>0.88330283100650187</v>
      </c>
      <c r="AH102" s="203">
        <v>0.89338204153275858</v>
      </c>
      <c r="AI102" s="203">
        <v>0.90354109575051988</v>
      </c>
      <c r="AJ102" s="203">
        <v>0.90829111512455973</v>
      </c>
      <c r="AK102" s="203">
        <v>0.91952875720126437</v>
      </c>
      <c r="AL102" s="203">
        <v>0.93333110540150388</v>
      </c>
    </row>
    <row r="103" spans="4:38" x14ac:dyDescent="0.25">
      <c r="D103" s="202">
        <v>0.48499999999999999</v>
      </c>
      <c r="E103" s="203">
        <v>0.8970843171990095</v>
      </c>
      <c r="F103" s="203">
        <v>0.91059051794295431</v>
      </c>
      <c r="G103" s="203">
        <v>0.92148511195398375</v>
      </c>
      <c r="H103" s="203">
        <v>0.9319958561924766</v>
      </c>
      <c r="I103" s="203">
        <v>0.94172026656490249</v>
      </c>
      <c r="J103" s="203">
        <v>0.95063508646860506</v>
      </c>
      <c r="K103" s="203">
        <v>0.95818413589259521</v>
      </c>
      <c r="L103" s="203">
        <v>0.96153840637831511</v>
      </c>
      <c r="M103" s="203">
        <v>0.96964152445381524</v>
      </c>
      <c r="N103" s="203">
        <v>0.98222345419425716</v>
      </c>
      <c r="P103" s="202">
        <v>0.48499999999999999</v>
      </c>
      <c r="Q103" s="203">
        <v>0.87136308625026615</v>
      </c>
      <c r="R103" s="203">
        <v>0.88055044191726939</v>
      </c>
      <c r="S103" s="203">
        <v>0.88995734934009896</v>
      </c>
      <c r="T103" s="203">
        <v>0.90110947757037041</v>
      </c>
      <c r="U103" s="203">
        <v>0.9131149037181856</v>
      </c>
      <c r="V103" s="203">
        <v>0.92514435796706862</v>
      </c>
      <c r="W103" s="203">
        <v>0.93574687883226326</v>
      </c>
      <c r="X103" s="203">
        <v>0.94050679275469351</v>
      </c>
      <c r="Y103" s="203">
        <v>0.95197117687581889</v>
      </c>
      <c r="Z103" s="203">
        <v>0.96891185739169094</v>
      </c>
      <c r="AB103" s="202">
        <v>0.48499999999999999</v>
      </c>
      <c r="AC103" s="203">
        <v>0.86259449641989416</v>
      </c>
      <c r="AD103" s="203">
        <v>0.86669279670280241</v>
      </c>
      <c r="AE103" s="203">
        <v>0.87101844416423702</v>
      </c>
      <c r="AF103" s="203">
        <v>0.87699239037515109</v>
      </c>
      <c r="AG103" s="203">
        <v>0.88502394730668699</v>
      </c>
      <c r="AH103" s="203">
        <v>0.89497666409875065</v>
      </c>
      <c r="AI103" s="203">
        <v>0.90500443539773545</v>
      </c>
      <c r="AJ103" s="203">
        <v>0.90969226148556404</v>
      </c>
      <c r="AK103" s="203">
        <v>0.92078154232666909</v>
      </c>
      <c r="AL103" s="203">
        <v>0.93440064170567116</v>
      </c>
    </row>
    <row r="104" spans="4:38" x14ac:dyDescent="0.25">
      <c r="D104" s="202">
        <v>0.49</v>
      </c>
      <c r="E104" s="203">
        <v>0.89870028544332481</v>
      </c>
      <c r="F104" s="203">
        <v>0.91202466388953585</v>
      </c>
      <c r="G104" s="203">
        <v>0.92276815517203947</v>
      </c>
      <c r="H104" s="203">
        <v>0.93313120106759806</v>
      </c>
      <c r="I104" s="203">
        <v>0.94271823483518447</v>
      </c>
      <c r="J104" s="203">
        <v>0.951507092483453</v>
      </c>
      <c r="K104" s="203">
        <v>0.95894974282292866</v>
      </c>
      <c r="L104" s="203">
        <v>0.96225683319938526</v>
      </c>
      <c r="M104" s="203">
        <v>0.97024599416323865</v>
      </c>
      <c r="N104" s="203">
        <v>0.98264679246956843</v>
      </c>
      <c r="P104" s="202">
        <v>0.49</v>
      </c>
      <c r="Q104" s="203">
        <v>0.87320410083229449</v>
      </c>
      <c r="R104" s="203">
        <v>0.88229105985004541</v>
      </c>
      <c r="S104" s="203">
        <v>0.89158690040197297</v>
      </c>
      <c r="T104" s="203">
        <v>0.90260163354283884</v>
      </c>
      <c r="U104" s="203">
        <v>0.91445543800834173</v>
      </c>
      <c r="V104" s="203">
        <v>0.92633117190222525</v>
      </c>
      <c r="W104" s="203">
        <v>0.93679786145542354</v>
      </c>
      <c r="X104" s="203">
        <v>0.94149689404101222</v>
      </c>
      <c r="Y104" s="203">
        <v>0.95281516374880504</v>
      </c>
      <c r="Z104" s="203">
        <v>0.96953977040643746</v>
      </c>
      <c r="AB104" s="202">
        <v>0.49</v>
      </c>
      <c r="AC104" s="203">
        <v>0.86453933473379141</v>
      </c>
      <c r="AD104" s="203">
        <v>0.86860150960696791</v>
      </c>
      <c r="AE104" s="203">
        <v>0.87288340512395213</v>
      </c>
      <c r="AF104" s="203">
        <v>0.87879055775546688</v>
      </c>
      <c r="AG104" s="203">
        <v>0.88672553199757598</v>
      </c>
      <c r="AH104" s="203">
        <v>0.89655264566066717</v>
      </c>
      <c r="AI104" s="203">
        <v>0.90645016160134306</v>
      </c>
      <c r="AJ104" s="203">
        <v>0.91107630232394876</v>
      </c>
      <c r="AK104" s="203">
        <v>0.92201846248931052</v>
      </c>
      <c r="AL104" s="203">
        <v>0.93545585741012849</v>
      </c>
    </row>
    <row r="105" spans="4:38" x14ac:dyDescent="0.25">
      <c r="D105" s="202">
        <v>0.495</v>
      </c>
      <c r="E105" s="203">
        <v>0.90029579616634536</v>
      </c>
      <c r="F105" s="203">
        <v>0.91343989378278001</v>
      </c>
      <c r="G105" s="203">
        <v>0.9240336837570009</v>
      </c>
      <c r="H105" s="203">
        <v>0.93425044692412129</v>
      </c>
      <c r="I105" s="203">
        <v>0.94370142793050227</v>
      </c>
      <c r="J105" s="203">
        <v>0.95236551716212969</v>
      </c>
      <c r="K105" s="203">
        <v>0.9597027417966264</v>
      </c>
      <c r="L105" s="203">
        <v>0.96296306820622257</v>
      </c>
      <c r="M105" s="203">
        <v>0.97083922465699157</v>
      </c>
      <c r="N105" s="203">
        <v>0.98306024223560629</v>
      </c>
      <c r="P105" s="202">
        <v>0.495</v>
      </c>
      <c r="Q105" s="203">
        <v>0.87502590789657864</v>
      </c>
      <c r="R105" s="203">
        <v>0.88401275759141507</v>
      </c>
      <c r="S105" s="203">
        <v>0.89319809975741116</v>
      </c>
      <c r="T105" s="203">
        <v>0.90407630190235522</v>
      </c>
      <c r="U105" s="203">
        <v>0.91577953431454395</v>
      </c>
      <c r="V105" s="203">
        <v>0.92750264633723656</v>
      </c>
      <c r="W105" s="203">
        <v>0.93783446130396042</v>
      </c>
      <c r="X105" s="203">
        <v>0.94247302707934244</v>
      </c>
      <c r="Y105" s="203">
        <v>0.95364611403391653</v>
      </c>
      <c r="Z105" s="203">
        <v>0.97015577763005834</v>
      </c>
      <c r="AB105" s="202">
        <v>0.495</v>
      </c>
      <c r="AC105" s="203">
        <v>0.86646441296953602</v>
      </c>
      <c r="AD105" s="203">
        <v>0.87049030212474998</v>
      </c>
      <c r="AE105" s="203">
        <v>0.87472846137028615</v>
      </c>
      <c r="AF105" s="203">
        <v>0.88056905422559362</v>
      </c>
      <c r="AG105" s="203">
        <v>0.88840798877091587</v>
      </c>
      <c r="AH105" s="203">
        <v>0.89811037418418671</v>
      </c>
      <c r="AI105" s="203">
        <v>0.90787864352132674</v>
      </c>
      <c r="AJ105" s="203">
        <v>0.91244359737971736</v>
      </c>
      <c r="AK105" s="203">
        <v>0.92323985431717637</v>
      </c>
      <c r="AL105" s="203">
        <v>0.9364970606947377</v>
      </c>
    </row>
    <row r="106" spans="4:38" x14ac:dyDescent="0.25">
      <c r="D106" s="202">
        <v>0.5</v>
      </c>
      <c r="E106" s="203">
        <v>0.90187127759105479</v>
      </c>
      <c r="F106" s="203">
        <v>0.91483660872876327</v>
      </c>
      <c r="G106" s="203">
        <v>0.92528207316470823</v>
      </c>
      <c r="H106" s="203">
        <v>0.93535394306446307</v>
      </c>
      <c r="I106" s="203">
        <v>0.94467017097999817</v>
      </c>
      <c r="J106" s="203">
        <v>0.9532106646487275</v>
      </c>
      <c r="K106" s="203">
        <v>0.96044342111276559</v>
      </c>
      <c r="L106" s="203">
        <v>0.96365739354592783</v>
      </c>
      <c r="M106" s="203">
        <v>0.97142148661835437</v>
      </c>
      <c r="N106" s="203">
        <v>0.98346407272388425</v>
      </c>
      <c r="P106" s="202">
        <v>0.5</v>
      </c>
      <c r="Q106" s="203">
        <v>0.87682889599258307</v>
      </c>
      <c r="R106" s="203">
        <v>0.88571592049374637</v>
      </c>
      <c r="S106" s="203">
        <v>0.89479132379634663</v>
      </c>
      <c r="T106" s="203">
        <v>0.90553384440572693</v>
      </c>
      <c r="U106" s="203">
        <v>0.91708753621218742</v>
      </c>
      <c r="V106" s="203">
        <v>0.92865910603337187</v>
      </c>
      <c r="W106" s="203">
        <v>0.93885698757264724</v>
      </c>
      <c r="X106" s="203">
        <v>0.94343549480900002</v>
      </c>
      <c r="Y106" s="203">
        <v>0.95446431887124106</v>
      </c>
      <c r="Z106" s="203">
        <v>0.97076016842605428</v>
      </c>
      <c r="AB106" s="202">
        <v>0.5</v>
      </c>
      <c r="AC106" s="203">
        <v>0.86837012880471498</v>
      </c>
      <c r="AD106" s="203">
        <v>0.87235957648269369</v>
      </c>
      <c r="AE106" s="203">
        <v>0.87655401619567508</v>
      </c>
      <c r="AF106" s="203">
        <v>0.88232828016527032</v>
      </c>
      <c r="AG106" s="203">
        <v>0.89007170924245227</v>
      </c>
      <c r="AH106" s="203">
        <v>0.89965022600096123</v>
      </c>
      <c r="AI106" s="203">
        <v>0.90929023922319518</v>
      </c>
      <c r="AJ106" s="203">
        <v>0.91379449557157955</v>
      </c>
      <c r="AK106" s="203">
        <v>0.9244460442925978</v>
      </c>
      <c r="AL106" s="203">
        <v>0.93752455043044169</v>
      </c>
    </row>
    <row r="107" spans="4:38" x14ac:dyDescent="0.25">
      <c r="D107" s="202">
        <v>0.505</v>
      </c>
      <c r="E107" s="203">
        <v>0.9034271452663073</v>
      </c>
      <c r="F107" s="203">
        <v>0.91621519790613803</v>
      </c>
      <c r="G107" s="203">
        <v>0.92651368764884601</v>
      </c>
      <c r="H107" s="203">
        <v>0.93644202833812895</v>
      </c>
      <c r="I107" s="203">
        <v>0.94562477935507583</v>
      </c>
      <c r="J107" s="203">
        <v>0.95404282992839218</v>
      </c>
      <c r="K107" s="203">
        <v>0.96117206035130753</v>
      </c>
      <c r="L107" s="203">
        <v>0.96434008280951355</v>
      </c>
      <c r="M107" s="203">
        <v>0.97199304243636642</v>
      </c>
      <c r="N107" s="203">
        <v>0.9838585445256991</v>
      </c>
      <c r="P107" s="202">
        <v>0.505</v>
      </c>
      <c r="Q107" s="203">
        <v>0.87861344217922044</v>
      </c>
      <c r="R107" s="203">
        <v>0.88740092249629055</v>
      </c>
      <c r="S107" s="203">
        <v>0.89636693774020348</v>
      </c>
      <c r="T107" s="203">
        <v>0.90697461205197272</v>
      </c>
      <c r="U107" s="203">
        <v>0.91837977703748319</v>
      </c>
      <c r="V107" s="203">
        <v>0.92980086605320045</v>
      </c>
      <c r="W107" s="203">
        <v>0.93986574020259328</v>
      </c>
      <c r="X107" s="203">
        <v>0.94438459109160455</v>
      </c>
      <c r="Y107" s="203">
        <v>0.95527006063600373</v>
      </c>
      <c r="Z107" s="203">
        <v>0.97135322326867946</v>
      </c>
      <c r="AB107" s="202">
        <v>0.505</v>
      </c>
      <c r="AC107" s="203">
        <v>0.87025686818320591</v>
      </c>
      <c r="AD107" s="203">
        <v>0.87420972303833155</v>
      </c>
      <c r="AE107" s="203">
        <v>0.87836046098544351</v>
      </c>
      <c r="AF107" s="203">
        <v>0.88406862411857978</v>
      </c>
      <c r="AG107" s="203">
        <v>0.89171707342849926</v>
      </c>
      <c r="AH107" s="203">
        <v>0.90117256626873599</v>
      </c>
      <c r="AI107" s="203">
        <v>0.91068529611757321</v>
      </c>
      <c r="AJ107" s="203">
        <v>0.91512933542602559</v>
      </c>
      <c r="AK107" s="203">
        <v>0.92563734915505602</v>
      </c>
      <c r="AL107" s="203">
        <v>0.93853861654917248</v>
      </c>
    </row>
    <row r="108" spans="4:38" x14ac:dyDescent="0.25">
      <c r="D108" s="202">
        <v>0.51</v>
      </c>
      <c r="E108" s="203">
        <v>0.90496380256081643</v>
      </c>
      <c r="F108" s="203">
        <v>0.91757603903272933</v>
      </c>
      <c r="G108" s="203">
        <v>0.9277288807001739</v>
      </c>
      <c r="H108" s="203">
        <v>0.93751503155218274</v>
      </c>
      <c r="I108" s="203">
        <v>0.94656555905288176</v>
      </c>
      <c r="J108" s="203">
        <v>0.95486229918736842</v>
      </c>
      <c r="K108" s="203">
        <v>0.96188893071582249</v>
      </c>
      <c r="L108" s="203">
        <v>0.96501140136817953</v>
      </c>
      <c r="M108" s="203">
        <v>0.97255414653169248</v>
      </c>
      <c r="N108" s="203">
        <v>0.98424390993270616</v>
      </c>
      <c r="P108" s="202">
        <v>0.51</v>
      </c>
      <c r="Q108" s="203">
        <v>0.88037991247339431</v>
      </c>
      <c r="R108" s="203">
        <v>0.8890681265712741</v>
      </c>
      <c r="S108" s="203">
        <v>0.89792529607912797</v>
      </c>
      <c r="T108" s="203">
        <v>0.90839894550421452</v>
      </c>
      <c r="U108" s="203">
        <v>0.91965658028961028</v>
      </c>
      <c r="V108" s="203">
        <v>0.93092823214188924</v>
      </c>
      <c r="W108" s="203">
        <v>0.94086101024519875</v>
      </c>
      <c r="X108" s="203">
        <v>0.94532060106812998</v>
      </c>
      <c r="Y108" s="203">
        <v>0.95606361328322353</v>
      </c>
      <c r="Z108" s="203">
        <v>0.97193521409209238</v>
      </c>
      <c r="AB108" s="202">
        <v>0.51</v>
      </c>
      <c r="AC108" s="203">
        <v>0.87212500577221841</v>
      </c>
      <c r="AD108" s="203">
        <v>0.87604112074249041</v>
      </c>
      <c r="AE108" s="203">
        <v>0.88014817568180537</v>
      </c>
      <c r="AF108" s="203">
        <v>0.88579046325565691</v>
      </c>
      <c r="AG108" s="203">
        <v>0.89334445019922881</v>
      </c>
      <c r="AH108" s="203">
        <v>0.90267774940894285</v>
      </c>
      <c r="AI108" s="203">
        <v>0.91206415137822971</v>
      </c>
      <c r="AJ108" s="203">
        <v>0.91644844548533533</v>
      </c>
      <c r="AK108" s="203">
        <v>0.926814076284184</v>
      </c>
      <c r="AL108" s="203">
        <v>0.93953954039555898</v>
      </c>
    </row>
    <row r="109" spans="4:38" x14ac:dyDescent="0.25">
      <c r="D109" s="202">
        <v>0.51500000000000001</v>
      </c>
      <c r="E109" s="203">
        <v>0.90648164113329677</v>
      </c>
      <c r="F109" s="203">
        <v>0.9189194988095275</v>
      </c>
      <c r="G109" s="203">
        <v>0.92892799546442084</v>
      </c>
      <c r="H109" s="203">
        <v>0.9385732718617501</v>
      </c>
      <c r="I109" s="203">
        <v>0.9474928070611105</v>
      </c>
      <c r="J109" s="203">
        <v>0.95566935015550414</v>
      </c>
      <c r="K109" s="203">
        <v>0.96259429535951246</v>
      </c>
      <c r="L109" s="203">
        <v>0.96567160669320384</v>
      </c>
      <c r="M109" s="203">
        <v>0.97310504566662337</v>
      </c>
      <c r="N109" s="203">
        <v>0.98462041326099636</v>
      </c>
      <c r="P109" s="202">
        <v>0.51500000000000001</v>
      </c>
      <c r="Q109" s="203">
        <v>0.8821286622768677</v>
      </c>
      <c r="R109" s="203">
        <v>0.89071788514840311</v>
      </c>
      <c r="S109" s="203">
        <v>0.8994667429880201</v>
      </c>
      <c r="T109" s="203">
        <v>0.90980717549108425</v>
      </c>
      <c r="U109" s="203">
        <v>0.92091826001331034</v>
      </c>
      <c r="V109" s="203">
        <v>0.93204150108993578</v>
      </c>
      <c r="W109" s="203">
        <v>0.94184308020837693</v>
      </c>
      <c r="X109" s="203">
        <v>0.94624380149855858</v>
      </c>
      <c r="Y109" s="203">
        <v>0.95684524267557569</v>
      </c>
      <c r="Z109" s="203">
        <v>0.97250640462252202</v>
      </c>
      <c r="AB109" s="202">
        <v>0.51500000000000001</v>
      </c>
      <c r="AC109" s="203">
        <v>0.87397490539729594</v>
      </c>
      <c r="AD109" s="203">
        <v>0.87785413757930741</v>
      </c>
      <c r="AE109" s="203">
        <v>0.88191752922547673</v>
      </c>
      <c r="AF109" s="203">
        <v>0.887494163812101</v>
      </c>
      <c r="AG109" s="203">
        <v>0.89495419771002671</v>
      </c>
      <c r="AH109" s="203">
        <v>0.90416611952307568</v>
      </c>
      <c r="AI109" s="203">
        <v>0.91342713233979833</v>
      </c>
      <c r="AJ109" s="203">
        <v>0.91775214469575328</v>
      </c>
      <c r="AK109" s="203">
        <v>0.92797652406412923</v>
      </c>
      <c r="AL109" s="203">
        <v>0.94052759506149219</v>
      </c>
    </row>
    <row r="110" spans="4:38" x14ac:dyDescent="0.25">
      <c r="D110" s="202">
        <v>0.52</v>
      </c>
      <c r="E110" s="203">
        <v>0.90798104138013069</v>
      </c>
      <c r="F110" s="203">
        <v>0.92024593334337146</v>
      </c>
      <c r="G110" s="203">
        <v>0.93011136514008186</v>
      </c>
      <c r="H110" s="203">
        <v>0.93961705914170657</v>
      </c>
      <c r="I110" s="203">
        <v>0.94840681170521957</v>
      </c>
      <c r="J110" s="203">
        <v>0.95646425243222954</v>
      </c>
      <c r="K110" s="203">
        <v>0.963288409695508</v>
      </c>
      <c r="L110" s="203">
        <v>0.96632094866040152</v>
      </c>
      <c r="M110" s="203">
        <v>0.97364597924013518</v>
      </c>
      <c r="N110" s="203">
        <v>0.98498829115962849</v>
      </c>
      <c r="P110" s="202">
        <v>0.52</v>
      </c>
      <c r="Q110" s="203">
        <v>0.8838600367826982</v>
      </c>
      <c r="R110" s="203">
        <v>0.89235054051902674</v>
      </c>
      <c r="S110" s="203">
        <v>0.90099161272260264</v>
      </c>
      <c r="T110" s="203">
        <v>0.91119962318882641</v>
      </c>
      <c r="U110" s="203">
        <v>0.92216512116305493</v>
      </c>
      <c r="V110" s="203">
        <v>0.93314096107841105</v>
      </c>
      <c r="W110" s="203">
        <v>0.94281222438607282</v>
      </c>
      <c r="X110" s="203">
        <v>0.94715446108514312</v>
      </c>
      <c r="Y110" s="203">
        <v>0.95761520689542934</v>
      </c>
      <c r="Z110" s="203">
        <v>0.97306705069442956</v>
      </c>
      <c r="AB110" s="202">
        <v>0.52</v>
      </c>
      <c r="AC110" s="203">
        <v>0.87580692045654196</v>
      </c>
      <c r="AD110" s="203">
        <v>0.87964913098522868</v>
      </c>
      <c r="AE110" s="203">
        <v>0.8836688799761897</v>
      </c>
      <c r="AF110" s="203">
        <v>0.88918008150736594</v>
      </c>
      <c r="AG110" s="203">
        <v>0.89654666381218295</v>
      </c>
      <c r="AH110" s="203">
        <v>0.90563801078907014</v>
      </c>
      <c r="AI110" s="203">
        <v>0.91477455687636389</v>
      </c>
      <c r="AJ110" s="203">
        <v>0.91904074277697745</v>
      </c>
      <c r="AK110" s="203">
        <v>0.9291249822303459</v>
      </c>
      <c r="AL110" s="203">
        <v>0.94150304570455046</v>
      </c>
    </row>
    <row r="111" spans="4:38" x14ac:dyDescent="0.25">
      <c r="D111" s="202">
        <v>0.52500000000000002</v>
      </c>
      <c r="E111" s="203">
        <v>0.90946237286183562</v>
      </c>
      <c r="F111" s="203">
        <v>0.92155568854954373</v>
      </c>
      <c r="G111" s="203">
        <v>0.93127931335726188</v>
      </c>
      <c r="H111" s="203">
        <v>0.94064669434063142</v>
      </c>
      <c r="I111" s="203">
        <v>0.94930785297906084</v>
      </c>
      <c r="J111" s="203">
        <v>0.95724726779696123</v>
      </c>
      <c r="K111" s="203">
        <v>0.96397152169233724</v>
      </c>
      <c r="L111" s="203">
        <v>0.96695966984004067</v>
      </c>
      <c r="M111" s="203">
        <v>0.97417717956886196</v>
      </c>
      <c r="N111" s="203">
        <v>0.98534777290450748</v>
      </c>
      <c r="P111" s="202">
        <v>0.52500000000000002</v>
      </c>
      <c r="Q111" s="203">
        <v>0.88557437136240535</v>
      </c>
      <c r="R111" s="203">
        <v>0.89396642522111014</v>
      </c>
      <c r="S111" s="203">
        <v>0.90250022999665336</v>
      </c>
      <c r="T111" s="203">
        <v>0.91257660058520351</v>
      </c>
      <c r="U111" s="203">
        <v>0.92339745994984257</v>
      </c>
      <c r="V111" s="203">
        <v>0.9342268920077158</v>
      </c>
      <c r="W111" s="203">
        <v>0.94376870917203737</v>
      </c>
      <c r="X111" s="203">
        <v>0.94805284078022301</v>
      </c>
      <c r="Y111" s="203">
        <v>0.95837375654197499</v>
      </c>
      <c r="Z111" s="203">
        <v>0.97361740055158286</v>
      </c>
      <c r="AB111" s="202">
        <v>0.52500000000000002</v>
      </c>
      <c r="AC111" s="203">
        <v>0.87762139431524966</v>
      </c>
      <c r="AD111" s="203">
        <v>0.88142644824818639</v>
      </c>
      <c r="AE111" s="203">
        <v>0.88540257611330064</v>
      </c>
      <c r="AF111" s="203">
        <v>0.89084856194332984</v>
      </c>
      <c r="AG111" s="203">
        <v>0.89812218644408259</v>
      </c>
      <c r="AH111" s="203">
        <v>0.9070937478388319</v>
      </c>
      <c r="AI111" s="203">
        <v>0.91610673376201024</v>
      </c>
      <c r="AJ111" s="203">
        <v>0.92031454057402462</v>
      </c>
      <c r="AK111" s="203">
        <v>0.93025973219983038</v>
      </c>
      <c r="AL111" s="203">
        <v>0.94246614985119892</v>
      </c>
    </row>
    <row r="112" spans="4:38" x14ac:dyDescent="0.25">
      <c r="D112" s="202">
        <v>0.53</v>
      </c>
      <c r="E112" s="203">
        <v>0.91092599470952351</v>
      </c>
      <c r="F112" s="203">
        <v>0.92284910053541069</v>
      </c>
      <c r="G112" s="203">
        <v>0.93243215453864048</v>
      </c>
      <c r="H112" s="203">
        <v>0.94166246981802848</v>
      </c>
      <c r="I112" s="203">
        <v>0.95019620285986761</v>
      </c>
      <c r="J112" s="203">
        <v>0.95801865050481416</v>
      </c>
      <c r="K112" s="203">
        <v>0.96464387215540925</v>
      </c>
      <c r="L112" s="203">
        <v>0.96758800577303272</v>
      </c>
      <c r="M112" s="203">
        <v>0.97469887215478435</v>
      </c>
      <c r="N112" s="203">
        <v>0.98569908067844214</v>
      </c>
      <c r="P112" s="202">
        <v>0.53</v>
      </c>
      <c r="Q112" s="203">
        <v>0.88727199193495487</v>
      </c>
      <c r="R112" s="203">
        <v>0.89556586240610891</v>
      </c>
      <c r="S112" s="203">
        <v>0.90399291034147145</v>
      </c>
      <c r="T112" s="203">
        <v>0.91393841082622929</v>
      </c>
      <c r="U112" s="203">
        <v>0.9246155641716054</v>
      </c>
      <c r="V112" s="203">
        <v>0.93529956581078433</v>
      </c>
      <c r="W112" s="203">
        <v>0.94471279335874891</v>
      </c>
      <c r="X112" s="203">
        <v>0.94893919407946592</v>
      </c>
      <c r="Y112" s="203">
        <v>0.95912113501428042</v>
      </c>
      <c r="Z112" s="203">
        <v>0.97415769513390427</v>
      </c>
      <c r="AB112" s="202">
        <v>0.53</v>
      </c>
      <c r="AC112" s="203">
        <v>0.87941866068203811</v>
      </c>
      <c r="AD112" s="203">
        <v>0.88318642688806737</v>
      </c>
      <c r="AE112" s="203">
        <v>0.8871189560176167</v>
      </c>
      <c r="AF112" s="203">
        <v>0.89249994098415331</v>
      </c>
      <c r="AG112" s="203">
        <v>0.89968109400401153</v>
      </c>
      <c r="AH112" s="203">
        <v>0.90853364611797549</v>
      </c>
      <c r="AI112" s="203">
        <v>0.91742396301434814</v>
      </c>
      <c r="AJ112" s="203">
        <v>0.92157383039248097</v>
      </c>
      <c r="AK112" s="203">
        <v>0.93138104738573979</v>
      </c>
      <c r="AL112" s="203">
        <v>0.94341715768564138</v>
      </c>
    </row>
    <row r="113" spans="4:38" x14ac:dyDescent="0.25">
      <c r="D113" s="202">
        <v>0.53500000000000003</v>
      </c>
      <c r="E113" s="203">
        <v>0.91237225601247263</v>
      </c>
      <c r="F113" s="203">
        <v>0.92412649596616736</v>
      </c>
      <c r="G113" s="203">
        <v>0.93357019424356324</v>
      </c>
      <c r="H113" s="203">
        <v>0.94266466966576101</v>
      </c>
      <c r="I113" s="203">
        <v>0.9510721256084812</v>
      </c>
      <c r="J113" s="203">
        <v>0.95877864756844988</v>
      </c>
      <c r="K113" s="203">
        <v>0.96530569499530083</v>
      </c>
      <c r="L113" s="203">
        <v>0.96820618523418212</v>
      </c>
      <c r="M113" s="203">
        <v>0.97521127594037971</v>
      </c>
      <c r="N113" s="203">
        <v>0.9860424298381556</v>
      </c>
      <c r="P113" s="202">
        <v>0.53500000000000003</v>
      </c>
      <c r="Q113" s="203">
        <v>0.88895321531857496</v>
      </c>
      <c r="R113" s="203">
        <v>0.89714916618875007</v>
      </c>
      <c r="S113" s="203">
        <v>0.90546996044857364</v>
      </c>
      <c r="T113" s="203">
        <v>0.9152853485466983</v>
      </c>
      <c r="U113" s="203">
        <v>0.9258197135281524</v>
      </c>
      <c r="V113" s="203">
        <v>0.93635924675161186</v>
      </c>
      <c r="W113" s="203">
        <v>0.94564472842231828</v>
      </c>
      <c r="X113" s="203">
        <v>0.94981376730135825</v>
      </c>
      <c r="Y113" s="203">
        <v>0.95985757878107714</v>
      </c>
      <c r="Z113" s="203">
        <v>0.97468816835088989</v>
      </c>
      <c r="AB113" s="202">
        <v>0.53500000000000003</v>
      </c>
      <c r="AC113" s="203">
        <v>0.88119904396752113</v>
      </c>
      <c r="AD113" s="203">
        <v>0.88492939501951706</v>
      </c>
      <c r="AE113" s="203">
        <v>0.88881834863548537</v>
      </c>
      <c r="AF113" s="203">
        <v>0.89413454511847978</v>
      </c>
      <c r="AG113" s="203">
        <v>0.90122370570559096</v>
      </c>
      <c r="AH113" s="203">
        <v>0.90995801222877293</v>
      </c>
      <c r="AI113" s="203">
        <v>0.91872653622198097</v>
      </c>
      <c r="AJ113" s="203">
        <v>0.92281889631806047</v>
      </c>
      <c r="AK113" s="203">
        <v>0.93248919349726556</v>
      </c>
      <c r="AL113" s="203">
        <v>0.94435631232511819</v>
      </c>
    </row>
    <row r="114" spans="4:38" x14ac:dyDescent="0.25">
      <c r="D114" s="202">
        <v>0.54</v>
      </c>
      <c r="E114" s="203">
        <v>0.91380149618785123</v>
      </c>
      <c r="F114" s="203">
        <v>0.92538819241368031</v>
      </c>
      <c r="G114" s="203">
        <v>0.93469372949619556</v>
      </c>
      <c r="H114" s="203">
        <v>0.94365357001457217</v>
      </c>
      <c r="I114" s="203">
        <v>0.9519358780556374</v>
      </c>
      <c r="J114" s="203">
        <v>0.95952749902683421</v>
      </c>
      <c r="K114" s="203">
        <v>0.9659572174835841</v>
      </c>
      <c r="L114" s="203">
        <v>0.96881443048320581</v>
      </c>
      <c r="M114" s="203">
        <v>0.97571460355193795</v>
      </c>
      <c r="N114" s="203">
        <v>0.98637802916897732</v>
      </c>
      <c r="P114" s="202">
        <v>0.54</v>
      </c>
      <c r="Q114" s="203">
        <v>0.89061834956635422</v>
      </c>
      <c r="R114" s="203">
        <v>0.89871664198066914</v>
      </c>
      <c r="S114" s="203">
        <v>0.90693167849654699</v>
      </c>
      <c r="T114" s="203">
        <v>0.91661770018540778</v>
      </c>
      <c r="U114" s="203">
        <v>0.92701017992150447</v>
      </c>
      <c r="V114" s="203">
        <v>0.93740619170992301</v>
      </c>
      <c r="W114" s="203">
        <v>0.94656475879416202</v>
      </c>
      <c r="X114" s="203">
        <v>0.95067679985371212</v>
      </c>
      <c r="Y114" s="203">
        <v>0.9605833176380093</v>
      </c>
      <c r="Z114" s="203">
        <v>0.97520904734235103</v>
      </c>
      <c r="AB114" s="202">
        <v>0.54</v>
      </c>
      <c r="AC114" s="203">
        <v>0.88296285962648091</v>
      </c>
      <c r="AD114" s="203">
        <v>0.88665567169805293</v>
      </c>
      <c r="AE114" s="203">
        <v>0.89050107382612864</v>
      </c>
      <c r="AF114" s="203">
        <v>0.89575269180494155</v>
      </c>
      <c r="AG114" s="203">
        <v>0.9027503319168122</v>
      </c>
      <c r="AH114" s="203">
        <v>0.91136714425724297</v>
      </c>
      <c r="AI114" s="203">
        <v>0.9200147368568008</v>
      </c>
      <c r="AJ114" s="203">
        <v>0.92405001452135338</v>
      </c>
      <c r="AK114" s="203">
        <v>0.93358442882559145</v>
      </c>
      <c r="AL114" s="203">
        <v>0.94528385008241855</v>
      </c>
    </row>
    <row r="115" spans="4:38" x14ac:dyDescent="0.25">
      <c r="D115" s="202">
        <v>0.54500000000000004</v>
      </c>
      <c r="E115" s="203">
        <v>0.91521404533357387</v>
      </c>
      <c r="F115" s="203">
        <v>0.92663449868935888</v>
      </c>
      <c r="G115" s="203">
        <v>0.93580304909861578</v>
      </c>
      <c r="H115" s="203">
        <v>0.94462943932651988</v>
      </c>
      <c r="I115" s="203">
        <v>0.95278770987508477</v>
      </c>
      <c r="J115" s="203">
        <v>0.96026543820162513</v>
      </c>
      <c r="K115" s="203">
        <v>0.96659866049688004</v>
      </c>
      <c r="L115" s="203">
        <v>0.96941295750420864</v>
      </c>
      <c r="M115" s="203">
        <v>0.97620906153169107</v>
      </c>
      <c r="N115" s="203">
        <v>0.98670608112789771</v>
      </c>
      <c r="P115" s="202">
        <v>0.54500000000000004</v>
      </c>
      <c r="Q115" s="203">
        <v>0.89226769428651198</v>
      </c>
      <c r="R115" s="203">
        <v>0.90026858680879041</v>
      </c>
      <c r="S115" s="203">
        <v>0.90837835446293069</v>
      </c>
      <c r="T115" s="203">
        <v>0.91793574428591806</v>
      </c>
      <c r="U115" s="203">
        <v>0.92818722774243223</v>
      </c>
      <c r="V115" s="203">
        <v>0.93844065045274649</v>
      </c>
      <c r="W115" s="203">
        <v>0.9474731221201691</v>
      </c>
      <c r="X115" s="203">
        <v>0.95152852448790448</v>
      </c>
      <c r="Y115" s="203">
        <v>0.96129857495304316</v>
      </c>
      <c r="Z115" s="203">
        <v>0.9757205527271785</v>
      </c>
      <c r="AB115" s="202">
        <v>0.54500000000000004</v>
      </c>
      <c r="AC115" s="203">
        <v>0.88471041448444054</v>
      </c>
      <c r="AD115" s="203">
        <v>0.88836556725039961</v>
      </c>
      <c r="AE115" s="203">
        <v>0.89216744269313419</v>
      </c>
      <c r="AF115" s="203">
        <v>0.89735468980190169</v>
      </c>
      <c r="AG115" s="203">
        <v>0.90426127448356841</v>
      </c>
      <c r="AH115" s="203">
        <v>0.91276133208525134</v>
      </c>
      <c r="AI115" s="203">
        <v>0.92128884057194704</v>
      </c>
      <c r="AJ115" s="203">
        <v>0.92526745354857398</v>
      </c>
      <c r="AK115" s="203">
        <v>0.9346670045166966</v>
      </c>
      <c r="AL115" s="203">
        <v>0.94620000071630539</v>
      </c>
    </row>
    <row r="116" spans="4:38" x14ac:dyDescent="0.25">
      <c r="D116" s="202">
        <v>0.55000000000000004</v>
      </c>
      <c r="E116" s="203">
        <v>0.91661022456520236</v>
      </c>
      <c r="F116" s="203">
        <v>0.92786571516192129</v>
      </c>
      <c r="G116" s="203">
        <v>0.93689843392967376</v>
      </c>
      <c r="H116" s="203">
        <v>0.9455925386740931</v>
      </c>
      <c r="I116" s="203">
        <v>0.95362786384425258</v>
      </c>
      <c r="J116" s="203">
        <v>0.96099269194187353</v>
      </c>
      <c r="K116" s="203">
        <v>0.9672302387497872</v>
      </c>
      <c r="L116" s="203">
        <v>0.97000197623423901</v>
      </c>
      <c r="M116" s="203">
        <v>0.97669485055937488</v>
      </c>
      <c r="N116" s="203">
        <v>0.98702678207561778</v>
      </c>
      <c r="P116" s="202">
        <v>0.55000000000000004</v>
      </c>
      <c r="Q116" s="203">
        <v>0.89390154094816832</v>
      </c>
      <c r="R116" s="203">
        <v>0.90180528961927431</v>
      </c>
      <c r="S116" s="203">
        <v>0.90981027042194329</v>
      </c>
      <c r="T116" s="203">
        <v>0.91923975178363748</v>
      </c>
      <c r="U116" s="203">
        <v>0.92935111414394356</v>
      </c>
      <c r="V116" s="203">
        <v>0.9394628658936105</v>
      </c>
      <c r="W116" s="203">
        <v>0.9483700495080517</v>
      </c>
      <c r="X116" s="203">
        <v>0.95236916754151946</v>
      </c>
      <c r="Y116" s="203">
        <v>0.9620035679006822</v>
      </c>
      <c r="Z116" s="203">
        <v>0.97622289884078361</v>
      </c>
      <c r="AB116" s="202">
        <v>0.55000000000000004</v>
      </c>
      <c r="AC116" s="203">
        <v>0.88644200704948606</v>
      </c>
      <c r="AD116" s="203">
        <v>0.89005938358990488</v>
      </c>
      <c r="AE116" s="203">
        <v>0.89381775790097062</v>
      </c>
      <c r="AF116" s="203">
        <v>0.89894083948227077</v>
      </c>
      <c r="AG116" s="203">
        <v>0.90575682703852456</v>
      </c>
      <c r="AH116" s="203">
        <v>0.914140857688444</v>
      </c>
      <c r="AI116" s="203">
        <v>0.92254911548621787</v>
      </c>
      <c r="AJ116" s="203">
        <v>0.92647147459907597</v>
      </c>
      <c r="AK116" s="203">
        <v>0.93573716483172853</v>
      </c>
      <c r="AL116" s="203">
        <v>0.94710498767051743</v>
      </c>
    </row>
    <row r="117" spans="4:38" x14ac:dyDescent="0.25">
      <c r="D117" s="202">
        <v>0.55500000000000005</v>
      </c>
      <c r="E117" s="203">
        <v>0.91799034633775167</v>
      </c>
      <c r="F117" s="203">
        <v>0.92908213406087625</v>
      </c>
      <c r="G117" s="203">
        <v>0.93798015723037986</v>
      </c>
      <c r="H117" s="203">
        <v>0.94654312200673152</v>
      </c>
      <c r="I117" s="203">
        <v>0.95445657609314516</v>
      </c>
      <c r="J117" s="203">
        <v>0.96170948085766472</v>
      </c>
      <c r="K117" s="203">
        <v>0.96785216101728377</v>
      </c>
      <c r="L117" s="203">
        <v>0.97058169078152146</v>
      </c>
      <c r="M117" s="203">
        <v>0.9771721656637925</v>
      </c>
      <c r="N117" s="203">
        <v>0.98734032249819004</v>
      </c>
      <c r="P117" s="202">
        <v>0.55500000000000005</v>
      </c>
      <c r="Q117" s="203">
        <v>0.89552017317340427</v>
      </c>
      <c r="R117" s="203">
        <v>0.90332703156782146</v>
      </c>
      <c r="S117" s="203">
        <v>0.91122770082881777</v>
      </c>
      <c r="T117" s="203">
        <v>0.92052998627997595</v>
      </c>
      <c r="U117" s="203">
        <v>0.93050208930243339</v>
      </c>
      <c r="V117" s="203">
        <v>0.9404730743400328</v>
      </c>
      <c r="W117" s="203">
        <v>0.94925576576351478</v>
      </c>
      <c r="X117" s="203">
        <v>0.95319894917002546</v>
      </c>
      <c r="Y117" s="203">
        <v>0.96269850768559895</v>
      </c>
      <c r="Z117" s="203">
        <v>0.97671629396183401</v>
      </c>
      <c r="AB117" s="202">
        <v>0.55500000000000005</v>
      </c>
      <c r="AC117" s="203">
        <v>0.88815792781013048</v>
      </c>
      <c r="AD117" s="203">
        <v>0.89173741451783195</v>
      </c>
      <c r="AE117" s="203">
        <v>0.89545231397732228</v>
      </c>
      <c r="AF117" s="203">
        <v>0.90051143313421711</v>
      </c>
      <c r="AG117" s="203">
        <v>0.90723727529611864</v>
      </c>
      <c r="AH117" s="203">
        <v>0.91550599542077049</v>
      </c>
      <c r="AI117" s="203">
        <v>0.92379582245565672</v>
      </c>
      <c r="AJ117" s="203">
        <v>0.92766233179035196</v>
      </c>
      <c r="AK117" s="203">
        <v>0.93679514739561898</v>
      </c>
      <c r="AL117" s="203">
        <v>0.94799902830196847</v>
      </c>
    </row>
    <row r="118" spans="4:38" x14ac:dyDescent="0.25">
      <c r="D118" s="202">
        <v>0.56000000000000005</v>
      </c>
      <c r="E118" s="203">
        <v>0.91935471475320507</v>
      </c>
      <c r="F118" s="203">
        <v>0.93028403976647567</v>
      </c>
      <c r="G118" s="203">
        <v>0.93904848487654935</v>
      </c>
      <c r="H118" s="203">
        <v>0.94748143640542604</v>
      </c>
      <c r="I118" s="203">
        <v>0.95527407634209571</v>
      </c>
      <c r="J118" s="203">
        <v>0.96241601954329958</v>
      </c>
      <c r="K118" s="203">
        <v>0.96846463034717734</v>
      </c>
      <c r="L118" s="203">
        <v>0.97115229963392236</v>
      </c>
      <c r="M118" s="203">
        <v>0.97764119642491998</v>
      </c>
      <c r="N118" s="203">
        <v>0.98764688721881189</v>
      </c>
      <c r="P118" s="202">
        <v>0.56000000000000005</v>
      </c>
      <c r="Q118" s="203">
        <v>0.89712386701633107</v>
      </c>
      <c r="R118" s="203">
        <v>0.90483408629704576</v>
      </c>
      <c r="S118" s="203">
        <v>0.91263091279146147</v>
      </c>
      <c r="T118" s="203">
        <v>0.92180670430425138</v>
      </c>
      <c r="U118" s="203">
        <v>0.93164039666715714</v>
      </c>
      <c r="V118" s="203">
        <v>0.94147150572993155</v>
      </c>
      <c r="W118" s="203">
        <v>0.95013048961585411</v>
      </c>
      <c r="X118" s="203">
        <v>0.95401808356807494</v>
      </c>
      <c r="Y118" s="203">
        <v>0.96338359975624888</v>
      </c>
      <c r="Z118" s="203">
        <v>0.97720094052885575</v>
      </c>
      <c r="AB118" s="202">
        <v>0.56000000000000005</v>
      </c>
      <c r="AC118" s="203">
        <v>0.88985845951995735</v>
      </c>
      <c r="AD118" s="203">
        <v>0.89339994601128569</v>
      </c>
      <c r="AE118" s="203">
        <v>0.89707139760200694</v>
      </c>
      <c r="AF118" s="203">
        <v>0.90206675524850977</v>
      </c>
      <c r="AG118" s="203">
        <v>0.90870289733443343</v>
      </c>
      <c r="AH118" s="203">
        <v>0.91685701228632244</v>
      </c>
      <c r="AI118" s="203">
        <v>0.92502921533301152</v>
      </c>
      <c r="AJ118" s="203">
        <v>0.92884027241118705</v>
      </c>
      <c r="AK118" s="203">
        <v>0.93784118343456835</v>
      </c>
      <c r="AL118" s="203">
        <v>0.94888233409872347</v>
      </c>
    </row>
    <row r="119" spans="4:38" x14ac:dyDescent="0.25">
      <c r="D119" s="202">
        <v>0.56499999999999995</v>
      </c>
      <c r="E119" s="203">
        <v>0.92070362585449173</v>
      </c>
      <c r="F119" s="203">
        <v>0.93147170908686505</v>
      </c>
      <c r="G119" s="203">
        <v>0.94010367563937935</v>
      </c>
      <c r="H119" s="203">
        <v>0.94840772232603132</v>
      </c>
      <c r="I119" s="203">
        <v>0.95608058812897212</v>
      </c>
      <c r="J119" s="203">
        <v>0.96311251679057253</v>
      </c>
      <c r="K119" s="203">
        <v>0.96906784426312231</v>
      </c>
      <c r="L119" s="203">
        <v>0.97171399585816631</v>
      </c>
      <c r="M119" s="203">
        <v>0.97810212716705591</v>
      </c>
      <c r="N119" s="203">
        <v>0.98794665560029382</v>
      </c>
      <c r="P119" s="202">
        <v>0.56499999999999995</v>
      </c>
      <c r="Q119" s="203">
        <v>0.89871289122986564</v>
      </c>
      <c r="R119" s="203">
        <v>0.90632672020161875</v>
      </c>
      <c r="S119" s="203">
        <v>0.91402016633011318</v>
      </c>
      <c r="T119" s="203">
        <v>0.92307015556401106</v>
      </c>
      <c r="U119" s="203">
        <v>0.93276627319864502</v>
      </c>
      <c r="V119" s="203">
        <v>0.94245838385754954</v>
      </c>
      <c r="W119" s="203">
        <v>0.950994433933533</v>
      </c>
      <c r="X119" s="203">
        <v>0.95482677918097936</v>
      </c>
      <c r="Y119" s="203">
        <v>0.96405904400900266</v>
      </c>
      <c r="Z119" s="203">
        <v>0.97767703534724471</v>
      </c>
      <c r="AB119" s="202">
        <v>0.56499999999999995</v>
      </c>
      <c r="AC119" s="203">
        <v>0.89154387746975206</v>
      </c>
      <c r="AD119" s="203">
        <v>0.89504725649847428</v>
      </c>
      <c r="AE119" s="203">
        <v>0.89867528788318052</v>
      </c>
      <c r="AF119" s="203">
        <v>0.90360708279321</v>
      </c>
      <c r="AG119" s="203">
        <v>0.91015396386463443</v>
      </c>
      <c r="AH119" s="203">
        <v>0.91819416819915489</v>
      </c>
      <c r="AI119" s="203">
        <v>0.92624954121570369</v>
      </c>
      <c r="AJ119" s="203">
        <v>0.93000553716359513</v>
      </c>
      <c r="AK119" s="203">
        <v>0.93887549800300052</v>
      </c>
      <c r="AL119" s="203">
        <v>0.94975511088829845</v>
      </c>
    </row>
    <row r="120" spans="4:38" x14ac:dyDescent="0.25">
      <c r="D120" s="202">
        <v>0.56999999999999995</v>
      </c>
      <c r="E120" s="203">
        <v>0.92203736790663804</v>
      </c>
      <c r="F120" s="203">
        <v>0.93264541152309666</v>
      </c>
      <c r="G120" s="203">
        <v>0.94114598143459105</v>
      </c>
      <c r="H120" s="203">
        <v>0.94932221383188964</v>
      </c>
      <c r="I120" s="203">
        <v>0.95687632902639219</v>
      </c>
      <c r="J120" s="203">
        <v>0.96379917579266561</v>
      </c>
      <c r="K120" s="203">
        <v>0.96966199495871364</v>
      </c>
      <c r="L120" s="203">
        <v>0.97226696729029283</v>
      </c>
      <c r="M120" s="203">
        <v>0.97855513714349018</v>
      </c>
      <c r="N120" s="203">
        <v>0.98823980173869053</v>
      </c>
      <c r="P120" s="202">
        <v>0.56999999999999995</v>
      </c>
      <c r="Q120" s="203">
        <v>0.9002875075208524</v>
      </c>
      <c r="R120" s="203">
        <v>0.90780519268181126</v>
      </c>
      <c r="S120" s="203">
        <v>0.91539571462562763</v>
      </c>
      <c r="T120" s="203">
        <v>0.92432058318436816</v>
      </c>
      <c r="U120" s="203">
        <v>0.93387994959664322</v>
      </c>
      <c r="V120" s="203">
        <v>0.94343392658944147</v>
      </c>
      <c r="W120" s="203">
        <v>0.95184780593028162</v>
      </c>
      <c r="X120" s="203">
        <v>0.95562523890687934</v>
      </c>
      <c r="Y120" s="203">
        <v>0.96472503498329798</v>
      </c>
      <c r="Z120" s="203">
        <v>0.97814476978719167</v>
      </c>
      <c r="AB120" s="202">
        <v>0.56999999999999995</v>
      </c>
      <c r="AC120" s="203">
        <v>0.89321444974776354</v>
      </c>
      <c r="AD120" s="203">
        <v>0.89667961712197253</v>
      </c>
      <c r="AE120" s="203">
        <v>0.90026425662149523</v>
      </c>
      <c r="AF120" s="203">
        <v>0.90513268547636849</v>
      </c>
      <c r="AG120" s="203">
        <v>0.9115907384886246</v>
      </c>
      <c r="AH120" s="203">
        <v>0.91951771623172451</v>
      </c>
      <c r="AI120" s="203">
        <v>0.92745704068291646</v>
      </c>
      <c r="AJ120" s="203">
        <v>0.9311583603941338</v>
      </c>
      <c r="AK120" s="203">
        <v>0.93989831020053705</v>
      </c>
      <c r="AL120" s="203">
        <v>0.95061755903679057</v>
      </c>
    </row>
    <row r="121" spans="4:38" x14ac:dyDescent="0.25">
      <c r="D121" s="202">
        <v>0.57499999999999996</v>
      </c>
      <c r="E121" s="203">
        <v>0.92335622166575615</v>
      </c>
      <c r="F121" s="203">
        <v>0.93380540952264168</v>
      </c>
      <c r="G121" s="203">
        <v>0.94217564756073857</v>
      </c>
      <c r="H121" s="203">
        <v>0.95022513881632198</v>
      </c>
      <c r="I121" s="203">
        <v>0.95766151084946982</v>
      </c>
      <c r="J121" s="203">
        <v>0.96447619433915577</v>
      </c>
      <c r="K121" s="203">
        <v>0.9702472694831169</v>
      </c>
      <c r="L121" s="203">
        <v>0.97281139671781491</v>
      </c>
      <c r="M121" s="203">
        <v>0.97900040071313454</v>
      </c>
      <c r="N121" s="203">
        <v>0.98852649464856035</v>
      </c>
      <c r="P121" s="202">
        <v>0.57499999999999996</v>
      </c>
      <c r="Q121" s="203">
        <v>0.90184797079413503</v>
      </c>
      <c r="R121" s="203">
        <v>0.90926975638604723</v>
      </c>
      <c r="S121" s="203">
        <v>0.91675780425698106</v>
      </c>
      <c r="T121" s="203">
        <v>0.92555822393693077</v>
      </c>
      <c r="U121" s="203">
        <v>0.93498165051813065</v>
      </c>
      <c r="V121" s="203">
        <v>0.94439834607104889</v>
      </c>
      <c r="W121" s="203">
        <v>0.95269080736220391</v>
      </c>
      <c r="X121" s="203">
        <v>0.95641366029009778</v>
      </c>
      <c r="Y121" s="203">
        <v>0.96538176204827908</v>
      </c>
      <c r="Z121" s="203">
        <v>0.97860432997300051</v>
      </c>
      <c r="AB121" s="202">
        <v>0.57499999999999996</v>
      </c>
      <c r="AC121" s="203">
        <v>0.89487043748872053</v>
      </c>
      <c r="AD121" s="203">
        <v>0.89829729199060326</v>
      </c>
      <c r="AE121" s="203">
        <v>0.90183856856283506</v>
      </c>
      <c r="AF121" s="203">
        <v>0.90664382599735405</v>
      </c>
      <c r="AG121" s="203">
        <v>0.91301347794553189</v>
      </c>
      <c r="AH121" s="203">
        <v>0.92082790285253913</v>
      </c>
      <c r="AI121" s="203">
        <v>0.92865194802236817</v>
      </c>
      <c r="AJ121" s="203">
        <v>0.93229897031514508</v>
      </c>
      <c r="AK121" s="203">
        <v>0.94090983337951295</v>
      </c>
      <c r="AL121" s="203">
        <v>0.95146987363932511</v>
      </c>
    </row>
    <row r="122" spans="4:38" x14ac:dyDescent="0.25">
      <c r="D122" s="202">
        <v>0.57999999999999996</v>
      </c>
      <c r="E122" s="203">
        <v>0.92466046063649887</v>
      </c>
      <c r="F122" s="203">
        <v>0.93495195872199544</v>
      </c>
      <c r="G122" s="203">
        <v>0.9431929129272405</v>
      </c>
      <c r="H122" s="203">
        <v>0.95111671921551344</v>
      </c>
      <c r="I122" s="203">
        <v>0.95843633985458587</v>
      </c>
      <c r="J122" s="203">
        <v>0.96514376500259236</v>
      </c>
      <c r="K122" s="203">
        <v>0.97082384991867965</v>
      </c>
      <c r="L122" s="203">
        <v>0.97334746205400613</v>
      </c>
      <c r="M122" s="203">
        <v>0.97943808750953487</v>
      </c>
      <c r="N122" s="203">
        <v>0.98880689844028524</v>
      </c>
      <c r="P122" s="202">
        <v>0.57999999999999996</v>
      </c>
      <c r="Q122" s="203">
        <v>0.90339452938615428</v>
      </c>
      <c r="R122" s="203">
        <v>0.91072065744303166</v>
      </c>
      <c r="S122" s="203">
        <v>0.91810667542855251</v>
      </c>
      <c r="T122" s="203">
        <v>0.92678330845886159</v>
      </c>
      <c r="U122" s="203">
        <v>0.93607159478592072</v>
      </c>
      <c r="V122" s="203">
        <v>0.94535184892434543</v>
      </c>
      <c r="W122" s="203">
        <v>0.95352363471636303</v>
      </c>
      <c r="X122" s="203">
        <v>0.95719223570613088</v>
      </c>
      <c r="Y122" s="203">
        <v>0.96602940958136951</v>
      </c>
      <c r="Z122" s="203">
        <v>0.97905589696424133</v>
      </c>
      <c r="AB122" s="202">
        <v>0.57999999999999996</v>
      </c>
      <c r="AC122" s="203">
        <v>0.89651209511217766</v>
      </c>
      <c r="AD122" s="203">
        <v>0.89990053842053097</v>
      </c>
      <c r="AE122" s="203">
        <v>0.90339848164022019</v>
      </c>
      <c r="AF122" s="203">
        <v>0.90814076028739776</v>
      </c>
      <c r="AG122" s="203">
        <v>0.91442243234760279</v>
      </c>
      <c r="AH122" s="203">
        <v>0.92212496815357237</v>
      </c>
      <c r="AI122" s="203">
        <v>0.92983449144730457</v>
      </c>
      <c r="AJ122" s="203">
        <v>0.93342758921645452</v>
      </c>
      <c r="AK122" s="203">
        <v>0.94191027534353022</v>
      </c>
      <c r="AL122" s="203">
        <v>0.95231224470226472</v>
      </c>
    </row>
    <row r="123" spans="4:38" x14ac:dyDescent="0.25">
      <c r="D123" s="202">
        <v>0.58499999999999996</v>
      </c>
      <c r="E123" s="203">
        <v>0.9259503513185644</v>
      </c>
      <c r="F123" s="203">
        <v>0.93608530817893165</v>
      </c>
      <c r="G123" s="203">
        <v>0.94419801027266514</v>
      </c>
      <c r="H123" s="203">
        <v>0.95199717121228344</v>
      </c>
      <c r="I123" s="203">
        <v>0.95920101692964266</v>
      </c>
      <c r="J123" s="203">
        <v>0.96580207531707951</v>
      </c>
      <c r="K123" s="203">
        <v>0.97139191355092946</v>
      </c>
      <c r="L123" s="203">
        <v>0.97387533650472491</v>
      </c>
      <c r="M123" s="203">
        <v>0.97986836260265253</v>
      </c>
      <c r="N123" s="203">
        <v>0.98908117248985727</v>
      </c>
      <c r="P123" s="202">
        <v>0.58499999999999996</v>
      </c>
      <c r="Q123" s="203">
        <v>0.90492742528859815</v>
      </c>
      <c r="R123" s="203">
        <v>0.91215813568398496</v>
      </c>
      <c r="S123" s="203">
        <v>0.91944256218770781</v>
      </c>
      <c r="T123" s="203">
        <v>0.92799606146257585</v>
      </c>
      <c r="U123" s="203">
        <v>0.937149995588337</v>
      </c>
      <c r="V123" s="203">
        <v>0.94629463643701728</v>
      </c>
      <c r="W123" s="203">
        <v>0.9543464793912867</v>
      </c>
      <c r="X123" s="203">
        <v>0.95796115253871061</v>
      </c>
      <c r="Y123" s="203">
        <v>0.96666815713918786</v>
      </c>
      <c r="Z123" s="203">
        <v>0.97949964692916192</v>
      </c>
      <c r="AB123" s="202">
        <v>0.58499999999999996</v>
      </c>
      <c r="AC123" s="203">
        <v>0.89813967055073562</v>
      </c>
      <c r="AD123" s="203">
        <v>0.9014896071661076</v>
      </c>
      <c r="AE123" s="203">
        <v>0.90494424720542666</v>
      </c>
      <c r="AF123" s="203">
        <v>0.9096237377399039</v>
      </c>
      <c r="AG123" s="203">
        <v>0.91581784540604494</v>
      </c>
      <c r="AH123" s="203">
        <v>0.92340914606797209</v>
      </c>
      <c r="AI123" s="203">
        <v>0.9310048933042141</v>
      </c>
      <c r="AJ123" s="203">
        <v>0.93454443366800588</v>
      </c>
      <c r="AK123" s="203">
        <v>0.94289983853750148</v>
      </c>
      <c r="AL123" s="203">
        <v>0.95314485731760545</v>
      </c>
    </row>
    <row r="124" spans="4:38" x14ac:dyDescent="0.25">
      <c r="D124" s="202">
        <v>0.59</v>
      </c>
      <c r="E124" s="203">
        <v>0.92722615344281201</v>
      </c>
      <c r="F124" s="203">
        <v>0.93720570059493258</v>
      </c>
      <c r="G124" s="203">
        <v>0.94519116637376266</v>
      </c>
      <c r="H124" s="203">
        <v>0.95286670543121132</v>
      </c>
      <c r="I124" s="203">
        <v>0.95995573777623822</v>
      </c>
      <c r="J124" s="203">
        <v>0.96645130794927447</v>
      </c>
      <c r="K124" s="203">
        <v>0.97195163303135779</v>
      </c>
      <c r="L124" s="203">
        <v>0.974395188728155</v>
      </c>
      <c r="M124" s="203">
        <v>0.98029138665378968</v>
      </c>
      <c r="N124" s="203">
        <v>0.98934947160151587</v>
      </c>
      <c r="P124" s="202">
        <v>0.59</v>
      </c>
      <c r="Q124" s="203">
        <v>0.90644689436261494</v>
      </c>
      <c r="R124" s="203">
        <v>0.91358242485548924</v>
      </c>
      <c r="S124" s="203">
        <v>0.92076569263317476</v>
      </c>
      <c r="T124" s="203">
        <v>0.92919670193654824</v>
      </c>
      <c r="U124" s="203">
        <v>0.93821706067041422</v>
      </c>
      <c r="V124" s="203">
        <v>0.94722690474360649</v>
      </c>
      <c r="W124" s="203">
        <v>0.95515952786979541</v>
      </c>
      <c r="X124" s="203">
        <v>0.95872059334934057</v>
      </c>
      <c r="Y124" s="203">
        <v>0.96729817962120479</v>
      </c>
      <c r="Z124" s="203">
        <v>0.97993575131075261</v>
      </c>
      <c r="AB124" s="202">
        <v>0.59</v>
      </c>
      <c r="AC124" s="203">
        <v>0.8997534054686438</v>
      </c>
      <c r="AD124" s="203">
        <v>0.90306474264099657</v>
      </c>
      <c r="AE124" s="203">
        <v>0.90647611025084673</v>
      </c>
      <c r="AF124" s="203">
        <v>0.91109300143104566</v>
      </c>
      <c r="AG124" s="203">
        <v>0.91719995464732884</v>
      </c>
      <c r="AH124" s="203">
        <v>0.92468066457855214</v>
      </c>
      <c r="AI124" s="203">
        <v>0.93216337027173524</v>
      </c>
      <c r="AJ124" s="203">
        <v>0.93564971471390312</v>
      </c>
      <c r="AK124" s="203">
        <v>0.94387872022962493</v>
      </c>
      <c r="AL124" s="203">
        <v>0.95396789182996256</v>
      </c>
    </row>
    <row r="125" spans="4:38" x14ac:dyDescent="0.25">
      <c r="D125" s="202">
        <v>0.59499999999999997</v>
      </c>
      <c r="E125" s="203">
        <v>0.92848812019750315</v>
      </c>
      <c r="F125" s="203">
        <v>0.93831337252829128</v>
      </c>
      <c r="G125" s="203">
        <v>0.94617260224571276</v>
      </c>
      <c r="H125" s="203">
        <v>0.95372552712554659</v>
      </c>
      <c r="I125" s="203">
        <v>0.96070069308416839</v>
      </c>
      <c r="J125" s="203">
        <v>0.96709164086217847</v>
      </c>
      <c r="K125" s="203">
        <v>0.97250317653334439</v>
      </c>
      <c r="L125" s="203">
        <v>0.97490718298782164</v>
      </c>
      <c r="M125" s="203">
        <v>0.98070731606400108</v>
      </c>
      <c r="N125" s="203">
        <v>0.98961194616359427</v>
      </c>
      <c r="P125" s="202">
        <v>0.59499999999999997</v>
      </c>
      <c r="Q125" s="203">
        <v>0.90795316654405966</v>
      </c>
      <c r="R125" s="203">
        <v>0.91499375282341333</v>
      </c>
      <c r="S125" s="203">
        <v>0.92207628911467576</v>
      </c>
      <c r="T125" s="203">
        <v>0.93038544333768536</v>
      </c>
      <c r="U125" s="203">
        <v>0.9392729925170521</v>
      </c>
      <c r="V125" s="203">
        <v>0.94814884499902341</v>
      </c>
      <c r="W125" s="203">
        <v>0.95596296188455387</v>
      </c>
      <c r="X125" s="203">
        <v>0.95947073603968858</v>
      </c>
      <c r="Y125" s="203">
        <v>0.96791964742650138</v>
      </c>
      <c r="Z125" s="203">
        <v>0.98036437698583334</v>
      </c>
      <c r="AB125" s="202">
        <v>0.59499999999999997</v>
      </c>
      <c r="AC125" s="203">
        <v>0.90135353547127717</v>
      </c>
      <c r="AD125" s="203">
        <v>0.9046261831300586</v>
      </c>
      <c r="AE125" s="203">
        <v>0.90799430962207639</v>
      </c>
      <c r="AF125" s="203">
        <v>0.91254878833113218</v>
      </c>
      <c r="AG125" s="203">
        <v>0.91856899162042538</v>
      </c>
      <c r="AH125" s="203">
        <v>0.92593974591753259</v>
      </c>
      <c r="AI125" s="203">
        <v>0.93331013355120251</v>
      </c>
      <c r="AJ125" s="203">
        <v>0.9367436380582892</v>
      </c>
      <c r="AK125" s="203">
        <v>0.9448471126856951</v>
      </c>
      <c r="AL125" s="203">
        <v>0.95478152399651417</v>
      </c>
    </row>
    <row r="126" spans="4:38" x14ac:dyDescent="0.25">
      <c r="D126" s="202">
        <v>0.6</v>
      </c>
      <c r="E126" s="203">
        <v>0.92973649844516304</v>
      </c>
      <c r="F126" s="203">
        <v>0.93940855459834804</v>
      </c>
      <c r="G126" s="203">
        <v>0.94714253333402654</v>
      </c>
      <c r="H126" s="203">
        <v>0.95457383635632054</v>
      </c>
      <c r="I126" s="203">
        <v>0.96143606869864229</v>
      </c>
      <c r="J126" s="203">
        <v>0.96772324747209193</v>
      </c>
      <c r="K126" s="203">
        <v>0.97304670790157233</v>
      </c>
      <c r="L126" s="203">
        <v>0.97541147929921967</v>
      </c>
      <c r="M126" s="203">
        <v>0.98111630311631981</v>
      </c>
      <c r="N126" s="203">
        <v>0.98986874229791866</v>
      </c>
      <c r="P126" s="202">
        <v>0.6</v>
      </c>
      <c r="Q126" s="203">
        <v>0.90944646604022339</v>
      </c>
      <c r="R126" s="203">
        <v>0.91639234176836692</v>
      </c>
      <c r="S126" s="203">
        <v>0.92337456842425325</v>
      </c>
      <c r="T126" s="203">
        <v>0.93156249377567868</v>
      </c>
      <c r="U126" s="203">
        <v>0.94031798852852788</v>
      </c>
      <c r="V126" s="203">
        <v>0.94906064354481412</v>
      </c>
      <c r="W126" s="203">
        <v>0.95675695857670107</v>
      </c>
      <c r="X126" s="203">
        <v>0.96021175400719028</v>
      </c>
      <c r="Y126" s="203">
        <v>0.96853272660397938</v>
      </c>
      <c r="Z126" s="203">
        <v>0.98078568641751807</v>
      </c>
      <c r="AB126" s="202">
        <v>0.6</v>
      </c>
      <c r="AC126" s="203">
        <v>0.90294029030592893</v>
      </c>
      <c r="AD126" s="203">
        <v>0.90617416099245762</v>
      </c>
      <c r="AE126" s="203">
        <v>0.90949907822169229</v>
      </c>
      <c r="AF126" s="203">
        <v>0.91399132950720885</v>
      </c>
      <c r="AG126" s="203">
        <v>0.91992518209543628</v>
      </c>
      <c r="AH126" s="203">
        <v>0.9271866067579686</v>
      </c>
      <c r="AI126" s="203">
        <v>0.93444538904924879</v>
      </c>
      <c r="AJ126" s="203">
        <v>0.9378264042434703</v>
      </c>
      <c r="AK126" s="203">
        <v>0.94580520333613105</v>
      </c>
      <c r="AL126" s="203">
        <v>0.95558592514026364</v>
      </c>
    </row>
    <row r="127" spans="4:38" x14ac:dyDescent="0.25">
      <c r="D127" s="202">
        <v>0.60499999999999998</v>
      </c>
      <c r="E127" s="203">
        <v>0.93097152893052504</v>
      </c>
      <c r="F127" s="203">
        <v>0.94049147168130387</v>
      </c>
      <c r="G127" s="203">
        <v>0.94810116969851643</v>
      </c>
      <c r="H127" s="203">
        <v>0.95541182816404546</v>
      </c>
      <c r="I127" s="203">
        <v>0.96216204578056996</v>
      </c>
      <c r="J127" s="203">
        <v>0.96834629679906348</v>
      </c>
      <c r="K127" s="203">
        <v>0.97358238679525799</v>
      </c>
      <c r="L127" s="203">
        <v>0.97590823357037348</v>
      </c>
      <c r="M127" s="203">
        <v>0.98151849611210784</v>
      </c>
      <c r="N127" s="203">
        <v>0.99012000200307315</v>
      </c>
      <c r="P127" s="202">
        <v>0.60499999999999998</v>
      </c>
      <c r="Q127" s="203">
        <v>0.91092701151846189</v>
      </c>
      <c r="R127" s="203">
        <v>0.91777840837309932</v>
      </c>
      <c r="S127" s="203">
        <v>0.92466074197970216</v>
      </c>
      <c r="T127" s="203">
        <v>0.93272805618973809</v>
      </c>
      <c r="U127" s="203">
        <v>0.94135224118874561</v>
      </c>
      <c r="V127" s="203">
        <v>0.94996248206853851</v>
      </c>
      <c r="W127" s="203">
        <v>0.95754169064790851</v>
      </c>
      <c r="X127" s="203">
        <v>0.96094381629420778</v>
      </c>
      <c r="Y127" s="203">
        <v>0.96913757899634712</v>
      </c>
      <c r="Z127" s="203">
        <v>0.98119983780137809</v>
      </c>
      <c r="AB127" s="202">
        <v>0.60499999999999998</v>
      </c>
      <c r="AC127" s="203">
        <v>0.90451389405435589</v>
      </c>
      <c r="AD127" s="203">
        <v>0.90770890285642503</v>
      </c>
      <c r="AE127" s="203">
        <v>0.91099064320465351</v>
      </c>
      <c r="AF127" s="203">
        <v>0.91542085031732001</v>
      </c>
      <c r="AG127" s="203">
        <v>0.92126874625403854</v>
      </c>
      <c r="AH127" s="203">
        <v>0.9284214583972733</v>
      </c>
      <c r="AI127" s="203">
        <v>0.93556933755285743</v>
      </c>
      <c r="AJ127" s="203">
        <v>0.93889820882067032</v>
      </c>
      <c r="AK127" s="203">
        <v>0.94675317493609079</v>
      </c>
      <c r="AL127" s="203">
        <v>0.95638126229694442</v>
      </c>
    </row>
    <row r="128" spans="4:38" x14ac:dyDescent="0.25">
      <c r="D128" s="202">
        <v>0.61</v>
      </c>
      <c r="E128" s="203">
        <v>0.93219344647999502</v>
      </c>
      <c r="F128" s="203">
        <v>0.94156234309802145</v>
      </c>
      <c r="G128" s="203">
        <v>0.94904871618972564</v>
      </c>
      <c r="H128" s="203">
        <v>0.95623969273336529</v>
      </c>
      <c r="I128" s="203">
        <v>0.96287880096027001</v>
      </c>
      <c r="J128" s="203">
        <v>0.96896095361116252</v>
      </c>
      <c r="K128" s="203">
        <v>0.9741103688254964</v>
      </c>
      <c r="L128" s="203">
        <v>0.97639759773662549</v>
      </c>
      <c r="M128" s="203">
        <v>0.9819140395018171</v>
      </c>
      <c r="N128" s="203">
        <v>0.99036586329184029</v>
      </c>
      <c r="P128" s="202">
        <v>0.61</v>
      </c>
      <c r="Q128" s="203">
        <v>0.91239501628712438</v>
      </c>
      <c r="R128" s="203">
        <v>0.91915216400223676</v>
      </c>
      <c r="S128" s="203">
        <v>0.92593501600049122</v>
      </c>
      <c r="T128" s="203">
        <v>0.93388232851808262</v>
      </c>
      <c r="U128" s="203">
        <v>0.9423759382265775</v>
      </c>
      <c r="V128" s="203">
        <v>0.95085453775660278</v>
      </c>
      <c r="W128" s="203">
        <v>0.95831732650618717</v>
      </c>
      <c r="X128" s="203">
        <v>0.96166708773105436</v>
      </c>
      <c r="Y128" s="203">
        <v>0.96973436237819177</v>
      </c>
      <c r="Z128" s="203">
        <v>0.98160698520562473</v>
      </c>
      <c r="AB128" s="202">
        <v>0.61</v>
      </c>
      <c r="AC128" s="203">
        <v>0.90607456531747699</v>
      </c>
      <c r="AD128" s="203">
        <v>0.90923062980608294</v>
      </c>
      <c r="AE128" s="203">
        <v>0.91246922616573467</v>
      </c>
      <c r="AF128" s="203">
        <v>0.91683757059684712</v>
      </c>
      <c r="AG128" s="203">
        <v>0.92259989887214411</v>
      </c>
      <c r="AH128" s="203">
        <v>0.92964450693323086</v>
      </c>
      <c r="AI128" s="203">
        <v>0.93668217489723582</v>
      </c>
      <c r="AJ128" s="203">
        <v>0.93995924251378116</v>
      </c>
      <c r="AK128" s="203">
        <v>0.94769120571900634</v>
      </c>
      <c r="AL128" s="203">
        <v>0.95716769835589122</v>
      </c>
    </row>
    <row r="129" spans="4:38" x14ac:dyDescent="0.25">
      <c r="D129" s="202">
        <v>0.61499999999999999</v>
      </c>
      <c r="E129" s="203">
        <v>0.93340248019304428</v>
      </c>
      <c r="F129" s="203">
        <v>0.94262138279420515</v>
      </c>
      <c r="G129" s="203">
        <v>0.94998537261818228</v>
      </c>
      <c r="H129" s="203">
        <v>0.95705761555100455</v>
      </c>
      <c r="I129" s="203">
        <v>0.96358650648491428</v>
      </c>
      <c r="J129" s="203">
        <v>0.96956737856287156</v>
      </c>
      <c r="K129" s="203">
        <v>0.97463080568701554</v>
      </c>
      <c r="L129" s="203">
        <v>0.97687971988993993</v>
      </c>
      <c r="M129" s="203">
        <v>0.98230307401043793</v>
      </c>
      <c r="N129" s="203">
        <v>0.99060646032309063</v>
      </c>
      <c r="P129" s="202">
        <v>0.61499999999999999</v>
      </c>
      <c r="Q129" s="203">
        <v>0.91385068846915551</v>
      </c>
      <c r="R129" s="203">
        <v>0.92051381487473705</v>
      </c>
      <c r="S129" s="203">
        <v>0.92719759167654459</v>
      </c>
      <c r="T129" s="203">
        <v>0.93502550386053918</v>
      </c>
      <c r="U129" s="203">
        <v>0.94338926277063961</v>
      </c>
      <c r="V129" s="203">
        <v>0.95173698344086377</v>
      </c>
      <c r="W129" s="203">
        <v>0.95908403040575263</v>
      </c>
      <c r="X129" s="203">
        <v>0.96238172907319031</v>
      </c>
      <c r="Y129" s="203">
        <v>0.97032323058842074</v>
      </c>
      <c r="Z129" s="203">
        <v>0.98200727870559579</v>
      </c>
      <c r="AB129" s="202">
        <v>0.61499999999999999</v>
      </c>
      <c r="AC129" s="203">
        <v>0.90762251739260325</v>
      </c>
      <c r="AD129" s="203">
        <v>0.91073955756071667</v>
      </c>
      <c r="AE129" s="203">
        <v>0.91393504331938147</v>
      </c>
      <c r="AF129" s="203">
        <v>0.91824170483730072</v>
      </c>
      <c r="AG129" s="203">
        <v>0.92391884949515979</v>
      </c>
      <c r="AH129" s="203">
        <v>0.9308559534328591</v>
      </c>
      <c r="AI129" s="203">
        <v>0.93778409212686353</v>
      </c>
      <c r="AJ129" s="203">
        <v>0.94100969137644719</v>
      </c>
      <c r="AK129" s="203">
        <v>0.94861946954386311</v>
      </c>
      <c r="AL129" s="203">
        <v>0.95794539219516173</v>
      </c>
    </row>
    <row r="130" spans="4:38" x14ac:dyDescent="0.25">
      <c r="D130" s="202">
        <v>0.62</v>
      </c>
      <c r="E130" s="203">
        <v>0.93459885362592421</v>
      </c>
      <c r="F130" s="203">
        <v>0.94366879951333005</v>
      </c>
      <c r="G130" s="203">
        <v>0.9509113339168298</v>
      </c>
      <c r="H130" s="203">
        <v>0.95786577755733782</v>
      </c>
      <c r="I130" s="203">
        <v>0.96428533036001396</v>
      </c>
      <c r="J130" s="203">
        <v>0.97016572832788817</v>
      </c>
      <c r="K130" s="203">
        <v>0.97514384528460685</v>
      </c>
      <c r="L130" s="203">
        <v>0.9773547444029822</v>
      </c>
      <c r="M130" s="203">
        <v>0.98268573675788973</v>
      </c>
      <c r="N130" s="203">
        <v>0.99084192352839839</v>
      </c>
      <c r="P130" s="202">
        <v>0.62</v>
      </c>
      <c r="Q130" s="203">
        <v>0.91529423116872177</v>
      </c>
      <c r="R130" s="203">
        <v>0.92186356222940413</v>
      </c>
      <c r="S130" s="203">
        <v>0.9284486653302273</v>
      </c>
      <c r="T130" s="203">
        <v>0.93615777063458305</v>
      </c>
      <c r="U130" s="203">
        <v>0.94439239349781678</v>
      </c>
      <c r="V130" s="203">
        <v>0.95260998773930783</v>
      </c>
      <c r="W130" s="203">
        <v>0.95984196258123511</v>
      </c>
      <c r="X130" s="203">
        <v>0.96308789713287168</v>
      </c>
      <c r="Y130" s="203">
        <v>0.97090433365735296</v>
      </c>
      <c r="Z130" s="203">
        <v>0.98240086451282649</v>
      </c>
      <c r="AB130" s="202">
        <v>0.62</v>
      </c>
      <c r="AC130" s="203">
        <v>0.90915795844356495</v>
      </c>
      <c r="AD130" s="203">
        <v>0.91223589664685856</v>
      </c>
      <c r="AE130" s="203">
        <v>0.91538830567235008</v>
      </c>
      <c r="AF130" s="203">
        <v>0.91963346235793919</v>
      </c>
      <c r="AG130" s="203">
        <v>0.9252258026061948</v>
      </c>
      <c r="AH130" s="203">
        <v>0.9320559940944706</v>
      </c>
      <c r="AI130" s="203">
        <v>0.93887527565003914</v>
      </c>
      <c r="AJ130" s="203">
        <v>0.94204973694280925</v>
      </c>
      <c r="AK130" s="203">
        <v>0.9495381360365297</v>
      </c>
      <c r="AL130" s="203">
        <v>0.95871449881119808</v>
      </c>
    </row>
    <row r="131" spans="4:38" x14ac:dyDescent="0.25">
      <c r="D131" s="202">
        <v>0.625</v>
      </c>
      <c r="E131" s="203">
        <v>0.93578278496806655</v>
      </c>
      <c r="F131" s="203">
        <v>0.94470479696266196</v>
      </c>
      <c r="G131" s="203">
        <v>0.95182679029695794</v>
      </c>
      <c r="H131" s="203">
        <v>0.95866435529189098</v>
      </c>
      <c r="I131" s="203">
        <v>0.96497543648523587</v>
      </c>
      <c r="J131" s="203">
        <v>0.97075615572660201</v>
      </c>
      <c r="K131" s="203">
        <v>0.97564963185449338</v>
      </c>
      <c r="L131" s="203">
        <v>0.97782281204823285</v>
      </c>
      <c r="M131" s="203">
        <v>0.98306216137460167</v>
      </c>
      <c r="N131" s="203">
        <v>0.9910723797336316</v>
      </c>
      <c r="P131" s="202">
        <v>0.625</v>
      </c>
      <c r="Q131" s="203">
        <v>0.91672584263120027</v>
      </c>
      <c r="R131" s="203">
        <v>0.92320160248380345</v>
      </c>
      <c r="S131" s="203">
        <v>0.92968842857185807</v>
      </c>
      <c r="T131" s="203">
        <v>0.93727931272513754</v>
      </c>
      <c r="U131" s="203">
        <v>0.94538550477583716</v>
      </c>
      <c r="V131" s="203">
        <v>0.95347371519109114</v>
      </c>
      <c r="W131" s="203">
        <v>0.96059127937650601</v>
      </c>
      <c r="X131" s="203">
        <v>0.96378574490551794</v>
      </c>
      <c r="Y131" s="203">
        <v>0.9714778179287139</v>
      </c>
      <c r="Z131" s="203">
        <v>0.98278788509896342</v>
      </c>
      <c r="AB131" s="202">
        <v>0.625</v>
      </c>
      <c r="AC131" s="203">
        <v>0.91068109166406652</v>
      </c>
      <c r="AD131" s="203">
        <v>0.91371985256352783</v>
      </c>
      <c r="AE131" s="203">
        <v>0.91682921918947691</v>
      </c>
      <c r="AF131" s="203">
        <v>0.92101304747054547</v>
      </c>
      <c r="AG131" s="203">
        <v>0.92652095778756205</v>
      </c>
      <c r="AH131" s="203">
        <v>0.93324482040325907</v>
      </c>
      <c r="AI131" s="203">
        <v>0.93995590738724732</v>
      </c>
      <c r="AJ131" s="203">
        <v>0.94307955637221286</v>
      </c>
      <c r="AK131" s="203">
        <v>0.9504473707254194</v>
      </c>
      <c r="AL131" s="203">
        <v>0.95947516944328415</v>
      </c>
    </row>
    <row r="132" spans="4:38" x14ac:dyDescent="0.25">
      <c r="D132" s="202">
        <v>0.63</v>
      </c>
      <c r="E132" s="203">
        <v>0.9369544872115162</v>
      </c>
      <c r="F132" s="203">
        <v>0.94572957397270674</v>
      </c>
      <c r="G132" s="203">
        <v>0.95273192739794599</v>
      </c>
      <c r="H132" s="203">
        <v>0.95945352103305592</v>
      </c>
      <c r="I132" s="203">
        <v>0.96565698478481998</v>
      </c>
      <c r="J132" s="203">
        <v>0.9713388098485044</v>
      </c>
      <c r="K132" s="203">
        <v>0.97614830608087022</v>
      </c>
      <c r="L132" s="203">
        <v>0.97828406011236613</v>
      </c>
      <c r="M132" s="203">
        <v>0.98343247811250833</v>
      </c>
      <c r="N132" s="203">
        <v>0.99129795227575512</v>
      </c>
      <c r="P132" s="202">
        <v>0.63</v>
      </c>
      <c r="Q132" s="203">
        <v>0.91814571639683895</v>
      </c>
      <c r="R132" s="203">
        <v>0.92452812738688472</v>
      </c>
      <c r="S132" s="203">
        <v>0.93091706844906019</v>
      </c>
      <c r="T132" s="203">
        <v>0.93839030962842707</v>
      </c>
      <c r="U132" s="203">
        <v>0.946368766800181</v>
      </c>
      <c r="V132" s="203">
        <v>0.95432832638620757</v>
      </c>
      <c r="W132" s="203">
        <v>0.96133213336837886</v>
      </c>
      <c r="X132" s="203">
        <v>0.96447542169105149</v>
      </c>
      <c r="Y132" s="203">
        <v>0.97204382617677731</v>
      </c>
      <c r="Z132" s="203">
        <v>0.98316847931477169</v>
      </c>
      <c r="AB132" s="202">
        <v>0.63</v>
      </c>
      <c r="AC132" s="203">
        <v>0.91219211543459833</v>
      </c>
      <c r="AD132" s="203">
        <v>0.91519162594094405</v>
      </c>
      <c r="AE132" s="203">
        <v>0.91825798495290278</v>
      </c>
      <c r="AF132" s="203">
        <v>0.92238065963769755</v>
      </c>
      <c r="AG132" s="203">
        <v>0.92780450987588803</v>
      </c>
      <c r="AH132" s="203">
        <v>0.93442261928071424</v>
      </c>
      <c r="AI132" s="203">
        <v>0.94102616491362923</v>
      </c>
      <c r="AJ132" s="203">
        <v>0.94409932258816587</v>
      </c>
      <c r="AK132" s="203">
        <v>0.95134733517175918</v>
      </c>
      <c r="AL132" s="203">
        <v>0.96022755169305019</v>
      </c>
    </row>
    <row r="133" spans="4:38" x14ac:dyDescent="0.25">
      <c r="D133" s="202">
        <v>0.63500000000000001</v>
      </c>
      <c r="E133" s="203">
        <v>0.93811416831372563</v>
      </c>
      <c r="F133" s="203">
        <v>0.94674332465038591</v>
      </c>
      <c r="G133" s="203">
        <v>0.95362692643110891</v>
      </c>
      <c r="H133" s="203">
        <v>0.96023344293230228</v>
      </c>
      <c r="I133" s="203">
        <v>0.96633013133285028</v>
      </c>
      <c r="J133" s="203">
        <v>0.97191383616976945</v>
      </c>
      <c r="K133" s="203">
        <v>0.97664000520785332</v>
      </c>
      <c r="L133" s="203">
        <v>0.97873862250612242</v>
      </c>
      <c r="M133" s="203">
        <v>0.98379681395167995</v>
      </c>
      <c r="N133" s="203">
        <v>0.99151876111507475</v>
      </c>
      <c r="P133" s="202">
        <v>0.63500000000000001</v>
      </c>
      <c r="Q133" s="203">
        <v>0.91955404144839137</v>
      </c>
      <c r="R133" s="203">
        <v>0.9258433241656141</v>
      </c>
      <c r="S133" s="203">
        <v>0.93213476759023983</v>
      </c>
      <c r="T133" s="203">
        <v>0.93949093659016558</v>
      </c>
      <c r="U133" s="203">
        <v>0.94734234572559506</v>
      </c>
      <c r="V133" s="203">
        <v>0.95517397809004068</v>
      </c>
      <c r="W133" s="203">
        <v>0.96206467348542812</v>
      </c>
      <c r="X133" s="203">
        <v>0.96515707321044841</v>
      </c>
      <c r="Y133" s="203">
        <v>0.97260249771888607</v>
      </c>
      <c r="Z133" s="203">
        <v>0.98354278250446148</v>
      </c>
      <c r="AB133" s="202">
        <v>0.63500000000000001</v>
      </c>
      <c r="AC133" s="203">
        <v>0.91369122347320153</v>
      </c>
      <c r="AD133" s="203">
        <v>0.9166514126930313</v>
      </c>
      <c r="AE133" s="203">
        <v>0.91967479931506124</v>
      </c>
      <c r="AF133" s="203">
        <v>0.92373649362483046</v>
      </c>
      <c r="AG133" s="203">
        <v>0.92907664911112975</v>
      </c>
      <c r="AH133" s="203">
        <v>0.93558957322816638</v>
      </c>
      <c r="AI133" s="203">
        <v>0.94208622159584676</v>
      </c>
      <c r="AJ133" s="203">
        <v>0.94510920441182189</v>
      </c>
      <c r="AK133" s="203">
        <v>0.95223818709471719</v>
      </c>
      <c r="AL133" s="203">
        <v>0.96097178963925933</v>
      </c>
    </row>
    <row r="134" spans="4:38" x14ac:dyDescent="0.25">
      <c r="D134" s="202">
        <v>0.64</v>
      </c>
      <c r="E134" s="203">
        <v>0.93926203135402009</v>
      </c>
      <c r="F134" s="203">
        <v>0.94774623852624462</v>
      </c>
      <c r="G134" s="203">
        <v>0.95451196431792362</v>
      </c>
      <c r="H134" s="203">
        <v>0.96100428514313729</v>
      </c>
      <c r="I134" s="203">
        <v>0.96699502847362406</v>
      </c>
      <c r="J134" s="203">
        <v>0.97248137666623224</v>
      </c>
      <c r="K134" s="203">
        <v>0.97712486314704816</v>
      </c>
      <c r="L134" s="203">
        <v>0.97918662986988669</v>
      </c>
      <c r="M134" s="203">
        <v>0.98415529270279445</v>
      </c>
      <c r="N134" s="203">
        <v>0.99173492294313192</v>
      </c>
      <c r="P134" s="202">
        <v>0.64</v>
      </c>
      <c r="Q134" s="203">
        <v>0.92095100235300542</v>
      </c>
      <c r="R134" s="203">
        <v>0.92714737566589223</v>
      </c>
      <c r="S134" s="203">
        <v>0.93334170434246733</v>
      </c>
      <c r="T134" s="203">
        <v>0.94058136473834675</v>
      </c>
      <c r="U134" s="203">
        <v>0.9483064037924579</v>
      </c>
      <c r="V134" s="203">
        <v>0.95601082336303955</v>
      </c>
      <c r="W134" s="203">
        <v>0.96278904512215358</v>
      </c>
      <c r="X134" s="203">
        <v>0.96583084171772438</v>
      </c>
      <c r="Y134" s="203">
        <v>0.97315396852356773</v>
      </c>
      <c r="Z134" s="203">
        <v>0.98391092661555912</v>
      </c>
      <c r="AB134" s="202">
        <v>0.64</v>
      </c>
      <c r="AC134" s="203">
        <v>0.9151786049803764</v>
      </c>
      <c r="AD134" s="203">
        <v>0.91809940416399427</v>
      </c>
      <c r="AE134" s="203">
        <v>0.92107985404571791</v>
      </c>
      <c r="AF134" s="203">
        <v>0.9250807396463846</v>
      </c>
      <c r="AG134" s="203">
        <v>0.93033756127979017</v>
      </c>
      <c r="AH134" s="203">
        <v>0.93674586046472286</v>
      </c>
      <c r="AI134" s="203">
        <v>0.94313624672359364</v>
      </c>
      <c r="AJ134" s="203">
        <v>0.94610936669024148</v>
      </c>
      <c r="AK134" s="203">
        <v>0.95312008049163166</v>
      </c>
      <c r="AL134" s="203">
        <v>0.96170802394809729</v>
      </c>
    </row>
    <row r="135" spans="4:38" x14ac:dyDescent="0.25">
      <c r="D135" s="202">
        <v>0.64500000000000002</v>
      </c>
      <c r="E135" s="203">
        <v>0.94039827468402537</v>
      </c>
      <c r="F135" s="203">
        <v>0.94873850069596133</v>
      </c>
      <c r="G135" s="203">
        <v>0.95538721382290037</v>
      </c>
      <c r="H135" s="203">
        <v>0.96176620794506107</v>
      </c>
      <c r="I135" s="203">
        <v>0.96765182493734858</v>
      </c>
      <c r="J135" s="203">
        <v>0.97304156992198299</v>
      </c>
      <c r="K135" s="203">
        <v>0.97760301058094423</v>
      </c>
      <c r="L135" s="203">
        <v>0.97962820967516784</v>
      </c>
      <c r="M135" s="203">
        <v>0.98450803510564111</v>
      </c>
      <c r="N135" s="203">
        <v>0.99194655128645393</v>
      </c>
      <c r="P135" s="202">
        <v>0.64500000000000002</v>
      </c>
      <c r="Q135" s="203">
        <v>0.92233677939863101</v>
      </c>
      <c r="R135" s="203">
        <v>0.92844046048802276</v>
      </c>
      <c r="S135" s="203">
        <v>0.93453805290402003</v>
      </c>
      <c r="T135" s="203">
        <v>0.94166176121088774</v>
      </c>
      <c r="U135" s="203">
        <v>0.94926109944824322</v>
      </c>
      <c r="V135" s="203">
        <v>0.95683901167574636</v>
      </c>
      <c r="W135" s="203">
        <v>0.96350539024871096</v>
      </c>
      <c r="X135" s="203">
        <v>0.96649686610756691</v>
      </c>
      <c r="Y135" s="203">
        <v>0.97369837131445247</v>
      </c>
      <c r="Z135" s="203">
        <v>0.98427304030452778</v>
      </c>
      <c r="AB135" s="202">
        <v>0.64500000000000002</v>
      </c>
      <c r="AC135" s="203">
        <v>0.91665444477840297</v>
      </c>
      <c r="AD135" s="203">
        <v>0.91953578726924234</v>
      </c>
      <c r="AE135" s="203">
        <v>0.92247333647334251</v>
      </c>
      <c r="AF135" s="203">
        <v>0.92641358350631176</v>
      </c>
      <c r="AG135" s="203">
        <v>0.93158742785259574</v>
      </c>
      <c r="AH135" s="203">
        <v>0.93789165505986638</v>
      </c>
      <c r="AI135" s="203">
        <v>0.9441764056360098</v>
      </c>
      <c r="AJ135" s="203">
        <v>0.94709997041967942</v>
      </c>
      <c r="AK135" s="203">
        <v>0.95399316575357385</v>
      </c>
      <c r="AL135" s="203">
        <v>0.96243639197917463</v>
      </c>
    </row>
    <row r="136" spans="4:38" x14ac:dyDescent="0.25">
      <c r="D136" s="202">
        <v>0.65</v>
      </c>
      <c r="E136" s="203">
        <v>0.94152309207233742</v>
      </c>
      <c r="F136" s="203">
        <v>0.9497202919564246</v>
      </c>
      <c r="G136" s="203">
        <v>0.95625284368133801</v>
      </c>
      <c r="H136" s="203">
        <v>0.9625193678627495</v>
      </c>
      <c r="I136" s="203">
        <v>0.96830066595137898</v>
      </c>
      <c r="J136" s="203">
        <v>0.97359455123377381</v>
      </c>
      <c r="K136" s="203">
        <v>0.97807457506232875</v>
      </c>
      <c r="L136" s="203">
        <v>0.98006348632217699</v>
      </c>
      <c r="M136" s="203">
        <v>0.98485515892384135</v>
      </c>
      <c r="N136" s="203">
        <v>0.99215375660634852</v>
      </c>
      <c r="P136" s="202">
        <v>0.65</v>
      </c>
      <c r="Q136" s="203">
        <v>0.92371154872520111</v>
      </c>
      <c r="R136" s="203">
        <v>0.92972275311698704</v>
      </c>
      <c r="S136" s="203">
        <v>0.93572398345183516</v>
      </c>
      <c r="T136" s="203">
        <v>0.94273228927835973</v>
      </c>
      <c r="U136" s="203">
        <v>0.9502065874643052</v>
      </c>
      <c r="V136" s="203">
        <v>0.95765868901939022</v>
      </c>
      <c r="W136" s="203">
        <v>0.96421384751640693</v>
      </c>
      <c r="X136" s="203">
        <v>0.96715528201882195</v>
      </c>
      <c r="Y136" s="203">
        <v>0.97423583567018313</v>
      </c>
      <c r="Z136" s="203">
        <v>0.98462924903833748</v>
      </c>
      <c r="AB136" s="202">
        <v>0.65</v>
      </c>
      <c r="AC136" s="203">
        <v>0.91811892344533419</v>
      </c>
      <c r="AD136" s="203">
        <v>0.92096074463092592</v>
      </c>
      <c r="AE136" s="203">
        <v>0.92385542962106759</v>
      </c>
      <c r="AF136" s="203">
        <v>0.92773520673319831</v>
      </c>
      <c r="AG136" s="203">
        <v>0.93282642611689282</v>
      </c>
      <c r="AH136" s="203">
        <v>0.93902712706095826</v>
      </c>
      <c r="AI136" s="203">
        <v>0.94520685984322839</v>
      </c>
      <c r="AJ136" s="203">
        <v>0.9480811728641223</v>
      </c>
      <c r="AK136" s="203">
        <v>0.9548575897764503</v>
      </c>
      <c r="AL136" s="203">
        <v>0.96315702788744195</v>
      </c>
    </row>
    <row r="137" spans="4:38" x14ac:dyDescent="0.25">
      <c r="D137" s="202">
        <v>0.65500000000000003</v>
      </c>
      <c r="E137" s="203">
        <v>0.94263667284369645</v>
      </c>
      <c r="F137" s="203">
        <v>0.95069178893662543</v>
      </c>
      <c r="G137" s="203">
        <v>0.95710901872220888</v>
      </c>
      <c r="H137" s="203">
        <v>0.96326391778068154</v>
      </c>
      <c r="I137" s="203">
        <v>0.96894169334720381</v>
      </c>
      <c r="J137" s="203">
        <v>0.97414045271143868</v>
      </c>
      <c r="K137" s="203">
        <v>0.97853968110990186</v>
      </c>
      <c r="L137" s="203">
        <v>0.98049258123367544</v>
      </c>
      <c r="M137" s="203">
        <v>0.98519677903596259</v>
      </c>
      <c r="N137" s="203">
        <v>0.99235664639492283</v>
      </c>
      <c r="P137" s="202">
        <v>0.65500000000000003</v>
      </c>
      <c r="Q137" s="203">
        <v>0.92507548245082294</v>
      </c>
      <c r="R137" s="203">
        <v>0.93099442404775667</v>
      </c>
      <c r="S137" s="203">
        <v>0.93689966226410282</v>
      </c>
      <c r="T137" s="203">
        <v>0.94379310846203668</v>
      </c>
      <c r="U137" s="203">
        <v>0.95114301904820031</v>
      </c>
      <c r="V137" s="203">
        <v>0.95846999801225097</v>
      </c>
      <c r="W137" s="203">
        <v>0.96491455235916557</v>
      </c>
      <c r="X137" s="203">
        <v>0.96780622193401655</v>
      </c>
      <c r="Y137" s="203">
        <v>0.97476648812050792</v>
      </c>
      <c r="Z137" s="203">
        <v>0.98497967519216356</v>
      </c>
      <c r="AB137" s="202">
        <v>0.65500000000000003</v>
      </c>
      <c r="AC137" s="203">
        <v>0.91957221744389683</v>
      </c>
      <c r="AD137" s="203">
        <v>0.92237445470832125</v>
      </c>
      <c r="AE137" s="203">
        <v>0.9252263123374832</v>
      </c>
      <c r="AF137" s="203">
        <v>0.92904578671025428</v>
      </c>
      <c r="AG137" s="203">
        <v>0.93405472930400402</v>
      </c>
      <c r="AH137" s="203">
        <v>0.94015244261588027</v>
      </c>
      <c r="AI137" s="203">
        <v>0.94622776714328438</v>
      </c>
      <c r="AJ137" s="203">
        <v>0.94905312766929906</v>
      </c>
      <c r="AK137" s="203">
        <v>0.95571349606786304</v>
      </c>
      <c r="AL137" s="203">
        <v>0.96387006272120335</v>
      </c>
    </row>
    <row r="138" spans="4:38" x14ac:dyDescent="0.25">
      <c r="D138" s="202">
        <v>0.66</v>
      </c>
      <c r="E138" s="203">
        <v>0.94373920201291084</v>
      </c>
      <c r="F138" s="203">
        <v>0.95165316422360013</v>
      </c>
      <c r="G138" s="203">
        <v>0.95795589998638442</v>
      </c>
      <c r="H138" s="203">
        <v>0.96400000705342248</v>
      </c>
      <c r="I138" s="203">
        <v>0.96957504566337116</v>
      </c>
      <c r="J138" s="203">
        <v>0.97467940337449865</v>
      </c>
      <c r="K138" s="203">
        <v>0.97899845030026655</v>
      </c>
      <c r="L138" s="203">
        <v>0.98091561294527096</v>
      </c>
      <c r="M138" s="203">
        <v>0.98553300752318562</v>
      </c>
      <c r="N138" s="203">
        <v>0.9925553252674999</v>
      </c>
      <c r="P138" s="202">
        <v>0.66</v>
      </c>
      <c r="Q138" s="203">
        <v>0.92642874879320636</v>
      </c>
      <c r="R138" s="203">
        <v>0.9322556399058719</v>
      </c>
      <c r="S138" s="203">
        <v>0.93806525183822276</v>
      </c>
      <c r="T138" s="203">
        <v>0.94484437464747073</v>
      </c>
      <c r="U138" s="203">
        <v>0.95207054195174867</v>
      </c>
      <c r="V138" s="203">
        <v>0.95927307800198358</v>
      </c>
      <c r="W138" s="203">
        <v>0.96560763709113184</v>
      </c>
      <c r="X138" s="203">
        <v>0.96844981527510543</v>
      </c>
      <c r="Y138" s="203">
        <v>0.97529045223872524</v>
      </c>
      <c r="Z138" s="203">
        <v>0.98532443814339943</v>
      </c>
      <c r="AB138" s="202">
        <v>0.66</v>
      </c>
      <c r="AC138" s="203">
        <v>0.92101449924554113</v>
      </c>
      <c r="AD138" s="203">
        <v>0.92377709192330737</v>
      </c>
      <c r="AE138" s="203">
        <v>0.92658615942250355</v>
      </c>
      <c r="AF138" s="203">
        <v>0.93034549680039513</v>
      </c>
      <c r="AG138" s="203">
        <v>0.93527250671177375</v>
      </c>
      <c r="AH138" s="203">
        <v>0.94126776409103363</v>
      </c>
      <c r="AI138" s="203">
        <v>0.94723928173459049</v>
      </c>
      <c r="AJ138" s="203">
        <v>0.95001598497236905</v>
      </c>
      <c r="AK138" s="203">
        <v>0.95656102484990946</v>
      </c>
      <c r="AL138" s="203">
        <v>0.96457562451640744</v>
      </c>
    </row>
    <row r="139" spans="4:38" x14ac:dyDescent="0.25">
      <c r="D139" s="202">
        <v>0.66500000000000004</v>
      </c>
      <c r="E139" s="203">
        <v>0.94483086041377229</v>
      </c>
      <c r="F139" s="203">
        <v>0.95260458648364599</v>
      </c>
      <c r="G139" s="203">
        <v>0.95879364484041829</v>
      </c>
      <c r="H139" s="203">
        <v>0.96472778161175354</v>
      </c>
      <c r="I139" s="203">
        <v>0.97020085824454094</v>
      </c>
      <c r="J139" s="203">
        <v>0.97521152924513599</v>
      </c>
      <c r="K139" s="203">
        <v>0.97945100135645879</v>
      </c>
      <c r="L139" s="203">
        <v>0.98133269719231475</v>
      </c>
      <c r="M139" s="203">
        <v>0.9858639537536833</v>
      </c>
      <c r="N139" s="203">
        <v>0.99274989505159084</v>
      </c>
      <c r="P139" s="202">
        <v>0.66500000000000004</v>
      </c>
      <c r="Q139" s="203">
        <v>0.92777151218654375</v>
      </c>
      <c r="R139" s="203">
        <v>0.93350656356349837</v>
      </c>
      <c r="S139" s="203">
        <v>0.93922091100433058</v>
      </c>
      <c r="T139" s="203">
        <v>0.94588624019379508</v>
      </c>
      <c r="U139" s="203">
        <v>0.95298930057502618</v>
      </c>
      <c r="V139" s="203">
        <v>0.96006806516409193</v>
      </c>
      <c r="W139" s="203">
        <v>0.96629323100060849</v>
      </c>
      <c r="X139" s="203">
        <v>0.96908618849560868</v>
      </c>
      <c r="Y139" s="203">
        <v>0.97580784873064752</v>
      </c>
      <c r="Z139" s="203">
        <v>0.98566365436214232</v>
      </c>
      <c r="AB139" s="202">
        <v>0.66500000000000004</v>
      </c>
      <c r="AC139" s="203">
        <v>0.92244593744984527</v>
      </c>
      <c r="AD139" s="203">
        <v>0.92516882678114665</v>
      </c>
      <c r="AE139" s="203">
        <v>0.92793514174852165</v>
      </c>
      <c r="AF139" s="203">
        <v>0.93163450646664214</v>
      </c>
      <c r="AG139" s="203">
        <v>0.93647992382251877</v>
      </c>
      <c r="AH139" s="203">
        <v>0.9423732501849077</v>
      </c>
      <c r="AI139" s="203">
        <v>0.94824155432418389</v>
      </c>
      <c r="AJ139" s="203">
        <v>0.95096989150747979</v>
      </c>
      <c r="AK139" s="203">
        <v>0.95740031315810958</v>
      </c>
      <c r="AL139" s="203">
        <v>0.96527383838738645</v>
      </c>
    </row>
    <row r="140" spans="4:38" x14ac:dyDescent="0.25">
      <c r="D140" s="202">
        <v>0.67</v>
      </c>
      <c r="E140" s="203">
        <v>0.94591182482318026</v>
      </c>
      <c r="F140" s="203">
        <v>0.95354622057902194</v>
      </c>
      <c r="G140" s="203">
        <v>0.95962240708608404</v>
      </c>
      <c r="H140" s="203">
        <v>0.96544738406483899</v>
      </c>
      <c r="I140" s="203">
        <v>0.97081926333683322</v>
      </c>
      <c r="J140" s="203">
        <v>0.97573695343768807</v>
      </c>
      <c r="K140" s="203">
        <v>0.97989745023317154</v>
      </c>
      <c r="L140" s="203">
        <v>0.98174394699355749</v>
      </c>
      <c r="M140" s="203">
        <v>0.98618972446385955</v>
      </c>
      <c r="N140" s="203">
        <v>0.99294045487257998</v>
      </c>
      <c r="P140" s="202">
        <v>0.67</v>
      </c>
      <c r="Q140" s="203">
        <v>0.92910393339404185</v>
      </c>
      <c r="R140" s="203">
        <v>0.93474735425116395</v>
      </c>
      <c r="S140" s="203">
        <v>0.94036679503459419</v>
      </c>
      <c r="T140" s="203">
        <v>0.94691885403895315</v>
      </c>
      <c r="U140" s="203">
        <v>0.95389943606647531</v>
      </c>
      <c r="V140" s="203">
        <v>0.96085509259671698</v>
      </c>
      <c r="W140" s="203">
        <v>0.96697146044046867</v>
      </c>
      <c r="X140" s="203">
        <v>0.96971546516930351</v>
      </c>
      <c r="Y140" s="203">
        <v>0.97631879552023859</v>
      </c>
      <c r="Z140" s="203">
        <v>0.98599743749831437</v>
      </c>
      <c r="AB140" s="202">
        <v>0.67</v>
      </c>
      <c r="AC140" s="203">
        <v>0.92386669689949108</v>
      </c>
      <c r="AD140" s="203">
        <v>0.9265498259867827</v>
      </c>
      <c r="AE140" s="203">
        <v>0.92927342637706756</v>
      </c>
      <c r="AF140" s="203">
        <v>0.93291298138804735</v>
      </c>
      <c r="AG140" s="203">
        <v>0.93767714241658884</v>
      </c>
      <c r="AH140" s="203">
        <v>0.94346905603741504</v>
      </c>
      <c r="AI140" s="203">
        <v>0.94923473223193222</v>
      </c>
      <c r="AJ140" s="203">
        <v>0.95191499070738461</v>
      </c>
      <c r="AK140" s="203">
        <v>0.95823149493663795</v>
      </c>
      <c r="AL140" s="203">
        <v>0.96596482661419558</v>
      </c>
    </row>
    <row r="141" spans="4:38" x14ac:dyDescent="0.25">
      <c r="D141" s="202">
        <v>0.67500000000000004</v>
      </c>
      <c r="E141" s="203">
        <v>0.94698226808069075</v>
      </c>
      <c r="F141" s="203">
        <v>0.95447822768033741</v>
      </c>
      <c r="G141" s="203">
        <v>0.96044233706585547</v>
      </c>
      <c r="H141" s="203">
        <v>0.96615895379860528</v>
      </c>
      <c r="I141" s="203">
        <v>0.97143039017964239</v>
      </c>
      <c r="J141" s="203">
        <v>0.97625579624482839</v>
      </c>
      <c r="K141" s="203">
        <v>0.98033791019882</v>
      </c>
      <c r="L141" s="203">
        <v>0.98214947273170805</v>
      </c>
      <c r="M141" s="203">
        <v>0.98651042383658594</v>
      </c>
      <c r="N141" s="203">
        <v>0.9931271012362638</v>
      </c>
      <c r="P141" s="202">
        <v>0.67500000000000004</v>
      </c>
      <c r="Q141" s="203">
        <v>0.93042616961630353</v>
      </c>
      <c r="R141" s="203">
        <v>0.93597816766536801</v>
      </c>
      <c r="S141" s="203">
        <v>0.94150305574846771</v>
      </c>
      <c r="T141" s="203">
        <v>0.94794236180102398</v>
      </c>
      <c r="U141" s="203">
        <v>0.95480108641929973</v>
      </c>
      <c r="V141" s="203">
        <v>0.9616342904119084</v>
      </c>
      <c r="W141" s="203">
        <v>0.96764244891522166</v>
      </c>
      <c r="X141" s="203">
        <v>0.97033776607562439</v>
      </c>
      <c r="Y141" s="203">
        <v>0.97682340783207811</v>
      </c>
      <c r="Z141" s="203">
        <v>0.98632589846556695</v>
      </c>
      <c r="AB141" s="202">
        <v>0.67500000000000004</v>
      </c>
      <c r="AC141" s="203">
        <v>0.92527693879100148</v>
      </c>
      <c r="AD141" s="203">
        <v>0.92792025255685517</v>
      </c>
      <c r="AE141" s="203">
        <v>0.9306011766711636</v>
      </c>
      <c r="AF141" s="203">
        <v>0.93418108357134133</v>
      </c>
      <c r="AG141" s="203">
        <v>0.93886432068173153</v>
      </c>
      <c r="AH141" s="203">
        <v>0.94455533333518071</v>
      </c>
      <c r="AI141" s="203">
        <v>0.95021895949087687</v>
      </c>
      <c r="AJ141" s="203">
        <v>0.95285142280129209</v>
      </c>
      <c r="AK141" s="203">
        <v>0.95905470113001878</v>
      </c>
      <c r="AL141" s="203">
        <v>0.96664870872671493</v>
      </c>
    </row>
    <row r="142" spans="4:38" x14ac:dyDescent="0.25">
      <c r="D142" s="202">
        <v>0.68</v>
      </c>
      <c r="E142" s="203">
        <v>0.9480423592036904</v>
      </c>
      <c r="F142" s="203">
        <v>0.95540076537481111</v>
      </c>
      <c r="G142" s="203">
        <v>0.96125358176450948</v>
      </c>
      <c r="H142" s="203">
        <v>0.96686262707050064</v>
      </c>
      <c r="I142" s="203">
        <v>0.97203436509407048</v>
      </c>
      <c r="J142" s="203">
        <v>0.97676817522057224</v>
      </c>
      <c r="K142" s="203">
        <v>0.98077249191458982</v>
      </c>
      <c r="L142" s="203">
        <v>0.98254938223102961</v>
      </c>
      <c r="M142" s="203">
        <v>0.98682615357656922</v>
      </c>
      <c r="N142" s="203">
        <v>0.99330992810838936</v>
      </c>
      <c r="P142" s="202">
        <v>0.68</v>
      </c>
      <c r="Q142" s="203">
        <v>0.9317383745957345</v>
      </c>
      <c r="R142" s="203">
        <v>0.93719915607224324</v>
      </c>
      <c r="S142" s="203">
        <v>0.94262984161407826</v>
      </c>
      <c r="T142" s="203">
        <v>0.9489569058758266</v>
      </c>
      <c r="U142" s="203">
        <v>0.95569438656431138</v>
      </c>
      <c r="V142" s="203">
        <v>0.96240578582353586</v>
      </c>
      <c r="W142" s="203">
        <v>0.96830631716486459</v>
      </c>
      <c r="X142" s="203">
        <v>0.97095320928191442</v>
      </c>
      <c r="Y142" s="203">
        <v>0.97732179827078425</v>
      </c>
      <c r="Z142" s="203">
        <v>0.98664914552211203</v>
      </c>
      <c r="AB142" s="202">
        <v>0.68</v>
      </c>
      <c r="AC142" s="203">
        <v>0.92667682078142799</v>
      </c>
      <c r="AD142" s="203">
        <v>0.92928026592761137</v>
      </c>
      <c r="AE142" s="203">
        <v>0.93191855240356991</v>
      </c>
      <c r="AF142" s="203">
        <v>0.93543897145849231</v>
      </c>
      <c r="AG142" s="203">
        <v>0.94004161331844838</v>
      </c>
      <c r="AH142" s="203">
        <v>0.94563223041296329</v>
      </c>
      <c r="AI142" s="203">
        <v>0.9511943769438882</v>
      </c>
      <c r="AJ142" s="203">
        <v>0.95377932490911388</v>
      </c>
      <c r="AK142" s="203">
        <v>0.95987005977144391</v>
      </c>
      <c r="AL142" s="203">
        <v>0.96732560158564662</v>
      </c>
    </row>
    <row r="143" spans="4:38" x14ac:dyDescent="0.25">
      <c r="D143" s="202">
        <v>0.68500000000000005</v>
      </c>
      <c r="E143" s="203">
        <v>0.94909226349838371</v>
      </c>
      <c r="F143" s="203">
        <v>0.95631398777058974</v>
      </c>
      <c r="G143" s="203">
        <v>0.96205628490702177</v>
      </c>
      <c r="H143" s="203">
        <v>0.96755853710079143</v>
      </c>
      <c r="I143" s="203">
        <v>0.97263131156812843</v>
      </c>
      <c r="J143" s="203">
        <v>0.97727420526024933</v>
      </c>
      <c r="K143" s="203">
        <v>0.98120130351059742</v>
      </c>
      <c r="L143" s="203">
        <v>0.98294378083210454</v>
      </c>
      <c r="M143" s="203">
        <v>0.98713701298297762</v>
      </c>
      <c r="N143" s="203">
        <v>0.99348902699130981</v>
      </c>
      <c r="P143" s="202">
        <v>0.68500000000000005</v>
      </c>
      <c r="Q143" s="203">
        <v>0.93304069871715556</v>
      </c>
      <c r="R143" s="203">
        <v>0.93841046840744258</v>
      </c>
      <c r="S143" s="203">
        <v>0.94374729784591993</v>
      </c>
      <c r="T143" s="203">
        <v>0.949962625530959</v>
      </c>
      <c r="U143" s="203">
        <v>0.95657946845938524</v>
      </c>
      <c r="V143" s="203">
        <v>0.9631697032319817</v>
      </c>
      <c r="W143" s="203">
        <v>0.96896318324566955</v>
      </c>
      <c r="X143" s="203">
        <v>0.9715619102226728</v>
      </c>
      <c r="Y143" s="203">
        <v>0.97781407689753941</v>
      </c>
      <c r="Z143" s="203">
        <v>0.98696728434861392</v>
      </c>
      <c r="AB143" s="202">
        <v>0.68500000000000005</v>
      </c>
      <c r="AC143" s="203">
        <v>0.92806649709116351</v>
      </c>
      <c r="AD143" s="203">
        <v>0.93063002205890544</v>
      </c>
      <c r="AE143" s="203">
        <v>0.93322570986109987</v>
      </c>
      <c r="AF143" s="203">
        <v>0.93668680003035643</v>
      </c>
      <c r="AG143" s="203">
        <v>0.94120917164151363</v>
      </c>
      <c r="AH143" s="203">
        <v>0.94669989235137941</v>
      </c>
      <c r="AI143" s="203">
        <v>0.95216112233678851</v>
      </c>
      <c r="AJ143" s="203">
        <v>0.95469883113227083</v>
      </c>
      <c r="AK143" s="203">
        <v>0.96067769606786224</v>
      </c>
      <c r="AL143" s="203">
        <v>0.96799561946055279</v>
      </c>
    </row>
    <row r="144" spans="4:38" x14ac:dyDescent="0.25">
      <c r="D144" s="202">
        <v>0.69</v>
      </c>
      <c r="E144" s="203">
        <v>0.95013214266677914</v>
      </c>
      <c r="F144" s="203">
        <v>0.95721804559729329</v>
      </c>
      <c r="G144" s="203">
        <v>0.96285058705291515</v>
      </c>
      <c r="H144" s="203">
        <v>0.96824681416054881</v>
      </c>
      <c r="I144" s="203">
        <v>0.97322135033884705</v>
      </c>
      <c r="J144" s="203">
        <v>0.97777399867757908</v>
      </c>
      <c r="K144" s="203">
        <v>0.9816244506592946</v>
      </c>
      <c r="L144" s="203">
        <v>0.98333277146389386</v>
      </c>
      <c r="M144" s="203">
        <v>0.98744309901944305</v>
      </c>
      <c r="N144" s="203">
        <v>0.99366448699789756</v>
      </c>
      <c r="P144" s="202">
        <v>0.69</v>
      </c>
      <c r="Q144" s="203">
        <v>0.93433328910478008</v>
      </c>
      <c r="R144" s="203">
        <v>0.93961225037241936</v>
      </c>
      <c r="S144" s="203">
        <v>0.9448555664990097</v>
      </c>
      <c r="T144" s="203">
        <v>0.95095965699643037</v>
      </c>
      <c r="U144" s="203">
        <v>0.95745646117567074</v>
      </c>
      <c r="V144" s="203">
        <v>0.96392616430576294</v>
      </c>
      <c r="W144" s="203">
        <v>0.96961316260803587</v>
      </c>
      <c r="X144" s="203">
        <v>0.97216398177592034</v>
      </c>
      <c r="Y144" s="203">
        <v>0.9783003513038353</v>
      </c>
      <c r="Z144" s="203">
        <v>0.98728041812327028</v>
      </c>
      <c r="AB144" s="202">
        <v>0.69</v>
      </c>
      <c r="AC144" s="203">
        <v>0.92944611860304838</v>
      </c>
      <c r="AD144" s="203">
        <v>0.93196967353444615</v>
      </c>
      <c r="AE144" s="203">
        <v>0.93452280194516824</v>
      </c>
      <c r="AF144" s="203">
        <v>0.93792472090658363</v>
      </c>
      <c r="AG144" s="203">
        <v>0.94236714367782592</v>
      </c>
      <c r="AH144" s="203">
        <v>0.94775846107109041</v>
      </c>
      <c r="AI144" s="203">
        <v>0.95311933040810337</v>
      </c>
      <c r="AJ144" s="203">
        <v>0.95561007264120579</v>
      </c>
      <c r="AK144" s="203">
        <v>0.96147773248197921</v>
      </c>
      <c r="AL144" s="203">
        <v>0.96865887410505558</v>
      </c>
    </row>
    <row r="145" spans="4:38" x14ac:dyDescent="0.25">
      <c r="D145" s="202">
        <v>0.69499999999999995</v>
      </c>
      <c r="E145" s="203">
        <v>0.95116215490984302</v>
      </c>
      <c r="F145" s="203">
        <v>0.95811308630294911</v>
      </c>
      <c r="G145" s="203">
        <v>0.9636366256872152</v>
      </c>
      <c r="H145" s="203">
        <v>0.96892758565646875</v>
      </c>
      <c r="I145" s="203">
        <v>0.97380459947142983</v>
      </c>
      <c r="J145" s="203">
        <v>0.97826766527896625</v>
      </c>
      <c r="K145" s="203">
        <v>0.98204203664622713</v>
      </c>
      <c r="L145" s="203">
        <v>0.98371645471320412</v>
      </c>
      <c r="M145" s="203">
        <v>0.98774450638155364</v>
      </c>
      <c r="N145" s="203">
        <v>0.99383639492281928</v>
      </c>
      <c r="P145" s="202">
        <v>0.69499999999999995</v>
      </c>
      <c r="Q145" s="203">
        <v>0.93561628971571542</v>
      </c>
      <c r="R145" s="203">
        <v>0.94080464452724744</v>
      </c>
      <c r="S145" s="203">
        <v>0.94595478655966381</v>
      </c>
      <c r="T145" s="203">
        <v>0.951948133552034</v>
      </c>
      <c r="U145" s="203">
        <v>0.95832549098069442</v>
      </c>
      <c r="V145" s="203">
        <v>0.96467528806020941</v>
      </c>
      <c r="W145" s="203">
        <v>0.97025636817153904</v>
      </c>
      <c r="X145" s="203">
        <v>0.97275953433681517</v>
      </c>
      <c r="Y145" s="203">
        <v>0.97878072668256433</v>
      </c>
      <c r="Z145" s="203">
        <v>0.98758864759420306</v>
      </c>
      <c r="AB145" s="202">
        <v>0.69499999999999995</v>
      </c>
      <c r="AC145" s="203">
        <v>0.93081583295792969</v>
      </c>
      <c r="AD145" s="203">
        <v>0.93329936965845273</v>
      </c>
      <c r="AE145" s="203">
        <v>0.93580997826874446</v>
      </c>
      <c r="AF145" s="203">
        <v>0.93915288244194772</v>
      </c>
      <c r="AG145" s="203">
        <v>0.94351567426074745</v>
      </c>
      <c r="AH145" s="203">
        <v>0.9488080754236039</v>
      </c>
      <c r="AI145" s="203">
        <v>0.95406913297557849</v>
      </c>
      <c r="AJ145" s="203">
        <v>0.95651317775974398</v>
      </c>
      <c r="AK145" s="203">
        <v>0.96227028881130316</v>
      </c>
      <c r="AL145" s="203">
        <v>0.96931547482932723</v>
      </c>
    </row>
    <row r="146" spans="4:38" x14ac:dyDescent="0.25">
      <c r="D146" s="202">
        <v>0.7</v>
      </c>
      <c r="E146" s="203">
        <v>0.95218245502698518</v>
      </c>
      <c r="F146" s="203">
        <v>0.95899925414746934</v>
      </c>
      <c r="G146" s="203">
        <v>0.96441453530815791</v>
      </c>
      <c r="H146" s="203">
        <v>0.96960097621265806</v>
      </c>
      <c r="I146" s="203">
        <v>0.97438117443557926</v>
      </c>
      <c r="J146" s="203">
        <v>0.97875531243514635</v>
      </c>
      <c r="K146" s="203">
        <v>0.98245416243827122</v>
      </c>
      <c r="L146" s="203">
        <v>0.98409492889167538</v>
      </c>
      <c r="M146" s="203">
        <v>0.98804132756194429</v>
      </c>
      <c r="N146" s="203">
        <v>0.9940048353112908</v>
      </c>
      <c r="P146" s="202">
        <v>0.7</v>
      </c>
      <c r="Q146" s="203">
        <v>0.93688984143013765</v>
      </c>
      <c r="R146" s="203">
        <v>0.94198779038013858</v>
      </c>
      <c r="S146" s="203">
        <v>0.94704509403303172</v>
      </c>
      <c r="T146" s="203">
        <v>0.95292818561159731</v>
      </c>
      <c r="U146" s="203">
        <v>0.95918668141849395</v>
      </c>
      <c r="V146" s="203">
        <v>0.96541719093332679</v>
      </c>
      <c r="W146" s="203">
        <v>0.97089291039728942</v>
      </c>
      <c r="X146" s="203">
        <v>0.97334867588863261</v>
      </c>
      <c r="Y146" s="203">
        <v>0.97925530589656984</v>
      </c>
      <c r="Z146" s="203">
        <v>0.98789207114927602</v>
      </c>
      <c r="AB146" s="202">
        <v>0.7</v>
      </c>
      <c r="AC146" s="203">
        <v>0.9321757846468246</v>
      </c>
      <c r="AD146" s="203">
        <v>0.93461925654888234</v>
      </c>
      <c r="AE146" s="203">
        <v>0.93708738524985546</v>
      </c>
      <c r="AF146" s="203">
        <v>0.94037142981924593</v>
      </c>
      <c r="AG146" s="203">
        <v>0.9446549051210833</v>
      </c>
      <c r="AH146" s="203">
        <v>0.94984887127883488</v>
      </c>
      <c r="AI146" s="203">
        <v>0.9550106590196108</v>
      </c>
      <c r="AJ146" s="203">
        <v>0.95740827204643963</v>
      </c>
      <c r="AK146" s="203">
        <v>0.96305548226435933</v>
      </c>
      <c r="AL146" s="203">
        <v>0.96996552856998497</v>
      </c>
    </row>
    <row r="147" spans="4:38" x14ac:dyDescent="0.25">
      <c r="D147" s="202">
        <v>0.70499999999999996</v>
      </c>
      <c r="E147" s="203">
        <v>0.95319319451203233</v>
      </c>
      <c r="F147" s="203">
        <v>0.95987669029282163</v>
      </c>
      <c r="G147" s="203">
        <v>0.96518444751178867</v>
      </c>
      <c r="H147" s="203">
        <v>0.97026710774952207</v>
      </c>
      <c r="I147" s="203">
        <v>0.97495118817910775</v>
      </c>
      <c r="J147" s="203">
        <v>0.97923704515028487</v>
      </c>
      <c r="K147" s="203">
        <v>0.98286092674944747</v>
      </c>
      <c r="L147" s="203">
        <v>0.9844682901003976</v>
      </c>
      <c r="M147" s="203">
        <v>0.9883336529130875</v>
      </c>
      <c r="N147" s="203">
        <v>0.99416989052541793</v>
      </c>
      <c r="P147" s="202">
        <v>0.70499999999999996</v>
      </c>
      <c r="Q147" s="203">
        <v>0.93815408213827456</v>
      </c>
      <c r="R147" s="203">
        <v>0.94316182447378916</v>
      </c>
      <c r="S147" s="203">
        <v>0.94812662202753384</v>
      </c>
      <c r="T147" s="203">
        <v>0.95389994080424534</v>
      </c>
      <c r="U147" s="203">
        <v>0.96004015338690762</v>
      </c>
      <c r="V147" s="203">
        <v>0.96615198685896697</v>
      </c>
      <c r="W147" s="203">
        <v>0.97152289735772346</v>
      </c>
      <c r="X147" s="203">
        <v>0.97393151207122464</v>
      </c>
      <c r="Y147" s="203">
        <v>0.97972418954475982</v>
      </c>
      <c r="Z147" s="203">
        <v>0.98819078488344758</v>
      </c>
      <c r="AB147" s="202">
        <v>0.70499999999999996</v>
      </c>
      <c r="AC147" s="203">
        <v>0.93352611509983019</v>
      </c>
      <c r="AD147" s="203">
        <v>0.93592947722736164</v>
      </c>
      <c r="AE147" s="203">
        <v>0.93835516620179049</v>
      </c>
      <c r="AF147" s="203">
        <v>0.94158050513891745</v>
      </c>
      <c r="AG147" s="203">
        <v>0.94578497497484193</v>
      </c>
      <c r="AH147" s="203">
        <v>0.95088098160956525</v>
      </c>
      <c r="AI147" s="203">
        <v>0.95594403476371514</v>
      </c>
      <c r="AJ147" s="203">
        <v>0.95829547837303453</v>
      </c>
      <c r="AK147" s="203">
        <v>0.9638334275342022</v>
      </c>
      <c r="AL147" s="203">
        <v>0.9706091399575002</v>
      </c>
    </row>
    <row r="148" spans="4:38" x14ac:dyDescent="0.25">
      <c r="D148" s="202">
        <v>0.71</v>
      </c>
      <c r="E148" s="203">
        <v>0.95419452164583707</v>
      </c>
      <c r="F148" s="203">
        <v>0.96074553289002917</v>
      </c>
      <c r="G148" s="203">
        <v>0.9659464910735811</v>
      </c>
      <c r="H148" s="203">
        <v>0.97092609955986675</v>
      </c>
      <c r="I148" s="203">
        <v>0.97551475119896114</v>
      </c>
      <c r="J148" s="203">
        <v>0.97971296612864267</v>
      </c>
      <c r="K148" s="203">
        <v>0.98326242610442027</v>
      </c>
      <c r="L148" s="203">
        <v>0.9848366322922526</v>
      </c>
      <c r="M148" s="203">
        <v>0.98862157070788259</v>
      </c>
      <c r="N148" s="203">
        <v>0.99433164080822622</v>
      </c>
      <c r="P148" s="202">
        <v>0.71</v>
      </c>
      <c r="Q148" s="203">
        <v>0.93940914682434062</v>
      </c>
      <c r="R148" s="203">
        <v>0.94432688046869773</v>
      </c>
      <c r="S148" s="203">
        <v>0.94919950083632687</v>
      </c>
      <c r="T148" s="203">
        <v>0.95486352405280306</v>
      </c>
      <c r="U148" s="203">
        <v>0.9608860252121364</v>
      </c>
      <c r="V148" s="203">
        <v>0.96687978733741253</v>
      </c>
      <c r="W148" s="203">
        <v>0.97214643480393192</v>
      </c>
      <c r="X148" s="203">
        <v>0.97450814624706317</v>
      </c>
      <c r="Y148" s="203">
        <v>0.98018747602589384</v>
      </c>
      <c r="Z148" s="203">
        <v>0.98848488266376255</v>
      </c>
      <c r="AB148" s="202">
        <v>0.71</v>
      </c>
      <c r="AC148" s="203">
        <v>0.93486696277191939</v>
      </c>
      <c r="AD148" s="203">
        <v>0.937230171705971</v>
      </c>
      <c r="AE148" s="203">
        <v>0.93961346142014179</v>
      </c>
      <c r="AF148" s="203">
        <v>0.9427802475055177</v>
      </c>
      <c r="AG148" s="203">
        <v>0.94690601960791443</v>
      </c>
      <c r="AH148" s="203">
        <v>0.95190453657293506</v>
      </c>
      <c r="AI148" s="203">
        <v>0.95686938375215913</v>
      </c>
      <c r="AJ148" s="203">
        <v>0.95917491700015178</v>
      </c>
      <c r="AK148" s="203">
        <v>0.96460423686932972</v>
      </c>
      <c r="AL148" s="203">
        <v>0.97124641138123124</v>
      </c>
    </row>
    <row r="149" spans="4:38" x14ac:dyDescent="0.25">
      <c r="D149" s="202">
        <v>0.71499999999999997</v>
      </c>
      <c r="E149" s="203">
        <v>0.9551865815856635</v>
      </c>
      <c r="F149" s="203">
        <v>0.96160591716313371</v>
      </c>
      <c r="G149" s="203">
        <v>0.96670079202720549</v>
      </c>
      <c r="H149" s="203">
        <v>0.97157806838234517</v>
      </c>
      <c r="I149" s="203">
        <v>0.97607197160975023</v>
      </c>
      <c r="J149" s="203">
        <v>0.98018317583891046</v>
      </c>
      <c r="K149" s="203">
        <v>0.98365875489977761</v>
      </c>
      <c r="L149" s="203">
        <v>0.98520004733207855</v>
      </c>
      <c r="M149" s="203">
        <v>0.98890516719813437</v>
      </c>
      <c r="N149" s="203">
        <v>0.99449016434547011</v>
      </c>
      <c r="P149" s="202">
        <v>0.71499999999999997</v>
      </c>
      <c r="Q149" s="203">
        <v>0.94065516764754564</v>
      </c>
      <c r="R149" s="203">
        <v>0.94548308922357227</v>
      </c>
      <c r="S149" s="203">
        <v>0.95026385801592539</v>
      </c>
      <c r="T149" s="203">
        <v>0.95581905764945463</v>
      </c>
      <c r="U149" s="203">
        <v>0.9617244127206992</v>
      </c>
      <c r="V149" s="203">
        <v>0.96760070150349475</v>
      </c>
      <c r="W149" s="203">
        <v>0.97276362623062729</v>
      </c>
      <c r="X149" s="203">
        <v>0.97507867956496974</v>
      </c>
      <c r="Y149" s="203">
        <v>0.98064526160013665</v>
      </c>
      <c r="Z149" s="203">
        <v>0.98877445619208326</v>
      </c>
      <c r="AB149" s="202">
        <v>0.71499999999999997</v>
      </c>
      <c r="AC149" s="203">
        <v>0.93619846322575084</v>
      </c>
      <c r="AD149" s="203">
        <v>0.93852147707100697</v>
      </c>
      <c r="AE149" s="203">
        <v>0.94086240826681788</v>
      </c>
      <c r="AF149" s="203">
        <v>0.94397079311118326</v>
      </c>
      <c r="AG149" s="203">
        <v>0.94801817195779781</v>
      </c>
      <c r="AH149" s="203">
        <v>0.95291966358907987</v>
      </c>
      <c r="AI149" s="203">
        <v>0.95778682692488182</v>
      </c>
      <c r="AJ149" s="203">
        <v>0.96004670565034023</v>
      </c>
      <c r="AK149" s="203">
        <v>0.96536802014211531</v>
      </c>
      <c r="AL149" s="203">
        <v>0.97187744305217383</v>
      </c>
    </row>
    <row r="150" spans="4:38" x14ac:dyDescent="0.25">
      <c r="D150" s="202">
        <v>0.72</v>
      </c>
      <c r="E150" s="203">
        <v>0.95616951645148152</v>
      </c>
      <c r="F150" s="203">
        <v>0.96245797549025136</v>
      </c>
      <c r="G150" s="203">
        <v>0.96744747374056084</v>
      </c>
      <c r="H150" s="203">
        <v>0.97222312847234649</v>
      </c>
      <c r="I150" s="203">
        <v>0.97662295520990605</v>
      </c>
      <c r="J150" s="203">
        <v>0.98064777257630797</v>
      </c>
      <c r="K150" s="203">
        <v>0.98405000546318255</v>
      </c>
      <c r="L150" s="203">
        <v>0.98555862505475045</v>
      </c>
      <c r="M150" s="203">
        <v>0.98918452667100987</v>
      </c>
      <c r="N150" s="203">
        <v>0.99464553732531702</v>
      </c>
      <c r="P150" s="202">
        <v>0.72</v>
      </c>
      <c r="Q150" s="203">
        <v>0.94189227402029685</v>
      </c>
      <c r="R150" s="203">
        <v>0.94663057887295388</v>
      </c>
      <c r="S150" s="203">
        <v>0.95131981846209701</v>
      </c>
      <c r="T150" s="203">
        <v>0.9567666613287763</v>
      </c>
      <c r="U150" s="203">
        <v>0.96255542930888416</v>
      </c>
      <c r="V150" s="203">
        <v>0.96831483619233727</v>
      </c>
      <c r="W150" s="203">
        <v>0.9733745729388541</v>
      </c>
      <c r="X150" s="203">
        <v>0.97564321102162965</v>
      </c>
      <c r="Y150" s="203">
        <v>0.98109764044847203</v>
      </c>
      <c r="Z150" s="203">
        <v>0.98905959506565544</v>
      </c>
      <c r="AB150" s="202">
        <v>0.72</v>
      </c>
      <c r="AC150" s="203">
        <v>0.93752074921161588</v>
      </c>
      <c r="AD150" s="203">
        <v>0.93980352756385099</v>
      </c>
      <c r="AE150" s="203">
        <v>0.94210214125114944</v>
      </c>
      <c r="AF150" s="203">
        <v>0.94515227531620372</v>
      </c>
      <c r="AG150" s="203">
        <v>0.94912156219248978</v>
      </c>
      <c r="AH150" s="203">
        <v>0.95392648741704789</v>
      </c>
      <c r="AI150" s="203">
        <v>0.95869648268981089</v>
      </c>
      <c r="AJ150" s="203">
        <v>0.96091095957858064</v>
      </c>
      <c r="AK150" s="203">
        <v>0.96612488491486126</v>
      </c>
      <c r="AL150" s="203">
        <v>0.97250233306353029</v>
      </c>
    </row>
    <row r="151" spans="4:38" x14ac:dyDescent="0.25">
      <c r="D151" s="202">
        <v>0.72499999999999998</v>
      </c>
      <c r="E151" s="203">
        <v>0.95714346540929851</v>
      </c>
      <c r="F151" s="203">
        <v>0.96330183748183318</v>
      </c>
      <c r="G151" s="203">
        <v>0.96818665698918682</v>
      </c>
      <c r="H151" s="203">
        <v>0.97286139167044228</v>
      </c>
      <c r="I151" s="203">
        <v>0.97716780554554861</v>
      </c>
      <c r="J151" s="203">
        <v>0.98110685252253926</v>
      </c>
      <c r="K151" s="203">
        <v>0.98443626811049068</v>
      </c>
      <c r="L151" s="203">
        <v>0.98591245332125899</v>
      </c>
      <c r="M151" s="203">
        <v>0.98945973150355737</v>
      </c>
      <c r="N151" s="203">
        <v>0.99479783399599653</v>
      </c>
      <c r="P151" s="202">
        <v>0.72499999999999998</v>
      </c>
      <c r="Q151" s="203">
        <v>0.94312059268371728</v>
      </c>
      <c r="R151" s="203">
        <v>0.94776947490217089</v>
      </c>
      <c r="S151" s="203">
        <v>0.95236750448314156</v>
      </c>
      <c r="T151" s="203">
        <v>0.95770645233825114</v>
      </c>
      <c r="U151" s="203">
        <v>0.96337918600980421</v>
      </c>
      <c r="V151" s="203">
        <v>0.96902229600283141</v>
      </c>
      <c r="W151" s="203">
        <v>0.97397937409653057</v>
      </c>
      <c r="X151" s="203">
        <v>0.97620183752098044</v>
      </c>
      <c r="Y151" s="203">
        <v>0.98154470473006783</v>
      </c>
      <c r="Z151" s="203">
        <v>0.98934038683559322</v>
      </c>
      <c r="AB151" s="202">
        <v>0.72499999999999998</v>
      </c>
      <c r="AC151" s="203">
        <v>0.93883395074464449</v>
      </c>
      <c r="AD151" s="203">
        <v>0.94107645465906209</v>
      </c>
      <c r="AE151" s="203">
        <v>0.94333279210821497</v>
      </c>
      <c r="AF151" s="203">
        <v>0.94632482472683133</v>
      </c>
      <c r="AG151" s="203">
        <v>0.95021631778666871</v>
      </c>
      <c r="AH151" s="203">
        <v>0.95492513022809766</v>
      </c>
      <c r="AI151" s="203">
        <v>0.95959846699268314</v>
      </c>
      <c r="AJ151" s="203">
        <v>0.96176779164035897</v>
      </c>
      <c r="AK151" s="203">
        <v>0.96687493650356826</v>
      </c>
      <c r="AL151" s="203">
        <v>0.97312117744918403</v>
      </c>
    </row>
    <row r="152" spans="4:38" x14ac:dyDescent="0.25">
      <c r="D152" s="202">
        <v>0.73</v>
      </c>
      <c r="E152" s="203">
        <v>0.95810856475165118</v>
      </c>
      <c r="F152" s="203">
        <v>0.96413763005625686</v>
      </c>
      <c r="G152" s="203">
        <v>0.9689184600271632</v>
      </c>
      <c r="H152" s="203">
        <v>0.97349296746848657</v>
      </c>
      <c r="I152" s="203">
        <v>0.97770662397216834</v>
      </c>
      <c r="J152" s="203">
        <v>0.98156050980369813</v>
      </c>
      <c r="K152" s="203">
        <v>0.98481763120090815</v>
      </c>
      <c r="L152" s="203">
        <v>0.98626161807287271</v>
      </c>
      <c r="M152" s="203">
        <v>0.98973086221536821</v>
      </c>
      <c r="N152" s="203">
        <v>0.99494712672148866</v>
      </c>
      <c r="P152" s="202">
        <v>0.73</v>
      </c>
      <c r="Q152" s="203">
        <v>0.94434024778058334</v>
      </c>
      <c r="R152" s="203">
        <v>0.94889990021972925</v>
      </c>
      <c r="S152" s="203">
        <v>0.95340703587066633</v>
      </c>
      <c r="T152" s="203">
        <v>0.95863854550636807</v>
      </c>
      <c r="U152" s="203">
        <v>0.96419579155815416</v>
      </c>
      <c r="V152" s="203">
        <v>0.96972318335893315</v>
      </c>
      <c r="W152" s="203">
        <v>0.97457812679691436</v>
      </c>
      <c r="X152" s="203">
        <v>0.97675465393156236</v>
      </c>
      <c r="Y152" s="203">
        <v>0.98198654463767476</v>
      </c>
      <c r="Z152" s="203">
        <v>0.98961691706337618</v>
      </c>
      <c r="AB152" s="202">
        <v>0.73</v>
      </c>
      <c r="AC152" s="203">
        <v>0.94013819517937713</v>
      </c>
      <c r="AD152" s="203">
        <v>0.9423403871398085</v>
      </c>
      <c r="AE152" s="203">
        <v>0.94455448987449142</v>
      </c>
      <c r="AF152" s="203">
        <v>0.94748856927043035</v>
      </c>
      <c r="AG152" s="203">
        <v>0.95130256359527177</v>
      </c>
      <c r="AH152" s="203">
        <v>0.95591571167648792</v>
      </c>
      <c r="AI152" s="203">
        <v>0.96049289338447508</v>
      </c>
      <c r="AJ152" s="203">
        <v>0.96261731235740522</v>
      </c>
      <c r="AK152" s="203">
        <v>0.96761827803951717</v>
      </c>
      <c r="AL152" s="203">
        <v>0.97373407024016845</v>
      </c>
    </row>
    <row r="153" spans="4:38" x14ac:dyDescent="0.25">
      <c r="D153" s="202">
        <v>0.73499999999999999</v>
      </c>
      <c r="E153" s="203">
        <v>0.95906494797536834</v>
      </c>
      <c r="F153" s="203">
        <v>0.96496547751284678</v>
      </c>
      <c r="G153" s="203">
        <v>0.96964299865559767</v>
      </c>
      <c r="H153" s="203">
        <v>0.97411796307346876</v>
      </c>
      <c r="I153" s="203">
        <v>0.97823950971420948</v>
      </c>
      <c r="J153" s="203">
        <v>0.98200883654620019</v>
      </c>
      <c r="K153" s="203">
        <v>0.98519418119027991</v>
      </c>
      <c r="L153" s="203">
        <v>0.98660620338346039</v>
      </c>
      <c r="M153" s="203">
        <v>0.98999799751945372</v>
      </c>
      <c r="N153" s="203">
        <v>0.99509348603533987</v>
      </c>
      <c r="P153" s="202">
        <v>0.73499999999999999</v>
      </c>
      <c r="Q153" s="203">
        <v>0.94555136092578884</v>
      </c>
      <c r="R153" s="203">
        <v>0.95002197522724863</v>
      </c>
      <c r="S153" s="203">
        <v>0.95443852996795508</v>
      </c>
      <c r="T153" s="203">
        <v>0.95956305330840375</v>
      </c>
      <c r="U153" s="203">
        <v>0.96500535245275931</v>
      </c>
      <c r="V153" s="203">
        <v>0.97041759856887244</v>
      </c>
      <c r="W153" s="203">
        <v>0.97517092611507605</v>
      </c>
      <c r="X153" s="203">
        <v>0.97730175314191736</v>
      </c>
      <c r="Y153" s="203">
        <v>0.98242324845114004</v>
      </c>
      <c r="Z153" s="203">
        <v>0.98988926937543242</v>
      </c>
      <c r="AB153" s="202">
        <v>0.73499999999999999</v>
      </c>
      <c r="AC153" s="203">
        <v>0.94143360728181402</v>
      </c>
      <c r="AD153" s="203">
        <v>0.94359545117074395</v>
      </c>
      <c r="AE153" s="203">
        <v>0.94576736096094627</v>
      </c>
      <c r="AF153" s="203">
        <v>0.94864363426808496</v>
      </c>
      <c r="AG153" s="203">
        <v>0.95238042192457406</v>
      </c>
      <c r="AH153" s="203">
        <v>0.95689834896786263</v>
      </c>
      <c r="AI153" s="203">
        <v>0.96137987308653872</v>
      </c>
      <c r="AJ153" s="203">
        <v>0.96345962998119616</v>
      </c>
      <c r="AK153" s="203">
        <v>0.9683550105287555</v>
      </c>
      <c r="AL153" s="203">
        <v>0.97434110351920944</v>
      </c>
    </row>
    <row r="154" spans="4:38" x14ac:dyDescent="0.25">
      <c r="D154" s="202">
        <v>0.74</v>
      </c>
      <c r="E154" s="203">
        <v>0.96001274585672003</v>
      </c>
      <c r="F154" s="203">
        <v>0.96578550160243481</v>
      </c>
      <c r="G154" s="203">
        <v>0.9703603862888015</v>
      </c>
      <c r="H154" s="203">
        <v>0.97473648346920472</v>
      </c>
      <c r="I154" s="203">
        <v>0.9787665599226365</v>
      </c>
      <c r="J154" s="203">
        <v>0.98245192293082673</v>
      </c>
      <c r="K154" s="203">
        <v>0.98556600268257644</v>
      </c>
      <c r="L154" s="203">
        <v>0.9869462915100522</v>
      </c>
      <c r="M154" s="203">
        <v>0.99026121437141446</v>
      </c>
      <c r="N154" s="203">
        <v>0.9952369806926763</v>
      </c>
      <c r="P154" s="202">
        <v>0.74</v>
      </c>
      <c r="Q154" s="203">
        <v>0.94675405127443935</v>
      </c>
      <c r="R154" s="203">
        <v>0.9511358178870406</v>
      </c>
      <c r="S154" s="203">
        <v>0.95546210173602986</v>
      </c>
      <c r="T154" s="203">
        <v>0.96048008592998446</v>
      </c>
      <c r="U154" s="203">
        <v>0.96580797301701404</v>
      </c>
      <c r="V154" s="203">
        <v>0.97110563988235776</v>
      </c>
      <c r="W154" s="203">
        <v>0.97575786516246088</v>
      </c>
      <c r="X154" s="203">
        <v>0.97784322611411145</v>
      </c>
      <c r="Y154" s="203">
        <v>0.98285490258911279</v>
      </c>
      <c r="Z154" s="203">
        <v>0.99015752551589276</v>
      </c>
      <c r="AB154" s="202">
        <v>0.74</v>
      </c>
      <c r="AC154" s="203">
        <v>0.94272030929903872</v>
      </c>
      <c r="AD154" s="203">
        <v>0.94484177036843842</v>
      </c>
      <c r="AE154" s="203">
        <v>0.94697152922367023</v>
      </c>
      <c r="AF154" s="203">
        <v>0.94979014250475724</v>
      </c>
      <c r="AG154" s="203">
        <v>0.95345001260087536</v>
      </c>
      <c r="AH154" s="203">
        <v>0.95787315692532893</v>
      </c>
      <c r="AI154" s="203">
        <v>0.96225951505353524</v>
      </c>
      <c r="AJ154" s="203">
        <v>0.96429485055430986</v>
      </c>
      <c r="AK154" s="203">
        <v>0.96908523290956794</v>
      </c>
      <c r="AL154" s="203">
        <v>0.97494236747342333</v>
      </c>
    </row>
    <row r="155" spans="4:38" x14ac:dyDescent="0.25">
      <c r="D155" s="202">
        <v>0.745</v>
      </c>
      <c r="E155" s="203">
        <v>0.96095208652405517</v>
      </c>
      <c r="F155" s="203">
        <v>0.96659782159555618</v>
      </c>
      <c r="G155" s="203">
        <v>0.97107073401824506</v>
      </c>
      <c r="H155" s="203">
        <v>0.97534863147595974</v>
      </c>
      <c r="I155" s="203">
        <v>0.9792878697305698</v>
      </c>
      <c r="J155" s="203">
        <v>0.98288985724495614</v>
      </c>
      <c r="K155" s="203">
        <v>0.98593317847965756</v>
      </c>
      <c r="L155" s="203">
        <v>0.98728196294170356</v>
      </c>
      <c r="M155" s="203">
        <v>0.99052058801696741</v>
      </c>
      <c r="N155" s="203">
        <v>0.99537767772048658</v>
      </c>
      <c r="P155" s="202">
        <v>0.745</v>
      </c>
      <c r="Q155" s="203">
        <v>0.94794843558766506</v>
      </c>
      <c r="R155" s="203">
        <v>0.95224154378742276</v>
      </c>
      <c r="S155" s="203">
        <v>0.9564778638175</v>
      </c>
      <c r="T155" s="203">
        <v>0.9613897513285119</v>
      </c>
      <c r="U155" s="203">
        <v>0.96660375545728539</v>
      </c>
      <c r="V155" s="203">
        <v>0.97178740354585957</v>
      </c>
      <c r="W155" s="203">
        <v>0.97633903513961684</v>
      </c>
      <c r="X155" s="203">
        <v>0.97837916193545793</v>
      </c>
      <c r="Y155" s="203">
        <v>0.98328159165901341</v>
      </c>
      <c r="Z155" s="203">
        <v>0.99042176539758098</v>
      </c>
      <c r="AB155" s="202">
        <v>0.745</v>
      </c>
      <c r="AC155" s="203">
        <v>0.94399842102652021</v>
      </c>
      <c r="AD155" s="203">
        <v>0.94607946586944713</v>
      </c>
      <c r="AE155" s="203">
        <v>0.94816711603214876</v>
      </c>
      <c r="AF155" s="203">
        <v>0.95092821429710428</v>
      </c>
      <c r="AG155" s="203">
        <v>0.95451145303688589</v>
      </c>
      <c r="AH155" s="203">
        <v>0.95884024805331669</v>
      </c>
      <c r="AI155" s="203">
        <v>0.96313192603425746</v>
      </c>
      <c r="AJ155" s="203">
        <v>0.96512307796971952</v>
      </c>
      <c r="AK155" s="203">
        <v>0.969809042108016</v>
      </c>
      <c r="AL155" s="203">
        <v>0.97553795044524017</v>
      </c>
    </row>
    <row r="156" spans="4:38" x14ac:dyDescent="0.25">
      <c r="D156" s="202">
        <v>0.75</v>
      </c>
      <c r="E156" s="203">
        <v>0.96188309552802909</v>
      </c>
      <c r="F156" s="203">
        <v>0.9674025543483783</v>
      </c>
      <c r="G156" s="203">
        <v>0.97177415067438311</v>
      </c>
      <c r="H156" s="203">
        <v>0.97595450780808402</v>
      </c>
      <c r="I156" s="203">
        <v>0.97980353230706863</v>
      </c>
      <c r="J156" s="203">
        <v>0.98332272593305314</v>
      </c>
      <c r="K156" s="203">
        <v>0.98629578962937781</v>
      </c>
      <c r="L156" s="203">
        <v>0.98761329644673723</v>
      </c>
      <c r="M156" s="203">
        <v>0.99077619203789635</v>
      </c>
      <c r="N156" s="203">
        <v>0.99551564246624402</v>
      </c>
      <c r="P156" s="202">
        <v>0.75</v>
      </c>
      <c r="Q156" s="203">
        <v>0.94913462829624884</v>
      </c>
      <c r="R156" s="203">
        <v>0.95333926620586285</v>
      </c>
      <c r="S156" s="203">
        <v>0.95748592659828258</v>
      </c>
      <c r="T156" s="203">
        <v>0.96229215529254353</v>
      </c>
      <c r="U156" s="203">
        <v>0.96739279991937066</v>
      </c>
      <c r="V156" s="203">
        <v>0.97246298385604557</v>
      </c>
      <c r="W156" s="203">
        <v>0.97691452538716439</v>
      </c>
      <c r="X156" s="203">
        <v>0.97890964786851753</v>
      </c>
      <c r="Y156" s="203">
        <v>0.98370339850533839</v>
      </c>
      <c r="Z156" s="203">
        <v>0.99068206715131946</v>
      </c>
      <c r="AB156" s="202">
        <v>0.75</v>
      </c>
      <c r="AC156" s="203">
        <v>0.94526805987317875</v>
      </c>
      <c r="AD156" s="203">
        <v>0.94730865639613049</v>
      </c>
      <c r="AE156" s="203">
        <v>0.9493542403352675</v>
      </c>
      <c r="AF156" s="203">
        <v>0.95205796755903926</v>
      </c>
      <c r="AG156" s="203">
        <v>0.9555648582959041</v>
      </c>
      <c r="AH156" s="203">
        <v>0.9597997325993145</v>
      </c>
      <c r="AI156" s="203">
        <v>0.9639972106304231</v>
      </c>
      <c r="AJ156" s="203">
        <v>0.96594441402811015</v>
      </c>
      <c r="AK156" s="203">
        <v>0.9705265330916254</v>
      </c>
      <c r="AL156" s="203">
        <v>0.97612793898162942</v>
      </c>
    </row>
    <row r="157" spans="4:38" x14ac:dyDescent="0.25">
      <c r="D157" s="202">
        <v>0.755</v>
      </c>
      <c r="E157" s="203">
        <v>0.9628058959095126</v>
      </c>
      <c r="F157" s="203">
        <v>0.96819981436644664</v>
      </c>
      <c r="G157" s="203">
        <v>0.97247074288643365</v>
      </c>
      <c r="H157" s="203">
        <v>0.9765542111297365</v>
      </c>
      <c r="I157" s="203">
        <v>0.98031363890912537</v>
      </c>
      <c r="J157" s="203">
        <v>0.98375061364548733</v>
      </c>
      <c r="K157" s="203">
        <v>0.98665391547210246</v>
      </c>
      <c r="L157" s="203">
        <v>0.98794036911842376</v>
      </c>
      <c r="M157" s="203">
        <v>0.99102809839649275</v>
      </c>
      <c r="N157" s="203">
        <v>0.99565093864493326</v>
      </c>
      <c r="P157" s="202">
        <v>0.755</v>
      </c>
      <c r="Q157" s="203">
        <v>0.95031274156215317</v>
      </c>
      <c r="R157" s="203">
        <v>0.95442909617003457</v>
      </c>
      <c r="S157" s="203">
        <v>0.95848639826728621</v>
      </c>
      <c r="T157" s="203">
        <v>0.96318740149920579</v>
      </c>
      <c r="U157" s="203">
        <v>0.96817520454308226</v>
      </c>
      <c r="V157" s="203">
        <v>0.97313247321144758</v>
      </c>
      <c r="W157" s="203">
        <v>0.97748442343507047</v>
      </c>
      <c r="X157" s="203">
        <v>0.97943476939943652</v>
      </c>
      <c r="Y157" s="203">
        <v>0.98412040425636305</v>
      </c>
      <c r="Z157" s="203">
        <v>0.99093850717360954</v>
      </c>
      <c r="AB157" s="202">
        <v>0.755</v>
      </c>
      <c r="AC157" s="203">
        <v>0.94652934092430718</v>
      </c>
      <c r="AD157" s="203">
        <v>0.94852945832029878</v>
      </c>
      <c r="AE157" s="203">
        <v>0.95053301872514429</v>
      </c>
      <c r="AF157" s="203">
        <v>0.95317951786513189</v>
      </c>
      <c r="AG157" s="203">
        <v>0.95661034115387322</v>
      </c>
      <c r="AH157" s="203">
        <v>0.96075171861356157</v>
      </c>
      <c r="AI157" s="203">
        <v>0.96485547135352112</v>
      </c>
      <c r="AJ157" s="203">
        <v>0.9667589584932953</v>
      </c>
      <c r="AK157" s="203">
        <v>0.97123779892128936</v>
      </c>
      <c r="AL157" s="203">
        <v>0.97671241788169005</v>
      </c>
    </row>
    <row r="158" spans="4:38" x14ac:dyDescent="0.25">
      <c r="D158" s="202">
        <v>0.76</v>
      </c>
      <c r="E158" s="203">
        <v>0.96372060826528017</v>
      </c>
      <c r="F158" s="203">
        <v>0.96898971386634403</v>
      </c>
      <c r="G158" s="203">
        <v>0.97316061514019203</v>
      </c>
      <c r="H158" s="203">
        <v>0.97714783810877859</v>
      </c>
      <c r="I158" s="203">
        <v>0.98081827893195794</v>
      </c>
      <c r="J158" s="203">
        <v>0.9841736032857461</v>
      </c>
      <c r="K158" s="203">
        <v>0.98700763368569644</v>
      </c>
      <c r="L158" s="203">
        <v>0.98826325641916446</v>
      </c>
      <c r="M158" s="203">
        <v>0.99127637747853925</v>
      </c>
      <c r="N158" s="203">
        <v>0.99578362838454271</v>
      </c>
      <c r="P158" s="202">
        <v>0.76</v>
      </c>
      <c r="Q158" s="203">
        <v>0.95148288533802861</v>
      </c>
      <c r="R158" s="203">
        <v>0.95551114251687119</v>
      </c>
      <c r="S158" s="203">
        <v>0.95947938487412665</v>
      </c>
      <c r="T158" s="203">
        <v>0.96407559156971834</v>
      </c>
      <c r="U158" s="203">
        <v>0.96895106551503696</v>
      </c>
      <c r="V158" s="203">
        <v>0.97379596216242192</v>
      </c>
      <c r="W158" s="203">
        <v>0.97804881505030572</v>
      </c>
      <c r="X158" s="203">
        <v>0.97995461028469499</v>
      </c>
      <c r="Y158" s="203">
        <v>0.98453268836931174</v>
      </c>
      <c r="Z158" s="203">
        <v>0.99119116017275699</v>
      </c>
      <c r="AB158" s="202">
        <v>0.76</v>
      </c>
      <c r="AC158" s="203">
        <v>0.94778237700243451</v>
      </c>
      <c r="AD158" s="203">
        <v>0.94974198572477486</v>
      </c>
      <c r="AE158" s="203">
        <v>0.95170356549886714</v>
      </c>
      <c r="AF158" s="203">
        <v>0.95429297851192796</v>
      </c>
      <c r="AG158" s="203">
        <v>0.95764801215940565</v>
      </c>
      <c r="AH158" s="203">
        <v>0.96169631200677841</v>
      </c>
      <c r="AI158" s="203">
        <v>0.96570680867978753</v>
      </c>
      <c r="AJ158" s="203">
        <v>0.96756680914580939</v>
      </c>
      <c r="AK158" s="203">
        <v>0.97194293080146488</v>
      </c>
      <c r="AL158" s="203">
        <v>0.97729147024267249</v>
      </c>
    </row>
    <row r="159" spans="4:38" x14ac:dyDescent="0.25">
      <c r="D159" s="202">
        <v>0.76500000000000001</v>
      </c>
      <c r="E159" s="203">
        <v>0.96462735081155881</v>
      </c>
      <c r="F159" s="203">
        <v>0.96977236283533252</v>
      </c>
      <c r="G159" s="203">
        <v>0.9738438698339551</v>
      </c>
      <c r="H159" s="203">
        <v>0.97773548346890427</v>
      </c>
      <c r="I159" s="203">
        <v>0.98131753995765281</v>
      </c>
      <c r="J159" s="203">
        <v>0.98459177605610715</v>
      </c>
      <c r="K159" s="203">
        <v>0.98735702032904549</v>
      </c>
      <c r="L159" s="203">
        <v>0.98858203222323104</v>
      </c>
      <c r="M159" s="203">
        <v>0.9915210981349003</v>
      </c>
      <c r="N159" s="203">
        <v>0.99591377227008115</v>
      </c>
      <c r="P159" s="202">
        <v>0.76500000000000001</v>
      </c>
      <c r="Q159" s="203">
        <v>0.95264516742478589</v>
      </c>
      <c r="R159" s="203">
        <v>0.95658551194969177</v>
      </c>
      <c r="S159" s="203">
        <v>0.96046499038496691</v>
      </c>
      <c r="T159" s="203">
        <v>0.96495682512310543</v>
      </c>
      <c r="U159" s="203">
        <v>0.96972047711971543</v>
      </c>
      <c r="V159" s="203">
        <v>0.97445353945947832</v>
      </c>
      <c r="W159" s="203">
        <v>0.97860778428293715</v>
      </c>
      <c r="X159" s="203">
        <v>0.98046925259632467</v>
      </c>
      <c r="Y159" s="203">
        <v>0.98494032867404735</v>
      </c>
      <c r="Z159" s="203">
        <v>0.99144009921349763</v>
      </c>
      <c r="AB159" s="202">
        <v>0.76500000000000001</v>
      </c>
      <c r="AC159" s="203">
        <v>0.94902727872620474</v>
      </c>
      <c r="AD159" s="203">
        <v>0.95094635046295395</v>
      </c>
      <c r="AE159" s="203">
        <v>0.95286599271822348</v>
      </c>
      <c r="AF159" s="203">
        <v>0.95539846057727418</v>
      </c>
      <c r="AG159" s="203">
        <v>0.95867797969184509</v>
      </c>
      <c r="AH159" s="203">
        <v>0.96263361660601188</v>
      </c>
      <c r="AI159" s="203">
        <v>0.96655132110338504</v>
      </c>
      <c r="AJ159" s="203">
        <v>0.968368061834748</v>
      </c>
      <c r="AK159" s="203">
        <v>0.97264201812872453</v>
      </c>
      <c r="AL159" s="203">
        <v>0.97786517750449453</v>
      </c>
    </row>
    <row r="160" spans="4:38" x14ac:dyDescent="0.25">
      <c r="D160" s="202">
        <v>0.77</v>
      </c>
      <c r="E160" s="203">
        <v>0.96552623944552163</v>
      </c>
      <c r="F160" s="203">
        <v>0.97054786908906632</v>
      </c>
      <c r="G160" s="203">
        <v>0.97452060733263346</v>
      </c>
      <c r="H160" s="203">
        <v>0.97831724004007903</v>
      </c>
      <c r="I160" s="203">
        <v>0.98181150780222937</v>
      </c>
      <c r="J160" s="203">
        <v>0.98500521150182663</v>
      </c>
      <c r="K160" s="203">
        <v>0.98770214988416527</v>
      </c>
      <c r="L160" s="203">
        <v>0.98889676885812605</v>
      </c>
      <c r="M160" s="203">
        <v>0.99176232772176875</v>
      </c>
      <c r="N160" s="203">
        <v>0.9960414293861799</v>
      </c>
      <c r="P160" s="202">
        <v>0.77</v>
      </c>
      <c r="Q160" s="203">
        <v>0.95379969352730121</v>
      </c>
      <c r="R160" s="203">
        <v>0.95765230909347865</v>
      </c>
      <c r="S160" s="203">
        <v>0.96144331673653827</v>
      </c>
      <c r="T160" s="203">
        <v>0.96583119982816013</v>
      </c>
      <c r="U160" s="203">
        <v>0.97048353178886571</v>
      </c>
      <c r="V160" s="203">
        <v>0.9751052921000366</v>
      </c>
      <c r="W160" s="203">
        <v>0.97916141351072483</v>
      </c>
      <c r="X160" s="203">
        <v>0.98097877676565803</v>
      </c>
      <c r="Y160" s="203">
        <v>0.98534340141534849</v>
      </c>
      <c r="Z160" s="203">
        <v>0.99168539576018822</v>
      </c>
      <c r="AB160" s="202">
        <v>0.77</v>
      </c>
      <c r="AC160" s="203">
        <v>0.95026415456735924</v>
      </c>
      <c r="AD160" s="203">
        <v>0.95214266221643584</v>
      </c>
      <c r="AE160" s="203">
        <v>0.95402041026749973</v>
      </c>
      <c r="AF160" s="203">
        <v>0.9564960729777231</v>
      </c>
      <c r="AG160" s="203">
        <v>0.95970035001745047</v>
      </c>
      <c r="AH160" s="203">
        <v>0.96356373420867036</v>
      </c>
      <c r="AI160" s="203">
        <v>0.96738910518785237</v>
      </c>
      <c r="AJ160" s="203">
        <v>0.96916281052792386</v>
      </c>
      <c r="AK160" s="203">
        <v>0.97333514853873082</v>
      </c>
      <c r="AL160" s="203">
        <v>0.9784336194928086</v>
      </c>
    </row>
    <row r="161" spans="4:38" x14ac:dyDescent="0.25">
      <c r="D161" s="202">
        <v>0.77500000000000002</v>
      </c>
      <c r="E161" s="203">
        <v>0.96641738780480868</v>
      </c>
      <c r="F161" s="203">
        <v>0.97131633832744579</v>
      </c>
      <c r="G161" s="203">
        <v>0.97519092602011759</v>
      </c>
      <c r="H161" s="203">
        <v>0.9788931988073506</v>
      </c>
      <c r="I161" s="203">
        <v>0.98230026656118807</v>
      </c>
      <c r="J161" s="203">
        <v>0.98541398755390464</v>
      </c>
      <c r="K161" s="203">
        <v>0.98804309529695855</v>
      </c>
      <c r="L161" s="203">
        <v>0.98920753714461174</v>
      </c>
      <c r="M161" s="203">
        <v>0.99200013213962446</v>
      </c>
      <c r="N161" s="203">
        <v>0.99616665735832699</v>
      </c>
      <c r="P161" s="202">
        <v>0.77500000000000002</v>
      </c>
      <c r="Q161" s="203">
        <v>0.95494656730833327</v>
      </c>
      <c r="R161" s="203">
        <v>0.95871163654837366</v>
      </c>
      <c r="S161" s="203">
        <v>0.96241446388842711</v>
      </c>
      <c r="T161" s="203">
        <v>0.9666988114537356</v>
      </c>
      <c r="U161" s="203">
        <v>0.97124032014930972</v>
      </c>
      <c r="V161" s="203">
        <v>0.97575130537366961</v>
      </c>
      <c r="W161" s="203">
        <v>0.979709783482277</v>
      </c>
      <c r="X161" s="203">
        <v>0.98148326162566246</v>
      </c>
      <c r="Y161" s="203">
        <v>0.98574198129381818</v>
      </c>
      <c r="Z161" s="203">
        <v>0.99192711971861014</v>
      </c>
      <c r="AB161" s="202">
        <v>0.77500000000000002</v>
      </c>
      <c r="AC161" s="203">
        <v>0.95149311090588184</v>
      </c>
      <c r="AD161" s="203">
        <v>0.95333102855081187</v>
      </c>
      <c r="AE161" s="203">
        <v>0.95516692590942465</v>
      </c>
      <c r="AF161" s="203">
        <v>0.95758592252409114</v>
      </c>
      <c r="AG161" s="203">
        <v>0.96071522734377268</v>
      </c>
      <c r="AH161" s="203">
        <v>0.96448676463481575</v>
      </c>
      <c r="AI161" s="203">
        <v>0.96822025561589908</v>
      </c>
      <c r="AJ161" s="203">
        <v>0.96995114736040189</v>
      </c>
      <c r="AK161" s="203">
        <v>0.97402240795169248</v>
      </c>
      <c r="AL161" s="203">
        <v>0.97899687446067785</v>
      </c>
    </row>
    <row r="162" spans="4:38" x14ac:dyDescent="0.25">
      <c r="D162" s="202">
        <v>0.78</v>
      </c>
      <c r="E162" s="203">
        <v>0.9673009073251454</v>
      </c>
      <c r="F162" s="203">
        <v>0.97207787418868474</v>
      </c>
      <c r="G162" s="203">
        <v>0.97585492234996618</v>
      </c>
      <c r="H162" s="203">
        <v>0.97946344895809578</v>
      </c>
      <c r="I162" s="203">
        <v>0.98278389865359628</v>
      </c>
      <c r="J162" s="203">
        <v>0.98581818057048154</v>
      </c>
      <c r="K162" s="203">
        <v>0.98837992801666719</v>
      </c>
      <c r="L162" s="203">
        <v>0.98951440643545774</v>
      </c>
      <c r="M162" s="203">
        <v>0.99223457587095087</v>
      </c>
      <c r="N162" s="203">
        <v>0.99628951239279318</v>
      </c>
      <c r="P162" s="202">
        <v>0.78</v>
      </c>
      <c r="Q162" s="203">
        <v>0.95608589044071435</v>
      </c>
      <c r="R162" s="203">
        <v>0.95976359494146435</v>
      </c>
      <c r="S162" s="203">
        <v>0.96337852987368378</v>
      </c>
      <c r="T162" s="203">
        <v>0.96755975391742344</v>
      </c>
      <c r="U162" s="203">
        <v>0.97199093106921564</v>
      </c>
      <c r="V162" s="203">
        <v>0.97639166290590007</v>
      </c>
      <c r="W162" s="203">
        <v>0.98025297335881989</v>
      </c>
      <c r="X162" s="203">
        <v>0.98198278445191889</v>
      </c>
      <c r="Y162" s="203">
        <v>0.98613614150548534</v>
      </c>
      <c r="Z162" s="203">
        <v>0.99216533947644681</v>
      </c>
      <c r="AB162" s="202">
        <v>0.78</v>
      </c>
      <c r="AC162" s="203">
        <v>0.95271425208338911</v>
      </c>
      <c r="AD162" s="203">
        <v>0.95451155496966544</v>
      </c>
      <c r="AE162" s="203">
        <v>0.95630564533932261</v>
      </c>
      <c r="AF162" s="203">
        <v>0.95866811397524465</v>
      </c>
      <c r="AG162" s="203">
        <v>0.96172271387228969</v>
      </c>
      <c r="AH162" s="203">
        <v>0.96540280577778037</v>
      </c>
      <c r="AI162" s="203">
        <v>0.96904486523759803</v>
      </c>
      <c r="AJ162" s="203">
        <v>0.97073316268148091</v>
      </c>
      <c r="AK162" s="203">
        <v>0.97470388061635871</v>
      </c>
      <c r="AL162" s="203">
        <v>0.97955501912891352</v>
      </c>
    </row>
    <row r="163" spans="4:38" x14ac:dyDescent="0.25">
      <c r="D163" s="202">
        <v>0.78500000000000003</v>
      </c>
      <c r="E163" s="203">
        <v>0.96817690729613437</v>
      </c>
      <c r="F163" s="203">
        <v>0.97283257830165915</v>
      </c>
      <c r="G163" s="203">
        <v>0.97651269089448411</v>
      </c>
      <c r="H163" s="203">
        <v>0.98002807792776381</v>
      </c>
      <c r="I163" s="203">
        <v>0.98326248486477441</v>
      </c>
      <c r="J163" s="203">
        <v>0.98621786537691514</v>
      </c>
      <c r="K163" s="203">
        <v>0.98871271803406935</v>
      </c>
      <c r="L163" s="203">
        <v>0.98981744465296273</v>
      </c>
      <c r="M163" s="203">
        <v>0.99246572201676098</v>
      </c>
      <c r="N163" s="203">
        <v>0.99641004931529165</v>
      </c>
      <c r="P163" s="202">
        <v>0.78500000000000003</v>
      </c>
      <c r="Q163" s="203">
        <v>0.95721776265788594</v>
      </c>
      <c r="R163" s="203">
        <v>0.960808282976925</v>
      </c>
      <c r="S163" s="203">
        <v>0.96433561084782282</v>
      </c>
      <c r="T163" s="203">
        <v>0.96841411933268007</v>
      </c>
      <c r="U163" s="203">
        <v>0.97273545170289744</v>
      </c>
      <c r="V163" s="203">
        <v>0.97702644670059513</v>
      </c>
      <c r="W163" s="203">
        <v>0.98079106075463585</v>
      </c>
      <c r="X163" s="203">
        <v>0.98247742100229107</v>
      </c>
      <c r="Y163" s="203">
        <v>0.98652595378014452</v>
      </c>
      <c r="Z163" s="203">
        <v>0.99240012194248028</v>
      </c>
      <c r="AB163" s="202">
        <v>0.78500000000000003</v>
      </c>
      <c r="AC163" s="203">
        <v>0.95392768045482712</v>
      </c>
      <c r="AD163" s="203">
        <v>0.95568434496686394</v>
      </c>
      <c r="AE163" s="203">
        <v>0.95743667223755469</v>
      </c>
      <c r="AF163" s="203">
        <v>0.95974275009017584</v>
      </c>
      <c r="AG163" s="203">
        <v>0.96272290984937126</v>
      </c>
      <c r="AH163" s="203">
        <v>0.96631195365317768</v>
      </c>
      <c r="AI163" s="203">
        <v>0.96986302511704681</v>
      </c>
      <c r="AJ163" s="203">
        <v>0.9715089451001746</v>
      </c>
      <c r="AK163" s="203">
        <v>0.97537964915261754</v>
      </c>
      <c r="AL163" s="203">
        <v>0.98010812872512587</v>
      </c>
    </row>
    <row r="164" spans="4:38" x14ac:dyDescent="0.25">
      <c r="D164" s="202">
        <v>0.79</v>
      </c>
      <c r="E164" s="203">
        <v>0.96904549491529124</v>
      </c>
      <c r="F164" s="203">
        <v>0.97358055033660273</v>
      </c>
      <c r="G164" s="203">
        <v>0.9771643243922451</v>
      </c>
      <c r="H164" s="203">
        <v>0.98058717144417051</v>
      </c>
      <c r="I164" s="203">
        <v>0.98373610438762604</v>
      </c>
      <c r="J164" s="203">
        <v>0.98661311530459328</v>
      </c>
      <c r="K164" s="203">
        <v>0.98904153391847449</v>
      </c>
      <c r="L164" s="203">
        <v>0.99011671832529102</v>
      </c>
      <c r="M164" s="203">
        <v>0.99269363233197172</v>
      </c>
      <c r="N164" s="203">
        <v>0.9965283216084263</v>
      </c>
      <c r="P164" s="202">
        <v>0.79</v>
      </c>
      <c r="Q164" s="203">
        <v>0.95834228180284053</v>
      </c>
      <c r="R164" s="203">
        <v>0.96184579748457422</v>
      </c>
      <c r="S164" s="203">
        <v>0.96528580113627505</v>
      </c>
      <c r="T164" s="203">
        <v>0.96926199805446367</v>
      </c>
      <c r="U164" s="203">
        <v>0.97347396753419235</v>
      </c>
      <c r="V164" s="203">
        <v>0.97765573718102161</v>
      </c>
      <c r="W164" s="203">
        <v>0.98132412177622153</v>
      </c>
      <c r="X164" s="203">
        <v>0.9829672455553411</v>
      </c>
      <c r="Y164" s="203">
        <v>0.98691148841848375</v>
      </c>
      <c r="Z164" s="203">
        <v>0.99263153258455716</v>
      </c>
      <c r="AB164" s="202">
        <v>0.79</v>
      </c>
      <c r="AC164" s="203">
        <v>0.95513349643853662</v>
      </c>
      <c r="AD164" s="203">
        <v>0.95684950007720282</v>
      </c>
      <c r="AE164" s="203">
        <v>0.95856010832030558</v>
      </c>
      <c r="AF164" s="203">
        <v>0.96080993167843931</v>
      </c>
      <c r="AG164" s="203">
        <v>0.96371591361563358</v>
      </c>
      <c r="AH164" s="203">
        <v>0.96721430244635787</v>
      </c>
      <c r="AI164" s="203">
        <v>0.97067482457755017</v>
      </c>
      <c r="AJ164" s="203">
        <v>0.97227858152925506</v>
      </c>
      <c r="AK164" s="203">
        <v>0.97604979459273622</v>
      </c>
      <c r="AL164" s="203">
        <v>0.98065627702153646</v>
      </c>
    </row>
    <row r="165" spans="4:38" x14ac:dyDescent="0.25">
      <c r="D165" s="202">
        <v>0.79500000000000004</v>
      </c>
      <c r="E165" s="203">
        <v>0.96990677534038483</v>
      </c>
      <c r="F165" s="203">
        <v>0.97432188805421127</v>
      </c>
      <c r="G165" s="203">
        <v>0.97780991379412407</v>
      </c>
      <c r="H165" s="203">
        <v>0.98114081357040173</v>
      </c>
      <c r="I165" s="203">
        <v>0.98420483486267407</v>
      </c>
      <c r="J165" s="203">
        <v>0.98700400222852669</v>
      </c>
      <c r="K165" s="203">
        <v>0.98936644285355535</v>
      </c>
      <c r="L165" s="203">
        <v>0.99041229262167163</v>
      </c>
      <c r="M165" s="203">
        <v>0.9929183672596783</v>
      </c>
      <c r="N165" s="203">
        <v>0.99664438144796641</v>
      </c>
      <c r="P165" s="202">
        <v>0.79500000000000004</v>
      </c>
      <c r="Q165" s="203">
        <v>0.95945954387552634</v>
      </c>
      <c r="R165" s="203">
        <v>0.96287623346690676</v>
      </c>
      <c r="S165" s="203">
        <v>0.96622919328034762</v>
      </c>
      <c r="T165" s="203">
        <v>0.9701034787234365</v>
      </c>
      <c r="U165" s="203">
        <v>0.97420656241847703</v>
      </c>
      <c r="V165" s="203">
        <v>0.97827961322960555</v>
      </c>
      <c r="W165" s="203">
        <v>0.98185223106021169</v>
      </c>
      <c r="X165" s="203">
        <v>0.98345233094753348</v>
      </c>
      <c r="Y165" s="203">
        <v>0.98729281432804483</v>
      </c>
      <c r="Z165" s="203">
        <v>0.99285963546637124</v>
      </c>
      <c r="AB165" s="202">
        <v>0.79500000000000004</v>
      </c>
      <c r="AC165" s="203">
        <v>0.95633179856475514</v>
      </c>
      <c r="AD165" s="203">
        <v>0.95800711992546295</v>
      </c>
      <c r="AE165" s="203">
        <v>0.95967605338877571</v>
      </c>
      <c r="AF165" s="203">
        <v>0.9618697576490054</v>
      </c>
      <c r="AG165" s="203">
        <v>0.96470182165374663</v>
      </c>
      <c r="AH165" s="203">
        <v>0.96810994455837496</v>
      </c>
      <c r="AI165" s="203">
        <v>0.97148035124538257</v>
      </c>
      <c r="AJ165" s="203">
        <v>0.97304215722790866</v>
      </c>
      <c r="AK165" s="203">
        <v>0.97671439642130875</v>
      </c>
      <c r="AL165" s="203">
        <v>0.9811995363716014</v>
      </c>
    </row>
    <row r="166" spans="4:38" x14ac:dyDescent="0.25">
      <c r="D166" s="202">
        <v>0.8</v>
      </c>
      <c r="E166" s="203">
        <v>0.97076085174015148</v>
      </c>
      <c r="F166" s="203">
        <v>0.97505668735321649</v>
      </c>
      <c r="G166" s="203">
        <v>0.9784495483078911</v>
      </c>
      <c r="H166" s="203">
        <v>0.98168908674637501</v>
      </c>
      <c r="I166" s="203">
        <v>0.98466875241684315</v>
      </c>
      <c r="J166" s="203">
        <v>0.98739059660376716</v>
      </c>
      <c r="K166" s="203">
        <v>0.9896875106720644</v>
      </c>
      <c r="L166" s="203">
        <v>0.99070423138649988</v>
      </c>
      <c r="M166" s="203">
        <v>0.99313998596436281</v>
      </c>
      <c r="N166" s="203">
        <v>0.99675827973799624</v>
      </c>
      <c r="P166" s="202">
        <v>0.8</v>
      </c>
      <c r="Q166" s="203">
        <v>0.96056964307877768</v>
      </c>
      <c r="R166" s="203">
        <v>0.96389968414466232</v>
      </c>
      <c r="S166" s="203">
        <v>0.96716587808175059</v>
      </c>
      <c r="T166" s="203">
        <v>0.97093864830878318</v>
      </c>
      <c r="U166" s="203">
        <v>0.97493331862336541</v>
      </c>
      <c r="V166" s="203">
        <v>0.97889815222644905</v>
      </c>
      <c r="W166" s="203">
        <v>0.98237546181011615</v>
      </c>
      <c r="X166" s="203">
        <v>0.98393274860927793</v>
      </c>
      <c r="Y166" s="203">
        <v>0.98766999905806274</v>
      </c>
      <c r="Z166" s="203">
        <v>0.99308449328310544</v>
      </c>
      <c r="AB166" s="202">
        <v>0.8</v>
      </c>
      <c r="AC166" s="203">
        <v>0.95752268352260572</v>
      </c>
      <c r="AD166" s="203">
        <v>0.95915730227394147</v>
      </c>
      <c r="AE166" s="203">
        <v>0.96078460537684884</v>
      </c>
      <c r="AF166" s="203">
        <v>0.96292232505759301</v>
      </c>
      <c r="AG166" s="203">
        <v>0.96568072863474852</v>
      </c>
      <c r="AH166" s="203">
        <v>0.96899897065051999</v>
      </c>
      <c r="AI166" s="203">
        <v>0.97227969109218093</v>
      </c>
      <c r="AJ166" s="203">
        <v>0.97379975584305833</v>
      </c>
      <c r="AK166" s="203">
        <v>0.97737353261395099</v>
      </c>
      <c r="AL166" s="203">
        <v>0.98173797774548532</v>
      </c>
    </row>
    <row r="167" spans="4:38" x14ac:dyDescent="0.25">
      <c r="D167" s="202">
        <v>0.80500000000000005</v>
      </c>
      <c r="E167" s="203">
        <v>0.97160782534343959</v>
      </c>
      <c r="F167" s="203">
        <v>0.97578504231648433</v>
      </c>
      <c r="G167" s="203">
        <v>0.97908331544142024</v>
      </c>
      <c r="H167" s="203">
        <v>0.9822320718291131</v>
      </c>
      <c r="I167" s="203">
        <v>0.98512793170103963</v>
      </c>
      <c r="J167" s="203">
        <v>0.98777296750070032</v>
      </c>
      <c r="K167" s="203">
        <v>0.99000480188947737</v>
      </c>
      <c r="L167" s="203">
        <v>0.99099259717238697</v>
      </c>
      <c r="M167" s="203">
        <v>0.99335854636408005</v>
      </c>
      <c r="N167" s="203">
        <v>0.99687006614497686</v>
      </c>
      <c r="P167" s="202">
        <v>0.80500000000000005</v>
      </c>
      <c r="Q167" s="203">
        <v>0.96167267186282213</v>
      </c>
      <c r="R167" s="203">
        <v>0.9649162410009785</v>
      </c>
      <c r="S167" s="203">
        <v>0.968095944645741</v>
      </c>
      <c r="T167" s="203">
        <v>0.97176759214970299</v>
      </c>
      <c r="U167" s="203">
        <v>0.97565431686814541</v>
      </c>
      <c r="V167" s="203">
        <v>0.97951143008665043</v>
      </c>
      <c r="W167" s="203">
        <v>0.98289388583191784</v>
      </c>
      <c r="X167" s="203">
        <v>0.98440856859985015</v>
      </c>
      <c r="Y167" s="203">
        <v>0.98804310883322288</v>
      </c>
      <c r="Z167" s="203">
        <v>0.99330616739597644</v>
      </c>
      <c r="AB167" s="202">
        <v>0.80500000000000005</v>
      </c>
      <c r="AC167" s="203">
        <v>0.95870624620563483</v>
      </c>
      <c r="AD167" s="203">
        <v>0.96030014306851519</v>
      </c>
      <c r="AE167" s="203">
        <v>0.96188586039728097</v>
      </c>
      <c r="AF167" s="203">
        <v>0.96396772915253859</v>
      </c>
      <c r="AG167" s="203">
        <v>0.96665272746292674</v>
      </c>
      <c r="AH167" s="203">
        <v>0.96988146968747013</v>
      </c>
      <c r="AI167" s="203">
        <v>0.97307292847602334</v>
      </c>
      <c r="AJ167" s="203">
        <v>0.97455145944940358</v>
      </c>
      <c r="AK167" s="203">
        <v>0.97802727967479142</v>
      </c>
      <c r="AL167" s="203">
        <v>0.98227167076443545</v>
      </c>
    </row>
    <row r="168" spans="4:38" x14ac:dyDescent="0.25">
      <c r="D168" s="202">
        <v>0.81</v>
      </c>
      <c r="E168" s="203">
        <v>0.97244779548684368</v>
      </c>
      <c r="F168" s="203">
        <v>0.97650704525569576</v>
      </c>
      <c r="G168" s="203">
        <v>0.97971130104457027</v>
      </c>
      <c r="H168" s="203">
        <v>0.98276984813177237</v>
      </c>
      <c r="I168" s="203">
        <v>0.98558244592657285</v>
      </c>
      <c r="J168" s="203">
        <v>0.98815118263924484</v>
      </c>
      <c r="K168" s="203">
        <v>0.99031837973659731</v>
      </c>
      <c r="L168" s="203">
        <v>0.99127745127219258</v>
      </c>
      <c r="M168" s="203">
        <v>0.99357410516165767</v>
      </c>
      <c r="N168" s="203">
        <v>0.99697978913076424</v>
      </c>
      <c r="P168" s="202">
        <v>0.81</v>
      </c>
      <c r="Q168" s="203">
        <v>0.9627687209684157</v>
      </c>
      <c r="R168" s="203">
        <v>0.96592599382418598</v>
      </c>
      <c r="S168" s="203">
        <v>0.96901948042293917</v>
      </c>
      <c r="T168" s="203">
        <v>0.97259039399561731</v>
      </c>
      <c r="U168" s="203">
        <v>0.97636963636199436</v>
      </c>
      <c r="V168" s="203">
        <v>0.98011952129646929</v>
      </c>
      <c r="W168" s="203">
        <v>0.98340757356856556</v>
      </c>
      <c r="X168" s="203">
        <v>0.98487985964123459</v>
      </c>
      <c r="Y168" s="203">
        <v>0.98841220858637779</v>
      </c>
      <c r="Z168" s="203">
        <v>0.9935247178657225</v>
      </c>
      <c r="AB168" s="202">
        <v>0.81</v>
      </c>
      <c r="AC168" s="203">
        <v>0.95988257975594982</v>
      </c>
      <c r="AD168" s="203">
        <v>0.96143573648328506</v>
      </c>
      <c r="AE168" s="203">
        <v>0.96297991278646911</v>
      </c>
      <c r="AF168" s="203">
        <v>0.96500606341925133</v>
      </c>
      <c r="AG168" s="203">
        <v>0.96761790931931768</v>
      </c>
      <c r="AH168" s="203">
        <v>0.97075752897910861</v>
      </c>
      <c r="AI168" s="203">
        <v>0.97386014618123795</v>
      </c>
      <c r="AJ168" s="203">
        <v>0.97529734858822004</v>
      </c>
      <c r="AK168" s="203">
        <v>0.97867571267280618</v>
      </c>
      <c r="AL168" s="203">
        <v>0.98280068373408946</v>
      </c>
    </row>
    <row r="169" spans="4:38" x14ac:dyDescent="0.25">
      <c r="D169" s="202">
        <v>0.81499999999999995</v>
      </c>
      <c r="E169" s="203">
        <v>0.97328085966088351</v>
      </c>
      <c r="F169" s="203">
        <v>0.97722278675465513</v>
      </c>
      <c r="G169" s="203">
        <v>0.98033358934977644</v>
      </c>
      <c r="H169" s="203">
        <v>0.98330249346147691</v>
      </c>
      <c r="I169" s="203">
        <v>0.98603236690045737</v>
      </c>
      <c r="J169" s="203">
        <v>0.98852530842201103</v>
      </c>
      <c r="K169" s="203">
        <v>0.99062830619116682</v>
      </c>
      <c r="L169" s="203">
        <v>0.99155885375007935</v>
      </c>
      <c r="M169" s="203">
        <v>0.99378671787494666</v>
      </c>
      <c r="N169" s="203">
        <v>0.99708749598461732</v>
      </c>
      <c r="P169" s="202">
        <v>0.81499999999999995</v>
      </c>
      <c r="Q169" s="203">
        <v>0.96385787946866364</v>
      </c>
      <c r="R169" s="203">
        <v>0.96692903074929371</v>
      </c>
      <c r="S169" s="203">
        <v>0.96993657124985988</v>
      </c>
      <c r="T169" s="203">
        <v>0.97340713604514806</v>
      </c>
      <c r="U169" s="203">
        <v>0.9770793548410236</v>
      </c>
      <c r="V169" s="203">
        <v>0.98072249894838215</v>
      </c>
      <c r="W169" s="203">
        <v>0.98391659413341481</v>
      </c>
      <c r="X169" s="203">
        <v>0.98534668915093004</v>
      </c>
      <c r="Y169" s="203">
        <v>0.98877736199026212</v>
      </c>
      <c r="Z169" s="203">
        <v>0.99374020348507219</v>
      </c>
      <c r="AB169" s="202">
        <v>0.81499999999999995</v>
      </c>
      <c r="AC169" s="203">
        <v>0.96105177560701049</v>
      </c>
      <c r="AD169" s="203">
        <v>0.96256417496385793</v>
      </c>
      <c r="AE169" s="203">
        <v>0.96406685514785551</v>
      </c>
      <c r="AF169" s="203">
        <v>0.96603741962331169</v>
      </c>
      <c r="AG169" s="203">
        <v>0.96857636370387279</v>
      </c>
      <c r="AH169" s="203">
        <v>0.97162723422106378</v>
      </c>
      <c r="AI169" s="203">
        <v>0.97464142545698962</v>
      </c>
      <c r="AJ169" s="203">
        <v>0.9760375023049731</v>
      </c>
      <c r="AK169" s="203">
        <v>0.97931890527703613</v>
      </c>
      <c r="AL169" s="203">
        <v>0.98332508367676308</v>
      </c>
    </row>
    <row r="170" spans="4:38" x14ac:dyDescent="0.25">
      <c r="D170" s="202">
        <v>0.82</v>
      </c>
      <c r="E170" s="203">
        <v>0.97410711355478297</v>
      </c>
      <c r="F170" s="203">
        <v>0.97793235571128789</v>
      </c>
      <c r="G170" s="203">
        <v>0.98095026301141075</v>
      </c>
      <c r="H170" s="203">
        <v>0.98383008415599815</v>
      </c>
      <c r="I170" s="203">
        <v>0.98647776505964491</v>
      </c>
      <c r="J170" s="203">
        <v>0.98889540996644565</v>
      </c>
      <c r="K170" s="203">
        <v>0.99093464200851678</v>
      </c>
      <c r="L170" s="203">
        <v>0.99183686347162425</v>
      </c>
      <c r="M170" s="203">
        <v>0.9939964388661584</v>
      </c>
      <c r="N170" s="203">
        <v>0.99719323285423334</v>
      </c>
      <c r="P170" s="202">
        <v>0.82</v>
      </c>
      <c r="Q170" s="203">
        <v>0.96494023480956437</v>
      </c>
      <c r="R170" s="203">
        <v>0.9679254382982112</v>
      </c>
      <c r="S170" s="203">
        <v>0.9708473013882134</v>
      </c>
      <c r="T170" s="203">
        <v>0.97421789898390476</v>
      </c>
      <c r="U170" s="203">
        <v>0.9777835486041917</v>
      </c>
      <c r="V170" s="203">
        <v>0.98132043477506814</v>
      </c>
      <c r="W170" s="203">
        <v>0.98442101534264081</v>
      </c>
      <c r="X170" s="203">
        <v>0.98580912327375148</v>
      </c>
      <c r="Y170" s="203">
        <v>0.98913863148824199</v>
      </c>
      <c r="Z170" s="203">
        <v>0.99395268181023311</v>
      </c>
      <c r="AB170" s="202">
        <v>0.82</v>
      </c>
      <c r="AC170" s="203">
        <v>0.96221392352511692</v>
      </c>
      <c r="AD170" s="203">
        <v>0.96368554926931671</v>
      </c>
      <c r="AE170" s="203">
        <v>0.96514677839401053</v>
      </c>
      <c r="AF170" s="203">
        <v>0.96706188785225877</v>
      </c>
      <c r="AG170" s="203">
        <v>0.96952817847634221</v>
      </c>
      <c r="AH170" s="203">
        <v>0.97249066953400953</v>
      </c>
      <c r="AI170" s="203">
        <v>0.97541684605469214</v>
      </c>
      <c r="AJ170" s="203">
        <v>0.9767719981857802</v>
      </c>
      <c r="AK170" s="203">
        <v>0.97995692979072879</v>
      </c>
      <c r="AL170" s="203">
        <v>0.98384493636275194</v>
      </c>
    </row>
    <row r="171" spans="4:38" x14ac:dyDescent="0.25">
      <c r="D171" s="202">
        <v>0.82499999999999996</v>
      </c>
      <c r="E171" s="203">
        <v>0.97492665109989374</v>
      </c>
      <c r="F171" s="203">
        <v>0.97863583937836107</v>
      </c>
      <c r="G171" s="203">
        <v>0.98156140314394802</v>
      </c>
      <c r="H171" s="203">
        <v>0.98435269511932555</v>
      </c>
      <c r="I171" s="203">
        <v>0.98691870950421379</v>
      </c>
      <c r="J171" s="203">
        <v>0.98926155113600589</v>
      </c>
      <c r="K171" s="203">
        <v>0.99123744675129055</v>
      </c>
      <c r="L171" s="203">
        <v>0.99211153813302411</v>
      </c>
      <c r="M171" s="203">
        <v>0.99420332137031708</v>
      </c>
      <c r="N171" s="203">
        <v>0.99729704477584824</v>
      </c>
      <c r="P171" s="202">
        <v>0.82499999999999996</v>
      </c>
      <c r="Q171" s="203">
        <v>0.96601587284933266</v>
      </c>
      <c r="R171" s="203">
        <v>0.96891530141875404</v>
      </c>
      <c r="S171" s="203">
        <v>0.97175175356301413</v>
      </c>
      <c r="T171" s="203">
        <v>0.97502276202112825</v>
      </c>
      <c r="U171" s="203">
        <v>0.97848229254812835</v>
      </c>
      <c r="V171" s="203">
        <v>0.98191339918236209</v>
      </c>
      <c r="W171" s="203">
        <v>0.98492090374667451</v>
      </c>
      <c r="X171" s="203">
        <v>0.98626722691267066</v>
      </c>
      <c r="Y171" s="203">
        <v>0.98949607832413289</v>
      </c>
      <c r="Z171" s="203">
        <v>0.99416220919143494</v>
      </c>
      <c r="AB171" s="202">
        <v>0.82499999999999996</v>
      </c>
      <c r="AC171" s="203">
        <v>0.96336911164965056</v>
      </c>
      <c r="AD171" s="203">
        <v>0.96479994851292106</v>
      </c>
      <c r="AE171" s="203">
        <v>0.96621977178744733</v>
      </c>
      <c r="AF171" s="203">
        <v>0.96807955655611633</v>
      </c>
      <c r="AG171" s="203">
        <v>0.97047343989592483</v>
      </c>
      <c r="AH171" s="203">
        <v>0.97334791750178173</v>
      </c>
      <c r="AI171" s="203">
        <v>0.97618648626428539</v>
      </c>
      <c r="AJ171" s="203">
        <v>0.9775009123927686</v>
      </c>
      <c r="AK171" s="203">
        <v>0.98058985718444669</v>
      </c>
      <c r="AL171" s="203">
        <v>0.98436030634067984</v>
      </c>
    </row>
    <row r="172" spans="4:38" x14ac:dyDescent="0.25">
      <c r="D172" s="202">
        <v>0.83</v>
      </c>
      <c r="E172" s="203">
        <v>0.97573956451182098</v>
      </c>
      <c r="F172" s="203">
        <v>0.97933332340298618</v>
      </c>
      <c r="G172" s="203">
        <v>0.98216708935898533</v>
      </c>
      <c r="H172" s="203">
        <v>0.98487039985616442</v>
      </c>
      <c r="I172" s="203">
        <v>0.98735526802956497</v>
      </c>
      <c r="J172" s="203">
        <v>0.98962379457039729</v>
      </c>
      <c r="K172" s="203">
        <v>0.99153677881827762</v>
      </c>
      <c r="L172" s="203">
        <v>0.99238293428942304</v>
      </c>
      <c r="M172" s="203">
        <v>0.99440741752286632</v>
      </c>
      <c r="N172" s="203">
        <v>0.99739897570342917</v>
      </c>
      <c r="P172" s="202">
        <v>0.83</v>
      </c>
      <c r="Q172" s="203">
        <v>0.96708487789653852</v>
      </c>
      <c r="R172" s="203">
        <v>0.96989870352247798</v>
      </c>
      <c r="S172" s="203">
        <v>0.97265000899954279</v>
      </c>
      <c r="T172" s="203">
        <v>0.97582180292522946</v>
      </c>
      <c r="U172" s="203">
        <v>0.9791756602009094</v>
      </c>
      <c r="V172" s="203">
        <v>0.98250146128121718</v>
      </c>
      <c r="W172" s="203">
        <v>0.98541632466068696</v>
      </c>
      <c r="X172" s="203">
        <v>0.98672106375872615</v>
      </c>
      <c r="Y172" s="203">
        <v>0.98984976257112378</v>
      </c>
      <c r="Z172" s="203">
        <v>0.99436884080256016</v>
      </c>
      <c r="AB172" s="202">
        <v>0.83</v>
      </c>
      <c r="AC172" s="203">
        <v>0.96451742653210493</v>
      </c>
      <c r="AD172" s="203">
        <v>0.96590746020158869</v>
      </c>
      <c r="AE172" s="203">
        <v>0.9672859229802101</v>
      </c>
      <c r="AF172" s="203">
        <v>0.9690905125867022</v>
      </c>
      <c r="AG172" s="203">
        <v>0.97141223265972343</v>
      </c>
      <c r="AH172" s="203">
        <v>0.97419905920834204</v>
      </c>
      <c r="AI172" s="203">
        <v>0.97695042294941947</v>
      </c>
      <c r="AJ172" s="203">
        <v>0.97822431969836965</v>
      </c>
      <c r="AK172" s="203">
        <v>0.98121775712817327</v>
      </c>
      <c r="AL172" s="203">
        <v>0.98487125696693711</v>
      </c>
    </row>
    <row r="173" spans="4:38" x14ac:dyDescent="0.25">
      <c r="D173" s="202">
        <v>0.83499999999999996</v>
      </c>
      <c r="E173" s="203">
        <v>0.97654594433128872</v>
      </c>
      <c r="F173" s="203">
        <v>0.98002489186493902</v>
      </c>
      <c r="G173" s="203">
        <v>0.98276739980115235</v>
      </c>
      <c r="H173" s="203">
        <v>0.98538327050540409</v>
      </c>
      <c r="I173" s="203">
        <v>0.9877875071576514</v>
      </c>
      <c r="J173" s="203">
        <v>0.98998220171490692</v>
      </c>
      <c r="K173" s="203">
        <v>0.99183269547238539</v>
      </c>
      <c r="L173" s="203">
        <v>0.99265110738239848</v>
      </c>
      <c r="M173" s="203">
        <v>0.99460877838645256</v>
      </c>
      <c r="N173" s="203">
        <v>0.99749906853699777</v>
      </c>
      <c r="P173" s="202">
        <v>0.83499999999999996</v>
      </c>
      <c r="Q173" s="203">
        <v>0.96814733274711007</v>
      </c>
      <c r="R173" s="203">
        <v>0.97087572652138321</v>
      </c>
      <c r="S173" s="203">
        <v>0.97354214745920553</v>
      </c>
      <c r="T173" s="203">
        <v>0.9766150980582653</v>
      </c>
      <c r="U173" s="203">
        <v>0.97986372375481978</v>
      </c>
      <c r="V173" s="203">
        <v>0.9830846889187066</v>
      </c>
      <c r="W173" s="203">
        <v>0.98590734219416309</v>
      </c>
      <c r="X173" s="203">
        <v>0.98717069632003762</v>
      </c>
      <c r="Y173" s="203">
        <v>0.99019974315983317</v>
      </c>
      <c r="Z173" s="203">
        <v>0.99457263066989621</v>
      </c>
      <c r="AB173" s="202">
        <v>0.83499999999999996</v>
      </c>
      <c r="AC173" s="203">
        <v>0.96565895317395245</v>
      </c>
      <c r="AD173" s="203">
        <v>0.96700817027419861</v>
      </c>
      <c r="AE173" s="203">
        <v>0.96834531805228352</v>
      </c>
      <c r="AF173" s="203">
        <v>0.97009484123576339</v>
      </c>
      <c r="AG173" s="203">
        <v>0.97234463994005427</v>
      </c>
      <c r="AH173" s="203">
        <v>0.97504417427364032</v>
      </c>
      <c r="AI173" s="203">
        <v>0.97770873158158589</v>
      </c>
      <c r="AJ173" s="203">
        <v>0.97894229351858297</v>
      </c>
      <c r="AK173" s="203">
        <v>0.98184069802246066</v>
      </c>
      <c r="AL173" s="203">
        <v>0.98537785043423187</v>
      </c>
    </row>
    <row r="174" spans="4:38" x14ac:dyDescent="0.25">
      <c r="D174" s="202">
        <v>0.84</v>
      </c>
      <c r="E174" s="203">
        <v>0.97734587946379903</v>
      </c>
      <c r="F174" s="203">
        <v>0.98071062731384029</v>
      </c>
      <c r="G174" s="203">
        <v>0.98336241118295742</v>
      </c>
      <c r="H174" s="203">
        <v>0.98589137787258918</v>
      </c>
      <c r="I174" s="203">
        <v>0.98821549216728211</v>
      </c>
      <c r="J174" s="203">
        <v>0.99033683284886731</v>
      </c>
      <c r="K174" s="203">
        <v>0.99212525286778319</v>
      </c>
      <c r="L174" s="203">
        <v>0.99291611176663175</v>
      </c>
      <c r="M174" s="203">
        <v>0.99480745397692172</v>
      </c>
      <c r="N174" s="203">
        <v>0.99759736515011077</v>
      </c>
      <c r="P174" s="202">
        <v>0.84</v>
      </c>
      <c r="Q174" s="203">
        <v>0.96920331872023557</v>
      </c>
      <c r="R174" s="203">
        <v>0.97184645086352506</v>
      </c>
      <c r="S174" s="203">
        <v>0.97442824727432287</v>
      </c>
      <c r="T174" s="203">
        <v>0.97740272240938875</v>
      </c>
      <c r="U174" s="203">
        <v>0.98054655409814051</v>
      </c>
      <c r="V174" s="203">
        <v>0.98366314870810267</v>
      </c>
      <c r="W174" s="203">
        <v>0.98639401927959258</v>
      </c>
      <c r="X174" s="203">
        <v>0.98761618594995615</v>
      </c>
      <c r="Y174" s="203">
        <v>0.99054607790553439</v>
      </c>
      <c r="Z174" s="203">
        <v>0.99477363170004152</v>
      </c>
      <c r="AB174" s="202">
        <v>0.84</v>
      </c>
      <c r="AC174" s="203">
        <v>0.9667937750633917</v>
      </c>
      <c r="AD174" s="203">
        <v>0.96810216313876052</v>
      </c>
      <c r="AE174" s="203">
        <v>0.96939804154886167</v>
      </c>
      <c r="AF174" s="203">
        <v>0.97109262627198101</v>
      </c>
      <c r="AG174" s="203">
        <v>0.97327074342064357</v>
      </c>
      <c r="AH174" s="203">
        <v>0.975883340888408</v>
      </c>
      <c r="AI174" s="203">
        <v>0.97846148627323215</v>
      </c>
      <c r="AJ174" s="203">
        <v>0.97965490594525151</v>
      </c>
      <c r="AK174" s="203">
        <v>0.98245874702864699</v>
      </c>
      <c r="AL174" s="203">
        <v>0.98588014779929412</v>
      </c>
    </row>
    <row r="175" spans="4:38" x14ac:dyDescent="0.25">
      <c r="D175" s="202">
        <v>0.84499999999999997</v>
      </c>
      <c r="E175" s="203">
        <v>0.97813945721811735</v>
      </c>
      <c r="F175" s="203">
        <v>0.98139061080524215</v>
      </c>
      <c r="G175" s="203">
        <v>0.98395219881860041</v>
      </c>
      <c r="H175" s="203">
        <v>0.98639479146143128</v>
      </c>
      <c r="I175" s="203">
        <v>0.98863928712352889</v>
      </c>
      <c r="J175" s="203">
        <v>0.99068774711327867</v>
      </c>
      <c r="K175" s="203">
        <v>0.99241450607624671</v>
      </c>
      <c r="L175" s="203">
        <v>0.99317800073579643</v>
      </c>
      <c r="M175" s="203">
        <v>0.99500349328855042</v>
      </c>
      <c r="N175" s="203">
        <v>0.99769390641652578</v>
      </c>
      <c r="P175" s="202">
        <v>0.84499999999999997</v>
      </c>
      <c r="Q175" s="203">
        <v>0.97025291569320959</v>
      </c>
      <c r="R175" s="203">
        <v>0.97281095556757902</v>
      </c>
      <c r="S175" s="203">
        <v>0.97530838538189557</v>
      </c>
      <c r="T175" s="203">
        <v>0.97818474962730795</v>
      </c>
      <c r="U175" s="203">
        <v>0.98122422084599303</v>
      </c>
      <c r="V175" s="203">
        <v>0.98423690605806657</v>
      </c>
      <c r="W175" s="203">
        <v>0.98687641770031365</v>
      </c>
      <c r="X175" s="203">
        <v>0.98805759287438266</v>
      </c>
      <c r="Y175" s="203">
        <v>0.99088882353457608</v>
      </c>
      <c r="Z175" s="203">
        <v>0.99497189570699107</v>
      </c>
      <c r="AB175" s="202">
        <v>0.84499999999999997</v>
      </c>
      <c r="AC175" s="203">
        <v>0.96792197421100945</v>
      </c>
      <c r="AD175" s="203">
        <v>0.96918952170848716</v>
      </c>
      <c r="AE175" s="203">
        <v>0.97044417651652226</v>
      </c>
      <c r="AF175" s="203">
        <v>0.97208394997688441</v>
      </c>
      <c r="AG175" s="203">
        <v>0.9741906233317621</v>
      </c>
      <c r="AH175" s="203">
        <v>0.97671663584792334</v>
      </c>
      <c r="AI175" s="203">
        <v>0.97920875980989774</v>
      </c>
      <c r="AJ175" s="203">
        <v>0.98036222777738047</v>
      </c>
      <c r="AK175" s="203">
        <v>0.98307197009817859</v>
      </c>
      <c r="AL175" s="203">
        <v>0.98637820900975615</v>
      </c>
    </row>
    <row r="176" spans="4:38" x14ac:dyDescent="0.25">
      <c r="D176" s="202">
        <v>0.85</v>
      </c>
      <c r="E176" s="203">
        <v>0.97892676334363493</v>
      </c>
      <c r="F176" s="203">
        <v>0.98206492193565387</v>
      </c>
      <c r="G176" s="203">
        <v>0.98453683665679514</v>
      </c>
      <c r="H176" s="203">
        <v>0.98689357950439638</v>
      </c>
      <c r="I176" s="203">
        <v>0.98905895490626972</v>
      </c>
      <c r="J176" s="203">
        <v>0.99103500253762167</v>
      </c>
      <c r="K176" s="203">
        <v>0.992700509112731</v>
      </c>
      <c r="L176" s="203">
        <v>0.9934368265476845</v>
      </c>
      <c r="M176" s="203">
        <v>0.99519694431854433</v>
      </c>
      <c r="N176" s="203">
        <v>0.99778873223608811</v>
      </c>
      <c r="P176" s="202">
        <v>0.85</v>
      </c>
      <c r="Q176" s="203">
        <v>0.97129620213525247</v>
      </c>
      <c r="R176" s="203">
        <v>0.97376931825638369</v>
      </c>
      <c r="S176" s="203">
        <v>0.97618263735637334</v>
      </c>
      <c r="T176" s="203">
        <v>0.9789612520517923</v>
      </c>
      <c r="U176" s="203">
        <v>0.98189679237027983</v>
      </c>
      <c r="V176" s="203">
        <v>0.98480602520097615</v>
      </c>
      <c r="W176" s="203">
        <v>0.9873545981175349</v>
      </c>
      <c r="X176" s="203">
        <v>0.98849497621828208</v>
      </c>
      <c r="Y176" s="203">
        <v>0.9912280357100276</v>
      </c>
      <c r="Z176" s="203">
        <v>0.99516747343843581</v>
      </c>
      <c r="AB176" s="202">
        <v>0.85</v>
      </c>
      <c r="AC176" s="203">
        <v>0.96904363118439829</v>
      </c>
      <c r="AD176" s="203">
        <v>0.97027032743681141</v>
      </c>
      <c r="AE176" s="203">
        <v>0.97148380453833383</v>
      </c>
      <c r="AF176" s="203">
        <v>0.97306889317970979</v>
      </c>
      <c r="AG176" s="203">
        <v>0.97510435848432386</v>
      </c>
      <c r="AH176" s="203">
        <v>0.97754413458478617</v>
      </c>
      <c r="AI176" s="203">
        <v>0.97995062368140273</v>
      </c>
      <c r="AJ176" s="203">
        <v>0.98106432855153658</v>
      </c>
      <c r="AK176" s="203">
        <v>0.98368043200107169</v>
      </c>
      <c r="AL176" s="203">
        <v>0.98687209293024358</v>
      </c>
    </row>
    <row r="177" spans="4:38" x14ac:dyDescent="0.25">
      <c r="D177" s="202">
        <v>0.85499999999999998</v>
      </c>
      <c r="E177" s="203">
        <v>0.9797078820666415</v>
      </c>
      <c r="F177" s="203">
        <v>0.98273363887654541</v>
      </c>
      <c r="G177" s="203">
        <v>0.98511639731263245</v>
      </c>
      <c r="H177" s="203">
        <v>0.98738780899239564</v>
      </c>
      <c r="I177" s="203">
        <v>0.98947455723790023</v>
      </c>
      <c r="J177" s="203">
        <v>0.99137865606588838</v>
      </c>
      <c r="K177" s="203">
        <v>0.99298331496019843</v>
      </c>
      <c r="L177" s="203">
        <v>0.9936926404486105</v>
      </c>
      <c r="M177" s="203">
        <v>0.99538785409082586</v>
      </c>
      <c r="N177" s="203">
        <v>0.99788188155985347</v>
      </c>
      <c r="P177" s="202">
        <v>0.85499999999999998</v>
      </c>
      <c r="Q177" s="203">
        <v>0.9723332551403483</v>
      </c>
      <c r="R177" s="203">
        <v>0.97472161518951317</v>
      </c>
      <c r="S177" s="203">
        <v>0.97705107744147079</v>
      </c>
      <c r="T177" s="203">
        <v>0.9797323007442561</v>
      </c>
      <c r="U177" s="203">
        <v>0.98256433582874503</v>
      </c>
      <c r="V177" s="203">
        <v>0.98537056922042798</v>
      </c>
      <c r="W177" s="203">
        <v>0.9878286200965688</v>
      </c>
      <c r="X177" s="203">
        <v>0.98892839403142185</v>
      </c>
      <c r="Y177" s="203">
        <v>0.99156376905657617</v>
      </c>
      <c r="Z177" s="203">
        <v>0.99536041460129887</v>
      </c>
      <c r="AB177" s="202">
        <v>0.85499999999999998</v>
      </c>
      <c r="AC177" s="203">
        <v>0.97015882514176732</v>
      </c>
      <c r="AD177" s="203">
        <v>0.97134466035138478</v>
      </c>
      <c r="AE177" s="203">
        <v>0.97251700576794797</v>
      </c>
      <c r="AF177" s="203">
        <v>0.97404753529124632</v>
      </c>
      <c r="AG177" s="203">
        <v>0.97601202630299067</v>
      </c>
      <c r="AH177" s="203">
        <v>0.97836591120073435</v>
      </c>
      <c r="AI177" s="203">
        <v>0.98068714811212765</v>
      </c>
      <c r="AJ177" s="203">
        <v>0.98176127657135537</v>
      </c>
      <c r="AK177" s="203">
        <v>0.98428419635353614</v>
      </c>
      <c r="AL177" s="203">
        <v>0.98736185736770188</v>
      </c>
    </row>
    <row r="178" spans="4:38" x14ac:dyDescent="0.25">
      <c r="D178" s="202">
        <v>0.86</v>
      </c>
      <c r="E178" s="203">
        <v>0.98048289612554762</v>
      </c>
      <c r="F178" s="203">
        <v>0.98339683840736514</v>
      </c>
      <c r="G178" s="203">
        <v>0.98569095209851743</v>
      </c>
      <c r="H178" s="203">
        <v>0.98787754570361874</v>
      </c>
      <c r="I178" s="203">
        <v>0.98988615471023811</v>
      </c>
      <c r="J178" s="203">
        <v>0.99171876358185884</v>
      </c>
      <c r="K178" s="203">
        <v>0.99326297559372989</v>
      </c>
      <c r="L178" s="203">
        <v>0.9939454926971012</v>
      </c>
      <c r="M178" s="203">
        <v>0.99557626867913629</v>
      </c>
      <c r="N178" s="203">
        <v>0.99797339241448346</v>
      </c>
      <c r="P178" s="202">
        <v>0.86</v>
      </c>
      <c r="Q178" s="203">
        <v>0.9733641504591285</v>
      </c>
      <c r="R178" s="203">
        <v>0.97566792129489677</v>
      </c>
      <c r="S178" s="203">
        <v>0.9779137785810561</v>
      </c>
      <c r="T178" s="203">
        <v>0.98049796551745527</v>
      </c>
      <c r="U178" s="203">
        <v>0.983226917193192</v>
      </c>
      <c r="V178" s="203">
        <v>0.98593060007793576</v>
      </c>
      <c r="W178" s="203">
        <v>0.98829854213230151</v>
      </c>
      <c r="X178" s="203">
        <v>0.98935790331336226</v>
      </c>
      <c r="Y178" s="203">
        <v>0.9918960771847023</v>
      </c>
      <c r="Z178" s="203">
        <v>0.99555076788653762</v>
      </c>
      <c r="AB178" s="202">
        <v>0.86</v>
      </c>
      <c r="AC178" s="203">
        <v>0.97126763386457893</v>
      </c>
      <c r="AD178" s="203">
        <v>0.97241259908708677</v>
      </c>
      <c r="AE178" s="203">
        <v>0.97354385896270001</v>
      </c>
      <c r="AF178" s="203">
        <v>0.97501995433669786</v>
      </c>
      <c r="AG178" s="203">
        <v>0.97691370285831813</v>
      </c>
      <c r="AH178" s="203">
        <v>0.97918203849753371</v>
      </c>
      <c r="AI178" s="203">
        <v>0.98141840209040787</v>
      </c>
      <c r="AJ178" s="203">
        <v>0.98245313893619257</v>
      </c>
      <c r="AK178" s="203">
        <v>0.9848833256448003</v>
      </c>
      <c r="AL178" s="203">
        <v>0.98784755909598632</v>
      </c>
    </row>
    <row r="179" spans="4:38" x14ac:dyDescent="0.25">
      <c r="D179" s="202">
        <v>0.86499999999999999</v>
      </c>
      <c r="E179" s="203">
        <v>0.9812518868050949</v>
      </c>
      <c r="F179" s="203">
        <v>0.98405459594760769</v>
      </c>
      <c r="G179" s="203">
        <v>0.98626057105421672</v>
      </c>
      <c r="H179" s="203">
        <v>0.98836285423152948</v>
      </c>
      <c r="I179" s="203">
        <v>0.99029380681065415</v>
      </c>
      <c r="J179" s="203">
        <v>0.99205537993364812</v>
      </c>
      <c r="K179" s="203">
        <v>0.99353954200394134</v>
      </c>
      <c r="L179" s="203">
        <v>0.99419543258691145</v>
      </c>
      <c r="M179" s="203">
        <v>0.99576223322947754</v>
      </c>
      <c r="N179" s="203">
        <v>0.99806330192593362</v>
      </c>
      <c r="P179" s="202">
        <v>0.86499999999999999</v>
      </c>
      <c r="Q179" s="203">
        <v>0.97438896252983631</v>
      </c>
      <c r="R179" s="203">
        <v>0.97660831019953298</v>
      </c>
      <c r="S179" s="203">
        <v>0.97877081244915065</v>
      </c>
      <c r="T179" s="203">
        <v>0.98125831496432248</v>
      </c>
      <c r="U179" s="203">
        <v>0.98388460127688315</v>
      </c>
      <c r="V179" s="203">
        <v>0.98648617863885957</v>
      </c>
      <c r="W179" s="203">
        <v>0.98876442167392598</v>
      </c>
      <c r="X179" s="203">
        <v>0.98978356003772716</v>
      </c>
      <c r="Y179" s="203">
        <v>0.9922250127141572</v>
      </c>
      <c r="Z179" s="203">
        <v>0.99573858099323664</v>
      </c>
      <c r="AB179" s="202">
        <v>0.86499999999999999</v>
      </c>
      <c r="AC179" s="203">
        <v>0.97237013378924531</v>
      </c>
      <c r="AD179" s="203">
        <v>0.97347422091808988</v>
      </c>
      <c r="AE179" s="203">
        <v>0.97456444151575805</v>
      </c>
      <c r="AF179" s="203">
        <v>0.97598622698760173</v>
      </c>
      <c r="AG179" s="203">
        <v>0.97780946289797199</v>
      </c>
      <c r="AH179" s="203">
        <v>0.97999258800698119</v>
      </c>
      <c r="AI179" s="203">
        <v>0.98214445339708556</v>
      </c>
      <c r="AJ179" s="203">
        <v>0.98313998156894578</v>
      </c>
      <c r="AK179" s="203">
        <v>0.98547788126315683</v>
      </c>
      <c r="AL179" s="203">
        <v>0.98832925387973936</v>
      </c>
    </row>
    <row r="180" spans="4:38" x14ac:dyDescent="0.25">
      <c r="D180" s="202">
        <v>0.87</v>
      </c>
      <c r="E180" s="203">
        <v>0.98201493396958495</v>
      </c>
      <c r="F180" s="203">
        <v>0.98470698558795822</v>
      </c>
      <c r="G180" s="203">
        <v>0.98682532297603942</v>
      </c>
      <c r="H180" s="203">
        <v>0.98884379801206279</v>
      </c>
      <c r="I180" s="203">
        <v>0.99069757194745334</v>
      </c>
      <c r="J180" s="203">
        <v>0.99238855895755251</v>
      </c>
      <c r="K180" s="203">
        <v>0.99381306421973237</v>
      </c>
      <c r="L180" s="203">
        <v>0.99444250846938043</v>
      </c>
      <c r="M180" s="203">
        <v>0.99594579198191469</v>
      </c>
      <c r="N180" s="203">
        <v>0.99815164634245801</v>
      </c>
      <c r="P180" s="202">
        <v>0.87</v>
      </c>
      <c r="Q180" s="203">
        <v>0.9754077645084045</v>
      </c>
      <c r="R180" s="203">
        <v>0.97754285425931819</v>
      </c>
      <c r="S180" s="203">
        <v>0.97962224947906584</v>
      </c>
      <c r="T180" s="203">
        <v>0.98201341648597806</v>
      </c>
      <c r="U180" s="203">
        <v>0.98453745176115481</v>
      </c>
      <c r="V180" s="203">
        <v>0.98703736469758718</v>
      </c>
      <c r="W180" s="203">
        <v>0.98922631514896564</v>
      </c>
      <c r="X180" s="203">
        <v>0.99020541917577243</v>
      </c>
      <c r="Y180" s="203">
        <v>0.99255062729676924</v>
      </c>
      <c r="Z180" s="203">
        <v>0.99592390065201353</v>
      </c>
      <c r="AB180" s="202">
        <v>0.87</v>
      </c>
      <c r="AC180" s="203">
        <v>0.97346640003792018</v>
      </c>
      <c r="AD180" s="203">
        <v>0.97452960178900305</v>
      </c>
      <c r="AE180" s="203">
        <v>0.9755788294873492</v>
      </c>
      <c r="AF180" s="203">
        <v>0.97694642859282887</v>
      </c>
      <c r="AG180" s="203">
        <v>0.97869937987705202</v>
      </c>
      <c r="AH180" s="203">
        <v>0.98079763002004139</v>
      </c>
      <c r="AI180" s="203">
        <v>0.98286536863323393</v>
      </c>
      <c r="AJ180" s="203">
        <v>0.9838218692430768</v>
      </c>
      <c r="AK180" s="203">
        <v>0.98606792352125994</v>
      </c>
      <c r="AL180" s="203">
        <v>0.98880699649758397</v>
      </c>
    </row>
    <row r="181" spans="4:38" x14ac:dyDescent="0.25">
      <c r="D181" s="202">
        <v>0.875</v>
      </c>
      <c r="E181" s="203">
        <v>0.98277211609516613</v>
      </c>
      <c r="F181" s="203">
        <v>0.98535408012055403</v>
      </c>
      <c r="G181" s="203">
        <v>0.98738527544518928</v>
      </c>
      <c r="H181" s="203">
        <v>0.98932043935004343</v>
      </c>
      <c r="I181" s="203">
        <v>0.99109750747452907</v>
      </c>
      <c r="J181" s="203">
        <v>0.99271835350121429</v>
      </c>
      <c r="K181" s="203">
        <v>0.9940835913303856</v>
      </c>
      <c r="L181" s="203">
        <v>0.99468676777515397</v>
      </c>
      <c r="M181" s="203">
        <v>0.99612698829176083</v>
      </c>
      <c r="N181" s="203">
        <v>0.99823846105695391</v>
      </c>
      <c r="P181" s="202">
        <v>0.875</v>
      </c>
      <c r="Q181" s="203">
        <v>0.97642062829767651</v>
      </c>
      <c r="R181" s="203">
        <v>0.97847162458802694</v>
      </c>
      <c r="S181" s="203">
        <v>0.98046815889170824</v>
      </c>
      <c r="T181" s="203">
        <v>0.98276333631893609</v>
      </c>
      <c r="U181" s="203">
        <v>0.98518553122126828</v>
      </c>
      <c r="V181" s="203">
        <v>0.98758421700199683</v>
      </c>
      <c r="W181" s="203">
        <v>0.9896842779866083</v>
      </c>
      <c r="X181" s="203">
        <v>0.99062353471928699</v>
      </c>
      <c r="Y181" s="203">
        <v>0.99287297163859967</v>
      </c>
      <c r="Z181" s="203">
        <v>0.99610677264776493</v>
      </c>
      <c r="AB181" s="202">
        <v>0.875</v>
      </c>
      <c r="AC181" s="203">
        <v>0.97455650644841085</v>
      </c>
      <c r="AD181" s="203">
        <v>0.97557881634513088</v>
      </c>
      <c r="AE181" s="203">
        <v>0.97658709763510199</v>
      </c>
      <c r="AF181" s="203">
        <v>0.97790063320870557</v>
      </c>
      <c r="AG181" s="203">
        <v>0.97958352598755061</v>
      </c>
      <c r="AH181" s="203">
        <v>0.98159723361515505</v>
      </c>
      <c r="AI181" s="203">
        <v>0.98358121324709447</v>
      </c>
      <c r="AJ181" s="203">
        <v>0.98449886560886202</v>
      </c>
      <c r="AK181" s="203">
        <v>0.98665351168070103</v>
      </c>
      <c r="AL181" s="203">
        <v>0.98928084076464995</v>
      </c>
    </row>
    <row r="182" spans="4:38" x14ac:dyDescent="0.25">
      <c r="D182" s="202">
        <v>0.88</v>
      </c>
      <c r="E182" s="203">
        <v>0.98352351030120322</v>
      </c>
      <c r="F182" s="203">
        <v>0.98599595106838522</v>
      </c>
      <c r="G182" s="203">
        <v>0.98794049485531166</v>
      </c>
      <c r="H182" s="203">
        <v>0.98979283944485508</v>
      </c>
      <c r="I182" s="203">
        <v>0.99149366971532304</v>
      </c>
      <c r="J182" s="203">
        <v>0.99304481544613243</v>
      </c>
      <c r="K182" s="203">
        <v>0.99435117150704522</v>
      </c>
      <c r="L182" s="203">
        <v>0.99492825703529131</v>
      </c>
      <c r="M182" s="203">
        <v>0.99630586465016857</v>
      </c>
      <c r="N182" s="203">
        <v>0.99832378062866778</v>
      </c>
      <c r="P182" s="202">
        <v>0.88</v>
      </c>
      <c r="Q182" s="203">
        <v>0.97742762457579802</v>
      </c>
      <c r="R182" s="203">
        <v>0.97939469108547039</v>
      </c>
      <c r="S182" s="203">
        <v>0.98130860872308312</v>
      </c>
      <c r="T182" s="203">
        <v>0.98350813956154293</v>
      </c>
      <c r="U182" s="203">
        <v>0.98582890115152666</v>
      </c>
      <c r="V182" s="203">
        <v>0.98812679327722497</v>
      </c>
      <c r="W182" s="203">
        <v>0.99013836464038107</v>
      </c>
      <c r="X182" s="203">
        <v>0.99103795970283892</v>
      </c>
      <c r="Y182" s="203">
        <v>0.99319209552147003</v>
      </c>
      <c r="Z182" s="203">
        <v>0.99628724184177231</v>
      </c>
      <c r="AB182" s="202">
        <v>0.88</v>
      </c>
      <c r="AC182" s="203">
        <v>0.9756405256032481</v>
      </c>
      <c r="AD182" s="203">
        <v>0.9766219379618748</v>
      </c>
      <c r="AE182" s="203">
        <v>0.97758931944352379</v>
      </c>
      <c r="AF182" s="203">
        <v>0.97884891362827764</v>
      </c>
      <c r="AG182" s="203">
        <v>0.98046197218697406</v>
      </c>
      <c r="AH182" s="203">
        <v>0.98239146668574306</v>
      </c>
      <c r="AI182" s="203">
        <v>0.98429205156024602</v>
      </c>
      <c r="AJ182" s="203">
        <v>0.98517103321889532</v>
      </c>
      <c r="AK182" s="203">
        <v>0.98723470397588109</v>
      </c>
      <c r="AL182" s="203">
        <v>0.98975083955446308</v>
      </c>
    </row>
    <row r="183" spans="4:38" x14ac:dyDescent="0.25">
      <c r="D183" s="202">
        <v>0.88500000000000001</v>
      </c>
      <c r="E183" s="203">
        <v>0.98426919238076793</v>
      </c>
      <c r="F183" s="203">
        <v>0.98663266871386768</v>
      </c>
      <c r="G183" s="203">
        <v>0.98849104643926267</v>
      </c>
      <c r="H183" s="203">
        <v>0.99026105841538659</v>
      </c>
      <c r="I183" s="203">
        <v>0.99188611398610715</v>
      </c>
      <c r="J183" s="203">
        <v>0.99336799572953849</v>
      </c>
      <c r="K183" s="203">
        <v>0.99461585202358982</v>
      </c>
      <c r="L183" s="203">
        <v>0.99516702190178508</v>
      </c>
      <c r="M183" s="203">
        <v>0.99648246270414209</v>
      </c>
      <c r="N183" s="203">
        <v>0.99840763880428662</v>
      </c>
      <c r="P183" s="202">
        <v>0.88500000000000001</v>
      </c>
      <c r="Q183" s="203">
        <v>0.97842882282381116</v>
      </c>
      <c r="R183" s="203">
        <v>0.98031212246485988</v>
      </c>
      <c r="S183" s="203">
        <v>0.9821436658510202</v>
      </c>
      <c r="T183" s="203">
        <v>0.98424789019966374</v>
      </c>
      <c r="U183" s="203">
        <v>0.98646762198968474</v>
      </c>
      <c r="V183" s="203">
        <v>0.98866515024875967</v>
      </c>
      <c r="W183" s="203">
        <v>0.99058862861018249</v>
      </c>
      <c r="X183" s="203">
        <v>0.99144874622539525</v>
      </c>
      <c r="Y183" s="203">
        <v>0.99350804782388502</v>
      </c>
      <c r="Z183" s="203">
        <v>0.99646535219318888</v>
      </c>
      <c r="AB183" s="202">
        <v>0.88500000000000001</v>
      </c>
      <c r="AC183" s="203">
        <v>0.9767185288579322</v>
      </c>
      <c r="AD183" s="203">
        <v>0.97765903877330851</v>
      </c>
      <c r="AE183" s="203">
        <v>0.97858556715265366</v>
      </c>
      <c r="AF183" s="203">
        <v>0.97979134140975399</v>
      </c>
      <c r="AG183" s="203">
        <v>0.98133478822615927</v>
      </c>
      <c r="AH183" s="203">
        <v>0.98318039596693241</v>
      </c>
      <c r="AI183" s="203">
        <v>0.98499794679303665</v>
      </c>
      <c r="AJ183" s="203">
        <v>0.98583843355287315</v>
      </c>
      <c r="AK183" s="203">
        <v>0.98781155763721495</v>
      </c>
      <c r="AL183" s="203">
        <v>0.99021704482021367</v>
      </c>
    </row>
    <row r="184" spans="4:38" x14ac:dyDescent="0.25">
      <c r="D184" s="202">
        <v>0.89</v>
      </c>
      <c r="E184" s="203">
        <v>0.98500923683027475</v>
      </c>
      <c r="F184" s="203">
        <v>0.98726430212661542</v>
      </c>
      <c r="G184" s="203">
        <v>0.98903699429512959</v>
      </c>
      <c r="H184" s="203">
        <v>0.99072515532427763</v>
      </c>
      <c r="I184" s="203">
        <v>0.99227489461861262</v>
      </c>
      <c r="J184" s="203">
        <v>0.99368794436566044</v>
      </c>
      <c r="K184" s="203">
        <v>0.99487767927692228</v>
      </c>
      <c r="L184" s="203">
        <v>0.99540310716750391</v>
      </c>
      <c r="M184" s="203">
        <v>0.99665682327599669</v>
      </c>
      <c r="N184" s="203">
        <v>0.99849006853842981</v>
      </c>
      <c r="P184" s="202">
        <v>0.89</v>
      </c>
      <c r="Q184" s="203">
        <v>0.97942429135247278</v>
      </c>
      <c r="R184" s="203">
        <v>0.98122398627940488</v>
      </c>
      <c r="S184" s="203">
        <v>0.9829733960211493</v>
      </c>
      <c r="T184" s="203">
        <v>0.98498265113165162</v>
      </c>
      <c r="U184" s="203">
        <v>0.98710175314066873</v>
      </c>
      <c r="V184" s="203">
        <v>0.98919934366488804</v>
      </c>
      <c r="W184" s="203">
        <v>0.99103512246369541</v>
      </c>
      <c r="X184" s="203">
        <v>0.99185594547133626</v>
      </c>
      <c r="Y184" s="203">
        <v>0.99382087654136864</v>
      </c>
      <c r="Z184" s="203">
        <v>0.99664114677993054</v>
      </c>
      <c r="AB184" s="202">
        <v>0.89</v>
      </c>
      <c r="AC184" s="203">
        <v>0.97779058636839544</v>
      </c>
      <c r="AD184" s="203">
        <v>0.97869018969995347</v>
      </c>
      <c r="AE184" s="203">
        <v>0.97957591178591041</v>
      </c>
      <c r="AF184" s="203">
        <v>0.9807279869041523</v>
      </c>
      <c r="AG184" s="203">
        <v>0.98220204267631173</v>
      </c>
      <c r="AH184" s="203">
        <v>0.98396408706153515</v>
      </c>
      <c r="AI184" s="203">
        <v>0.98569896108929878</v>
      </c>
      <c r="AJ184" s="203">
        <v>0.98650112704167936</v>
      </c>
      <c r="AK184" s="203">
        <v>0.98838412891367633</v>
      </c>
      <c r="AL184" s="203">
        <v>0.99067950761542811</v>
      </c>
    </row>
    <row r="185" spans="4:38" x14ac:dyDescent="0.25">
      <c r="D185" s="202">
        <v>0.89500000000000002</v>
      </c>
      <c r="E185" s="203">
        <v>0.98574371687829354</v>
      </c>
      <c r="F185" s="203">
        <v>0.98789091919044103</v>
      </c>
      <c r="G185" s="203">
        <v>0.98957840141152364</v>
      </c>
      <c r="H185" s="203">
        <v>0.99118518820148971</v>
      </c>
      <c r="I185" s="203">
        <v>0.99266006498202997</v>
      </c>
      <c r="J185" s="203">
        <v>0.9940047104663966</v>
      </c>
      <c r="K185" s="203">
        <v>0.99513669880669875</v>
      </c>
      <c r="L185" s="203">
        <v>0.99563655678558394</v>
      </c>
      <c r="M185" s="203">
        <v>0.99682898638227579</v>
      </c>
      <c r="N185" s="203">
        <v>0.99857110201356714</v>
      </c>
      <c r="P185" s="202">
        <v>0.89500000000000002</v>
      </c>
      <c r="Q185" s="203">
        <v>0.98041409732832763</v>
      </c>
      <c r="R185" s="203">
        <v>0.98213034894816764</v>
      </c>
      <c r="S185" s="203">
        <v>0.98379786387215429</v>
      </c>
      <c r="T185" s="203">
        <v>0.98571248419261737</v>
      </c>
      <c r="U185" s="203">
        <v>0.9877313529996361</v>
      </c>
      <c r="V185" s="203">
        <v>0.98972942831851485</v>
      </c>
      <c r="W185" s="203">
        <v>0.99147789785720386</v>
      </c>
      <c r="X185" s="203">
        <v>0.9922596077308804</v>
      </c>
      <c r="Y185" s="203">
        <v>0.99413062880623382</v>
      </c>
      <c r="Z185" s="203">
        <v>0.99681466781898931</v>
      </c>
      <c r="AB185" s="202">
        <v>0.89500000000000002</v>
      </c>
      <c r="AC185" s="203">
        <v>0.97885676711769554</v>
      </c>
      <c r="AD185" s="203">
        <v>0.97971546047577995</v>
      </c>
      <c r="AE185" s="203">
        <v>0.98056042317716763</v>
      </c>
      <c r="AF185" s="203">
        <v>0.98165891928217386</v>
      </c>
      <c r="AG185" s="203">
        <v>0.98306380295528628</v>
      </c>
      <c r="AH185" s="203">
        <v>0.98474260446530026</v>
      </c>
      <c r="AI185" s="203">
        <v>0.98639515554037749</v>
      </c>
      <c r="AJ185" s="203">
        <v>0.98715917309080103</v>
      </c>
      <c r="AK185" s="203">
        <v>0.98895247309471701</v>
      </c>
      <c r="AL185" s="203">
        <v>0.9911382781140623</v>
      </c>
    </row>
    <row r="186" spans="4:38" x14ac:dyDescent="0.25">
      <c r="D186" s="202">
        <v>0.9</v>
      </c>
      <c r="E186" s="203">
        <v>0.9864727045135635</v>
      </c>
      <c r="F186" s="203">
        <v>0.98851258662960551</v>
      </c>
      <c r="G186" s="203">
        <v>0.99011532969217309</v>
      </c>
      <c r="H186" s="203">
        <v>0.99164121406722083</v>
      </c>
      <c r="I186" s="203">
        <v>0.99304167750439798</v>
      </c>
      <c r="J186" s="203">
        <v>0.9943183422614148</v>
      </c>
      <c r="K186" s="203">
        <v>0.99539295531450933</v>
      </c>
      <c r="L186" s="203">
        <v>0.99586741388828592</v>
      </c>
      <c r="M186" s="203">
        <v>0.99699899125215152</v>
      </c>
      <c r="N186" s="203">
        <v>0.99865077065937524</v>
      </c>
      <c r="P186" s="202">
        <v>0.9</v>
      </c>
      <c r="Q186" s="203">
        <v>0.98139830679905837</v>
      </c>
      <c r="R186" s="203">
        <v>0.98303127578120264</v>
      </c>
      <c r="S186" s="203">
        <v>0.98461713296032205</v>
      </c>
      <c r="T186" s="203">
        <v>0.98643745017802587</v>
      </c>
      <c r="U186" s="203">
        <v>0.98835647897439283</v>
      </c>
      <c r="V186" s="203">
        <v>0.99025545806837356</v>
      </c>
      <c r="W186" s="203">
        <v>0.99191700555582829</v>
      </c>
      <c r="X186" s="203">
        <v>0.99265978241994379</v>
      </c>
      <c r="Y186" s="203">
        <v>0.99443735090680485</v>
      </c>
      <c r="Z186" s="203">
        <v>0.99698595668618717</v>
      </c>
      <c r="AB186" s="202">
        <v>0.9</v>
      </c>
      <c r="AC186" s="203">
        <v>0.97991713894197152</v>
      </c>
      <c r="AD186" s="203">
        <v>0.98073491967446436</v>
      </c>
      <c r="AE186" s="203">
        <v>0.98153916999707569</v>
      </c>
      <c r="AF186" s="203">
        <v>0.98258420656033607</v>
      </c>
      <c r="AG186" s="203">
        <v>0.98392013535314282</v>
      </c>
      <c r="AH186" s="203">
        <v>0.98551601159146618</v>
      </c>
      <c r="AI186" s="203">
        <v>0.98708659020848644</v>
      </c>
      <c r="AJ186" s="203">
        <v>0.9878126301030894</v>
      </c>
      <c r="AK186" s="203">
        <v>0.9895166445315754</v>
      </c>
      <c r="AL186" s="203">
        <v>0.99159340563003606</v>
      </c>
    </row>
    <row r="187" spans="4:38" x14ac:dyDescent="0.25">
      <c r="D187" s="202">
        <v>0.90500000000000003</v>
      </c>
      <c r="E187" s="203">
        <v>0.98719627051223868</v>
      </c>
      <c r="F187" s="203">
        <v>0.98912937003434687</v>
      </c>
      <c r="G187" s="203">
        <v>0.99064783997983741</v>
      </c>
      <c r="H187" s="203">
        <v>0.99209328895419213</v>
      </c>
      <c r="I187" s="203">
        <v>0.99341978369340511</v>
      </c>
      <c r="J187" s="203">
        <v>0.99462888711770048</v>
      </c>
      <c r="K187" s="203">
        <v>0.99564649268253558</v>
      </c>
      <c r="L187" s="203">
        <v>0.99609572080533548</v>
      </c>
      <c r="M187" s="203">
        <v>0.99716687634532131</v>
      </c>
      <c r="N187" s="203">
        <v>0.99872910517155855</v>
      </c>
      <c r="P187" s="202">
        <v>0.90500000000000003</v>
      </c>
      <c r="Q187" s="203">
        <v>0.9823769847181385</v>
      </c>
      <c r="R187" s="203">
        <v>0.9839268310040018</v>
      </c>
      <c r="S187" s="203">
        <v>0.98543126578341622</v>
      </c>
      <c r="T187" s="203">
        <v>0.98715760886664095</v>
      </c>
      <c r="U187" s="203">
        <v>0.98897718750719266</v>
      </c>
      <c r="V187" s="203">
        <v>0.99077748585965442</v>
      </c>
      <c r="W187" s="203">
        <v>0.99235249545320636</v>
      </c>
      <c r="X187" s="203">
        <v>0.99305651809945183</v>
      </c>
      <c r="Y187" s="203">
        <v>0.99474108830611296</v>
      </c>
      <c r="Z187" s="203">
        <v>0.99715505393539172</v>
      </c>
      <c r="AB187" s="202">
        <v>0.90500000000000003</v>
      </c>
      <c r="AC187" s="203">
        <v>0.98097176855568735</v>
      </c>
      <c r="AD187" s="203">
        <v>0.98174863473492047</v>
      </c>
      <c r="AE187" s="203">
        <v>0.98251221977866443</v>
      </c>
      <c r="AF187" s="203">
        <v>0.98350391562638428</v>
      </c>
      <c r="AG187" s="203">
        <v>0.98477110505699528</v>
      </c>
      <c r="AH187" s="203">
        <v>0.98628437079463416</v>
      </c>
      <c r="AI187" s="203">
        <v>0.9877733241494242</v>
      </c>
      <c r="AJ187" s="203">
        <v>0.98846155550089709</v>
      </c>
      <c r="AK187" s="203">
        <v>0.99007669665799536</v>
      </c>
      <c r="AL187" s="203">
        <v>0.99204493863622967</v>
      </c>
    </row>
    <row r="188" spans="4:38" x14ac:dyDescent="0.25">
      <c r="D188" s="202">
        <v>0.91</v>
      </c>
      <c r="E188" s="203">
        <v>0.98791448446438757</v>
      </c>
      <c r="F188" s="203">
        <v>0.98974133388570673</v>
      </c>
      <c r="G188" s="203">
        <v>0.9911759920795673</v>
      </c>
      <c r="H188" s="203">
        <v>0.99254146792932052</v>
      </c>
      <c r="I188" s="203">
        <v>0.99379443415661861</v>
      </c>
      <c r="J188" s="203">
        <v>0.99493639155856972</v>
      </c>
      <c r="K188" s="203">
        <v>0.99589735399169643</v>
      </c>
      <c r="L188" s="203">
        <v>0.99632151908176148</v>
      </c>
      <c r="M188" s="203">
        <v>0.99733267936941639</v>
      </c>
      <c r="N188" s="203">
        <v>0.99880613553014086</v>
      </c>
      <c r="P188" s="202">
        <v>0.91</v>
      </c>
      <c r="Q188" s="203">
        <v>0.98335019496880616</v>
      </c>
      <c r="R188" s="203">
        <v>0.98481707778127037</v>
      </c>
      <c r="S188" s="203">
        <v>0.9862403238038967</v>
      </c>
      <c r="T188" s="203">
        <v>0.98787301904283831</v>
      </c>
      <c r="U188" s="203">
        <v>0.98959353409593687</v>
      </c>
      <c r="V188" s="203">
        <v>0.99129556374406225</v>
      </c>
      <c r="W188" s="203">
        <v>0.99278441659062988</v>
      </c>
      <c r="X188" s="203">
        <v>0.99344986249412026</v>
      </c>
      <c r="Y188" s="203">
        <v>0.9950418856600769</v>
      </c>
      <c r="Z188" s="203">
        <v>0.99732199931720822</v>
      </c>
      <c r="AB188" s="202">
        <v>0.91</v>
      </c>
      <c r="AC188" s="203">
        <v>0.98202072157618092</v>
      </c>
      <c r="AD188" s="203">
        <v>0.98275667198613414</v>
      </c>
      <c r="AE188" s="203">
        <v>0.983479638942241</v>
      </c>
      <c r="AF188" s="203">
        <v>0.98441811226400733</v>
      </c>
      <c r="AG188" s="203">
        <v>0.98561677617518106</v>
      </c>
      <c r="AH188" s="203">
        <v>0.98704774339398715</v>
      </c>
      <c r="AI188" s="203">
        <v>0.98845541543466164</v>
      </c>
      <c r="AJ188" s="203">
        <v>0.98910600574760177</v>
      </c>
      <c r="AK188" s="203">
        <v>0.99063268201037669</v>
      </c>
      <c r="AL188" s="203">
        <v>0.99249292478295448</v>
      </c>
    </row>
    <row r="189" spans="4:38" x14ac:dyDescent="0.25">
      <c r="D189" s="202">
        <v>0.91500000000000004</v>
      </c>
      <c r="E189" s="203">
        <v>0.98862741479977001</v>
      </c>
      <c r="F189" s="203">
        <v>0.9903485415796851</v>
      </c>
      <c r="G189" s="203">
        <v>0.99169984478132822</v>
      </c>
      <c r="H189" s="203">
        <v>0.99298580511480161</v>
      </c>
      <c r="I189" s="203">
        <v>0.99416567862116512</v>
      </c>
      <c r="J189" s="203">
        <v>0.99524090128216502</v>
      </c>
      <c r="K189" s="203">
        <v>0.99614558153930355</v>
      </c>
      <c r="L189" s="203">
        <v>0.99654484949525335</v>
      </c>
      <c r="M189" s="203">
        <v>0.99749643729694148</v>
      </c>
      <c r="N189" s="203">
        <v>0.99888189101725855</v>
      </c>
      <c r="P189" s="202">
        <v>0.91500000000000004</v>
      </c>
      <c r="Q189" s="203">
        <v>0.98431800038738915</v>
      </c>
      <c r="R189" s="203">
        <v>0.98570207824005318</v>
      </c>
      <c r="S189" s="203">
        <v>0.98704436747150281</v>
      </c>
      <c r="T189" s="203">
        <v>0.98858373851831338</v>
      </c>
      <c r="U189" s="203">
        <v>0.99020557331479286</v>
      </c>
      <c r="V189" s="203">
        <v>0.991809742899328</v>
      </c>
      <c r="W189" s="203">
        <v>0.99321281717565979</v>
      </c>
      <c r="X189" s="203">
        <v>0.99383986251072309</v>
      </c>
      <c r="Y189" s="203">
        <v>0.99533978683519131</v>
      </c>
      <c r="Z189" s="203">
        <v>0.99748683179716768</v>
      </c>
      <c r="AB189" s="202">
        <v>0.91500000000000004</v>
      </c>
      <c r="AC189" s="203">
        <v>0.98306406254754986</v>
      </c>
      <c r="AD189" s="203">
        <v>0.98375909667132044</v>
      </c>
      <c r="AE189" s="203">
        <v>0.98444149281961235</v>
      </c>
      <c r="AF189" s="203">
        <v>0.98532686117687962</v>
      </c>
      <c r="AG189" s="203">
        <v>0.98645721176077006</v>
      </c>
      <c r="AH189" s="203">
        <v>0.98780618969587652</v>
      </c>
      <c r="AI189" s="203">
        <v>0.98913292117283014</v>
      </c>
      <c r="AJ189" s="203">
        <v>0.98974603636854508</v>
      </c>
      <c r="AK189" s="203">
        <v>0.99118465224737473</v>
      </c>
      <c r="AL189" s="203">
        <v>0.99293741091592369</v>
      </c>
    </row>
    <row r="190" spans="4:38" x14ac:dyDescent="0.25">
      <c r="D190" s="202">
        <v>0.92</v>
      </c>
      <c r="E190" s="203">
        <v>0.98933512881292074</v>
      </c>
      <c r="F190" s="203">
        <v>0.99095105545073436</v>
      </c>
      <c r="G190" s="203">
        <v>0.99221945588201255</v>
      </c>
      <c r="H190" s="203">
        <v>0.99342635370862109</v>
      </c>
      <c r="I190" s="203">
        <v>0.99453356595287601</v>
      </c>
      <c r="J190" s="203">
        <v>0.99554246117945022</v>
      </c>
      <c r="K190" s="203">
        <v>0.99639121685623699</v>
      </c>
      <c r="L190" s="203">
        <v>0.99676575207304952</v>
      </c>
      <c r="M190" s="203">
        <v>0.99765818638175807</v>
      </c>
      <c r="N190" s="203">
        <v>0.99895640023445742</v>
      </c>
      <c r="P190" s="202">
        <v>0.92</v>
      </c>
      <c r="Q190" s="203">
        <v>0.98528046278599468</v>
      </c>
      <c r="R190" s="203">
        <v>0.98658189349223546</v>
      </c>
      <c r="S190" s="203">
        <v>0.98784345624522629</v>
      </c>
      <c r="T190" s="203">
        <v>0.98928982415319289</v>
      </c>
      <c r="U190" s="203">
        <v>0.99081335883425503</v>
      </c>
      <c r="V190" s="203">
        <v>0.99232007364818975</v>
      </c>
      <c r="W190" s="203">
        <v>0.99363774460023668</v>
      </c>
      <c r="X190" s="203">
        <v>0.99422656425586609</v>
      </c>
      <c r="Y190" s="203">
        <v>0.99563483492573435</v>
      </c>
      <c r="Z190" s="203">
        <v>0.9976495895734242</v>
      </c>
      <c r="AB190" s="202">
        <v>0.92</v>
      </c>
      <c r="AC190" s="203">
        <v>0.98410185496388547</v>
      </c>
      <c r="AD190" s="203">
        <v>0.98475597297142936</v>
      </c>
      <c r="AE190" s="203">
        <v>0.98539784567764888</v>
      </c>
      <c r="AF190" s="203">
        <v>0.98623022601205357</v>
      </c>
      <c r="AG190" s="203">
        <v>0.9872924738344363</v>
      </c>
      <c r="AH190" s="203">
        <v>0.98855976901579168</v>
      </c>
      <c r="AI190" s="203">
        <v>0.98980589753062154</v>
      </c>
      <c r="AJ190" s="203">
        <v>0.99038170197140207</v>
      </c>
      <c r="AK190" s="203">
        <v>0.99173265816896483</v>
      </c>
      <c r="AL190" s="203">
        <v>0.99337844309373002</v>
      </c>
    </row>
    <row r="191" spans="4:38" x14ac:dyDescent="0.25">
      <c r="D191" s="202">
        <v>0.92500000000000004</v>
      </c>
      <c r="E191" s="203">
        <v>0.99003769268755226</v>
      </c>
      <c r="F191" s="203">
        <v>0.9915489367946273</v>
      </c>
      <c r="G191" s="203">
        <v>0.99273488220685657</v>
      </c>
      <c r="H191" s="203">
        <v>0.99386316600451197</v>
      </c>
      <c r="I191" s="203">
        <v>0.99489814417491829</v>
      </c>
      <c r="J191" s="203">
        <v>0.99584111535172271</v>
      </c>
      <c r="K191" s="203">
        <v>0.99663430072366566</v>
      </c>
      <c r="L191" s="203">
        <v>0.99698426610837265</v>
      </c>
      <c r="M191" s="203">
        <v>0.9978179621751273</v>
      </c>
      <c r="N191" s="203">
        <v>0.99902969111951889</v>
      </c>
      <c r="P191" s="202">
        <v>0.92500000000000004</v>
      </c>
      <c r="Q191" s="203">
        <v>0.98623764297458882</v>
      </c>
      <c r="R191" s="203">
        <v>0.98745658365643463</v>
      </c>
      <c r="S191" s="203">
        <v>0.98863764861468917</v>
      </c>
      <c r="T191" s="203">
        <v>0.98999133187658184</v>
      </c>
      <c r="U191" s="203">
        <v>0.99141694344066189</v>
      </c>
      <c r="V191" s="203">
        <v>0.99282660547685908</v>
      </c>
      <c r="W191" s="203">
        <v>0.99405924545830038</v>
      </c>
      <c r="X191" s="203">
        <v>0.99461001305327879</v>
      </c>
      <c r="Y191" s="203">
        <v>0.99592707227051469</v>
      </c>
      <c r="Z191" s="203">
        <v>0.99781031009398147</v>
      </c>
      <c r="AB191" s="202">
        <v>0.92500000000000004</v>
      </c>
      <c r="AC191" s="203">
        <v>0.98513416129188491</v>
      </c>
      <c r="AD191" s="203">
        <v>0.98574736402801588</v>
      </c>
      <c r="AE191" s="203">
        <v>0.98634876074121625</v>
      </c>
      <c r="AF191" s="203">
        <v>0.98712826938271969</v>
      </c>
      <c r="AG191" s="203">
        <v>0.98812262340671475</v>
      </c>
      <c r="AH191" s="203">
        <v>0.98930853969974131</v>
      </c>
      <c r="AI191" s="203">
        <v>0.99047439975312812</v>
      </c>
      <c r="AJ191" s="203">
        <v>0.99101305626599745</v>
      </c>
      <c r="AK191" s="203">
        <v>0.99227674973499447</v>
      </c>
      <c r="AL191" s="203">
        <v>0.99381606660485333</v>
      </c>
    </row>
    <row r="192" spans="4:38" x14ac:dyDescent="0.25">
      <c r="D192" s="202">
        <v>0.93</v>
      </c>
      <c r="E192" s="203">
        <v>0.99073517152030921</v>
      </c>
      <c r="F192" s="203">
        <v>0.99214224589070499</v>
      </c>
      <c r="G192" s="203">
        <v>0.99324617963028428</v>
      </c>
      <c r="H192" s="203">
        <v>0.99429629341137837</v>
      </c>
      <c r="I192" s="203">
        <v>0.99525946048592506</v>
      </c>
      <c r="J192" s="203">
        <v>0.99613690712765568</v>
      </c>
      <c r="K192" s="203">
        <v>0.99687487318931411</v>
      </c>
      <c r="L192" s="203">
        <v>0.99720043017642679</v>
      </c>
      <c r="M192" s="203">
        <v>0.99797579954132543</v>
      </c>
      <c r="N192" s="203">
        <v>0.99910179096282681</v>
      </c>
      <c r="P192" s="202">
        <v>0.93</v>
      </c>
      <c r="Q192" s="203">
        <v>0.98718960078248275</v>
      </c>
      <c r="R192" s="203">
        <v>0.98832620787930558</v>
      </c>
      <c r="S192" s="203">
        <v>0.98942700212094759</v>
      </c>
      <c r="T192" s="203">
        <v>0.99068831670655655</v>
      </c>
      <c r="U192" s="203">
        <v>0.99201637905518814</v>
      </c>
      <c r="V192" s="203">
        <v>0.99332938705299378</v>
      </c>
      <c r="W192" s="203">
        <v>0.99447736556293775</v>
      </c>
      <c r="X192" s="203">
        <v>0.99499025346064374</v>
      </c>
      <c r="Y192" s="203">
        <v>0.99621654046916752</v>
      </c>
      <c r="Z192" s="203">
        <v>0.99796903007345794</v>
      </c>
      <c r="AB192" s="202">
        <v>0.93</v>
      </c>
      <c r="AC192" s="203">
        <v>0.98616104299285523</v>
      </c>
      <c r="AD192" s="203">
        <v>0.98673333196549795</v>
      </c>
      <c r="AE192" s="203">
        <v>0.98729430021549225</v>
      </c>
      <c r="AF192" s="203">
        <v>0.98802105289035758</v>
      </c>
      <c r="AG192" s="203">
        <v>0.98894772049965773</v>
      </c>
      <c r="AH192" s="203">
        <v>0.99005255914505652</v>
      </c>
      <c r="AI192" s="203">
        <v>0.99113848218363143</v>
      </c>
      <c r="AJ192" s="203">
        <v>0.99164015208359302</v>
      </c>
      <c r="AK192" s="203">
        <v>0.99281697608323416</v>
      </c>
      <c r="AL192" s="203">
        <v>0.99425032598421137</v>
      </c>
    </row>
    <row r="193" spans="4:38" x14ac:dyDescent="0.25">
      <c r="D193" s="202">
        <v>0.93500000000000005</v>
      </c>
      <c r="E193" s="203">
        <v>0.99142762934389039</v>
      </c>
      <c r="F193" s="203">
        <v>0.99273104202353735</v>
      </c>
      <c r="G193" s="203">
        <v>0.99375340309619409</v>
      </c>
      <c r="H193" s="203">
        <v>0.99472578647219889</v>
      </c>
      <c r="I193" s="203">
        <v>0.99561756127764389</v>
      </c>
      <c r="J193" s="203">
        <v>0.99642987907988789</v>
      </c>
      <c r="K193" s="203">
        <v>0.99711297358330375</v>
      </c>
      <c r="L193" s="203">
        <v>0.99741428214997097</v>
      </c>
      <c r="M193" s="203">
        <v>0.99813173267284727</v>
      </c>
      <c r="N193" s="203">
        <v>0.99917272642328603</v>
      </c>
      <c r="P193" s="202">
        <v>0.93500000000000005</v>
      </c>
      <c r="Q193" s="203">
        <v>0.98813639507924822</v>
      </c>
      <c r="R193" s="203">
        <v>0.98919082435627947</v>
      </c>
      <c r="S193" s="203">
        <v>0.99021157337674193</v>
      </c>
      <c r="T193" s="203">
        <v>0.99138083276962075</v>
      </c>
      <c r="U193" s="203">
        <v>0.99261171675232862</v>
      </c>
      <c r="V193" s="203">
        <v>0.99382846624318655</v>
      </c>
      <c r="W193" s="203">
        <v>0.99489214996307063</v>
      </c>
      <c r="X193" s="203">
        <v>0.99536732928597571</v>
      </c>
      <c r="Y193" s="203">
        <v>0.99650328039802039</v>
      </c>
      <c r="Z193" s="203">
        <v>0.99812578550941222</v>
      </c>
      <c r="AB193" s="202">
        <v>0.93500000000000005</v>
      </c>
      <c r="AC193" s="203">
        <v>0.98718256054413445</v>
      </c>
      <c r="AD193" s="203">
        <v>0.98771393791282458</v>
      </c>
      <c r="AE193" s="203">
        <v>0.98823452530768896</v>
      </c>
      <c r="AF193" s="203">
        <v>0.9889086371462964</v>
      </c>
      <c r="AG193" s="203">
        <v>0.98976782416791653</v>
      </c>
      <c r="AH193" s="203">
        <v>0.99079188382064065</v>
      </c>
      <c r="AI193" s="203">
        <v>0.99179819828286586</v>
      </c>
      <c r="AJ193" s="203">
        <v>0.99226304139565547</v>
      </c>
      <c r="AK193" s="203">
        <v>0.9933533855469463</v>
      </c>
      <c r="AL193" s="203">
        <v>0.99468126502926535</v>
      </c>
    </row>
    <row r="194" spans="4:38" x14ac:dyDescent="0.25">
      <c r="D194" s="202">
        <v>0.94</v>
      </c>
      <c r="E194" s="203">
        <v>0.99211512914955369</v>
      </c>
      <c r="F194" s="203">
        <v>0.99331538350400539</v>
      </c>
      <c r="G194" s="203">
        <v>0.99425660663770876</v>
      </c>
      <c r="H194" s="203">
        <v>0.99515169488243127</v>
      </c>
      <c r="I194" s="203">
        <v>0.99597249215211658</v>
      </c>
      <c r="J194" s="203">
        <v>0.99672007304117427</v>
      </c>
      <c r="K194" s="203">
        <v>0.99734864053357264</v>
      </c>
      <c r="L194" s="203">
        <v>0.99762585921448255</v>
      </c>
      <c r="M194" s="203">
        <v>0.99828579510520887</v>
      </c>
      <c r="N194" s="203">
        <v>0.99924252354381404</v>
      </c>
      <c r="P194" s="202">
        <v>0.94</v>
      </c>
      <c r="Q194" s="203">
        <v>0.98907808379507467</v>
      </c>
      <c r="R194" s="203">
        <v>0.99005049035174686</v>
      </c>
      <c r="S194" s="203">
        <v>0.99099141808620594</v>
      </c>
      <c r="T194" s="203">
        <v>0.99206893331964718</v>
      </c>
      <c r="U194" s="203">
        <v>0.99320300677789297</v>
      </c>
      <c r="V194" s="203">
        <v>0.99432389012999101</v>
      </c>
      <c r="W194" s="203">
        <v>0.99530364295970364</v>
      </c>
      <c r="X194" s="203">
        <v>0.99574128360356529</v>
      </c>
      <c r="Y194" s="203">
        <v>0.99678733222553395</v>
      </c>
      <c r="Z194" s="203">
        <v>0.99828061169823623</v>
      </c>
      <c r="AB194" s="202">
        <v>0.94</v>
      </c>
      <c r="AC194" s="203">
        <v>0.98819877345994067</v>
      </c>
      <c r="AD194" s="203">
        <v>0.98868924202456532</v>
      </c>
      <c r="AE194" s="203">
        <v>0.98916949624819794</v>
      </c>
      <c r="AF194" s="203">
        <v>0.98979108179270325</v>
      </c>
      <c r="AG194" s="203">
        <v>0.99058299251926107</v>
      </c>
      <c r="AH194" s="203">
        <v>0.99152656928667982</v>
      </c>
      <c r="AI194" s="203">
        <v>0.99245360064776589</v>
      </c>
      <c r="AJ194" s="203">
        <v>0.99288177533212862</v>
      </c>
      <c r="AK194" s="203">
        <v>0.99388602567198603</v>
      </c>
      <c r="AL194" s="203">
        <v>0.99510892681569996</v>
      </c>
    </row>
    <row r="195" spans="4:38" x14ac:dyDescent="0.25">
      <c r="D195" s="202">
        <v>0.94499999999999995</v>
      </c>
      <c r="E195" s="203">
        <v>0.99279773290903428</v>
      </c>
      <c r="F195" s="203">
        <v>0.99389532768982991</v>
      </c>
      <c r="G195" s="203">
        <v>0.99475584339640244</v>
      </c>
      <c r="H195" s="203">
        <v>0.99557406750792943</v>
      </c>
      <c r="I195" s="203">
        <v>0.99632429793840704</v>
      </c>
      <c r="J195" s="203">
        <v>0.99700753012011223</v>
      </c>
      <c r="K195" s="203">
        <v>0.9975819119808913</v>
      </c>
      <c r="L195" s="203">
        <v>0.99783519788292097</v>
      </c>
      <c r="M195" s="203">
        <v>0.99843801973136237</v>
      </c>
      <c r="N195" s="203">
        <v>0.99931120776641102</v>
      </c>
      <c r="P195" s="202">
        <v>0.94499999999999995</v>
      </c>
      <c r="Q195" s="203">
        <v>0.99001472394059309</v>
      </c>
      <c r="R195" s="203">
        <v>0.99090526221871444</v>
      </c>
      <c r="S195" s="203">
        <v>0.99176659106405807</v>
      </c>
      <c r="T195" s="203">
        <v>0.99275267075631846</v>
      </c>
      <c r="U195" s="203">
        <v>0.9937902985665209</v>
      </c>
      <c r="V195" s="203">
        <v>0.99481570502849681</v>
      </c>
      <c r="W195" s="203">
        <v>0.9957118881217365</v>
      </c>
      <c r="X195" s="203">
        <v>0.99611215876950254</v>
      </c>
      <c r="Y195" s="203">
        <v>0.99706873542734165</v>
      </c>
      <c r="Z195" s="203">
        <v>0.99843354325063283</v>
      </c>
      <c r="AB195" s="202">
        <v>0.94499999999999995</v>
      </c>
      <c r="AC195" s="203">
        <v>0.98920974031167574</v>
      </c>
      <c r="AD195" s="203">
        <v>0.98965930350144671</v>
      </c>
      <c r="AE195" s="203">
        <v>0.99009927231117978</v>
      </c>
      <c r="AF195" s="203">
        <v>0.9906684455230188</v>
      </c>
      <c r="AG195" s="203">
        <v>0.99139328273456073</v>
      </c>
      <c r="AH195" s="203">
        <v>0.9922566702138329</v>
      </c>
      <c r="AI195" s="203">
        <v>0.99310474102972246</v>
      </c>
      <c r="AJ195" s="203">
        <v>0.99349640419921881</v>
      </c>
      <c r="AK195" s="203">
        <v>0.99441494323345081</v>
      </c>
      <c r="AL195" s="203">
        <v>0.99553335371268714</v>
      </c>
    </row>
    <row r="196" spans="4:38" x14ac:dyDescent="0.25">
      <c r="D196" s="202">
        <v>0.95</v>
      </c>
      <c r="E196" s="203">
        <v>0.99347550159588471</v>
      </c>
      <c r="F196" s="203">
        <v>0.99447093100556105</v>
      </c>
      <c r="G196" s="203">
        <v>0.99525116564102378</v>
      </c>
      <c r="H196" s="203">
        <v>0.99599295240239016</v>
      </c>
      <c r="I196" s="203">
        <v>0.99667302270888924</v>
      </c>
      <c r="J196" s="203">
        <v>0.99729229071645409</v>
      </c>
      <c r="K196" s="203">
        <v>0.99781282519348724</v>
      </c>
      <c r="L196" s="203">
        <v>0.99804233401010944</v>
      </c>
      <c r="M196" s="203">
        <v>0.998588438815737</v>
      </c>
      <c r="N196" s="203">
        <v>0.99937880394682754</v>
      </c>
      <c r="P196" s="202">
        <v>0.95</v>
      </c>
      <c r="Q196" s="203">
        <v>0.99094637162617638</v>
      </c>
      <c r="R196" s="203">
        <v>0.99175519541793888</v>
      </c>
      <c r="S196" s="203">
        <v>0.9925371462542868</v>
      </c>
      <c r="T196" s="203">
        <v>0.99343209664308052</v>
      </c>
      <c r="U196" s="203">
        <v>0.99437364075873746</v>
      </c>
      <c r="V196" s="203">
        <v>0.99530395650246783</v>
      </c>
      <c r="W196" s="203">
        <v>0.996116928301367</v>
      </c>
      <c r="X196" s="203">
        <v>0.99647999643679319</v>
      </c>
      <c r="Y196" s="203">
        <v>0.99734752880089195</v>
      </c>
      <c r="Z196" s="203">
        <v>0.99858461410669197</v>
      </c>
      <c r="AB196" s="202">
        <v>0.95</v>
      </c>
      <c r="AC196" s="203">
        <v>0.9902155187476932</v>
      </c>
      <c r="AD196" s="203">
        <v>0.99062418061035029</v>
      </c>
      <c r="AE196" s="203">
        <v>0.99102391183461325</v>
      </c>
      <c r="AF196" s="203">
        <v>0.99154078610185525</v>
      </c>
      <c r="AG196" s="203">
        <v>0.99219875108723643</v>
      </c>
      <c r="AH196" s="203">
        <v>0.99298224040191785</v>
      </c>
      <c r="AI196" s="203">
        <v>0.99375167035235457</v>
      </c>
      <c r="AJ196" s="203">
        <v>0.99410697749671506</v>
      </c>
      <c r="AK196" s="203">
        <v>0.99494018425188968</v>
      </c>
      <c r="AL196" s="203">
        <v>0.99595458739774856</v>
      </c>
    </row>
    <row r="197" spans="4:38" x14ac:dyDescent="0.25">
      <c r="D197" s="202">
        <v>0.95499999999999996</v>
      </c>
      <c r="E197" s="203">
        <v>0.99414849520626003</v>
      </c>
      <c r="F197" s="203">
        <v>0.9950422489620443</v>
      </c>
      <c r="G197" s="203">
        <v>0.99574262478573128</v>
      </c>
      <c r="H197" s="203">
        <v>0.99640839682434601</v>
      </c>
      <c r="I197" s="203">
        <v>0.99701870979511154</v>
      </c>
      <c r="J197" s="203">
        <v>0.99757439453602381</v>
      </c>
      <c r="K197" s="203">
        <v>0.99804141678128655</v>
      </c>
      <c r="L197" s="203">
        <v>0.99824730280674023</v>
      </c>
      <c r="M197" s="203">
        <v>0.99873708400791505</v>
      </c>
      <c r="N197" s="203">
        <v>0.99944533636883781</v>
      </c>
      <c r="P197" s="202">
        <v>0.95499999999999996</v>
      </c>
      <c r="Q197" s="203">
        <v>0.99187308208073688</v>
      </c>
      <c r="R197" s="203">
        <v>0.9926003445365672</v>
      </c>
      <c r="S197" s="203">
        <v>0.99330313674834581</v>
      </c>
      <c r="T197" s="203">
        <v>0.99410726172462827</v>
      </c>
      <c r="U197" s="203">
        <v>0.99495308121756465</v>
      </c>
      <c r="V197" s="203">
        <v>0.99578868938005827</v>
      </c>
      <c r="W197" s="203">
        <v>0.99651880564908724</v>
      </c>
      <c r="X197" s="203">
        <v>0.99684483757007702</v>
      </c>
      <c r="Y197" s="203">
        <v>0.99762375047970975</v>
      </c>
      <c r="Z197" s="203">
        <v>0.99873385755057298</v>
      </c>
      <c r="AB197" s="202">
        <v>0.95499999999999996</v>
      </c>
      <c r="AC197" s="203">
        <v>0.99121616551255398</v>
      </c>
      <c r="AD197" s="203">
        <v>0.99158393070378736</v>
      </c>
      <c r="AE197" s="203">
        <v>0.99194347223982016</v>
      </c>
      <c r="AF197" s="203">
        <v>0.9924081603843764</v>
      </c>
      <c r="AG197" s="203">
        <v>0.99299945296220848</v>
      </c>
      <c r="AH197" s="203">
        <v>0.99370333279810796</v>
      </c>
      <c r="AI197" s="203">
        <v>0.99439443872881772</v>
      </c>
      <c r="AJ197" s="203">
        <v>0.99471354393485323</v>
      </c>
      <c r="AK197" s="203">
        <v>0.99546179400909041</v>
      </c>
      <c r="AL197" s="203">
        <v>0.996372668871228</v>
      </c>
    </row>
    <row r="198" spans="4:38" x14ac:dyDescent="0.25">
      <c r="D198" s="202">
        <v>0.96</v>
      </c>
      <c r="E198" s="203">
        <v>0.99481677277916447</v>
      </c>
      <c r="F198" s="203">
        <v>0.99560933617538483</v>
      </c>
      <c r="G198" s="203">
        <v>0.99623027140785325</v>
      </c>
      <c r="H198" s="203">
        <v>0.99682044725371588</v>
      </c>
      <c r="I198" s="203">
        <v>0.99736140180324961</v>
      </c>
      <c r="J198" s="203">
        <v>0.99785388060524627</v>
      </c>
      <c r="K198" s="203">
        <v>0.99826772270979236</v>
      </c>
      <c r="L198" s="203">
        <v>0.99845013885302136</v>
      </c>
      <c r="M198" s="203">
        <v>0.99888398635595566</v>
      </c>
      <c r="N198" s="203">
        <v>0.99951082875813524</v>
      </c>
      <c r="P198" s="202">
        <v>0.96</v>
      </c>
      <c r="Q198" s="203">
        <v>0.99279490967003647</v>
      </c>
      <c r="R198" s="203">
        <v>0.99344076330628595</v>
      </c>
      <c r="S198" s="203">
        <v>0.99406461480288011</v>
      </c>
      <c r="T198" s="203">
        <v>0.99477821594393545</v>
      </c>
      <c r="U198" s="203">
        <v>0.99552866704469511</v>
      </c>
      <c r="V198" s="203">
        <v>0.99626994776911926</v>
      </c>
      <c r="W198" s="203">
        <v>0.99691756162829115</v>
      </c>
      <c r="X198" s="203">
        <v>0.99720672245996689</v>
      </c>
      <c r="Y198" s="203">
        <v>0.99789743794729124</v>
      </c>
      <c r="Z198" s="203">
        <v>0.99888130622481308</v>
      </c>
      <c r="AB198" s="202">
        <v>0.96</v>
      </c>
      <c r="AC198" s="203">
        <v>0.99221173646577987</v>
      </c>
      <c r="AD198" s="203">
        <v>0.99253861023887102</v>
      </c>
      <c r="AE198" s="203">
        <v>0.99285801005048568</v>
      </c>
      <c r="AF198" s="203">
        <v>0.99327062433517388</v>
      </c>
      <c r="AG198" s="203">
        <v>0.99379544287434995</v>
      </c>
      <c r="AH198" s="203">
        <v>0.99441999951465565</v>
      </c>
      <c r="AI198" s="203">
        <v>0.99503309547866281</v>
      </c>
      <c r="AJ198" s="203">
        <v>0.99531615145074337</v>
      </c>
      <c r="AK198" s="203">
        <v>0.99597981706345229</v>
      </c>
      <c r="AL198" s="203">
        <v>0.99678763847038943</v>
      </c>
    </row>
    <row r="199" spans="4:38" x14ac:dyDescent="0.25">
      <c r="D199" s="202">
        <v>0.96499999999999997</v>
      </c>
      <c r="E199" s="203">
        <v>0.99548039241617503</v>
      </c>
      <c r="F199" s="203">
        <v>0.99617224638541824</v>
      </c>
      <c r="G199" s="203">
        <v>0.99671415526518892</v>
      </c>
      <c r="H199" s="203">
        <v>0.99722914940792806</v>
      </c>
      <c r="I199" s="203">
        <v>0.99770114062915916</v>
      </c>
      <c r="J199" s="203">
        <v>0.99813078728530136</v>
      </c>
      <c r="K199" s="203">
        <v>0.99849177831360303</v>
      </c>
      <c r="L199" s="203">
        <v>0.99865087611197156</v>
      </c>
      <c r="M199" s="203">
        <v>0.99902917631937782</v>
      </c>
      <c r="N199" s="203">
        <v>0.99957530429585495</v>
      </c>
      <c r="P199" s="202">
        <v>0.96499999999999997</v>
      </c>
      <c r="Q199" s="203">
        <v>0.99371190791452202</v>
      </c>
      <c r="R199" s="203">
        <v>0.9942765046210077</v>
      </c>
      <c r="S199" s="203">
        <v>0.99482163185698891</v>
      </c>
      <c r="T199" s="203">
        <v>0.99544500845884243</v>
      </c>
      <c r="U199" s="203">
        <v>0.99610044459625191</v>
      </c>
      <c r="V199" s="203">
        <v>0.99674777507210965</v>
      </c>
      <c r="W199" s="203">
        <v>0.99731323702950336</v>
      </c>
      <c r="X199" s="203">
        <v>0.99756569073701573</v>
      </c>
      <c r="Y199" s="203">
        <v>0.99816862805063555</v>
      </c>
      <c r="Z199" s="203">
        <v>0.9990269921442646</v>
      </c>
      <c r="AB199" s="202">
        <v>0.96499999999999997</v>
      </c>
      <c r="AC199" s="203">
        <v>0.993202286600123</v>
      </c>
      <c r="AD199" s="203">
        <v>0.99348827479579382</v>
      </c>
      <c r="AE199" s="203">
        <v>0.99376758091118522</v>
      </c>
      <c r="AF199" s="203">
        <v>0.99412823304665576</v>
      </c>
      <c r="AG199" s="203">
        <v>0.99458677448646271</v>
      </c>
      <c r="AH199" s="203">
        <v>0.99513229184615759</v>
      </c>
      <c r="AI199" s="203">
        <v>0.9956676891442553</v>
      </c>
      <c r="AJ199" s="203">
        <v>0.99591484722437129</v>
      </c>
      <c r="AK199" s="203">
        <v>0.99649429726496475</v>
      </c>
      <c r="AL199" s="203">
        <v>0.99719953588314647</v>
      </c>
    </row>
    <row r="200" spans="4:38" x14ac:dyDescent="0.25">
      <c r="D200" s="202">
        <v>0.97</v>
      </c>
      <c r="E200" s="203">
        <v>0.99613941130066008</v>
      </c>
      <c r="F200" s="203">
        <v>0.9967310324737102</v>
      </c>
      <c r="G200" s="203">
        <v>0.99719432531286734</v>
      </c>
      <c r="H200" s="203">
        <v>0.99763454825762887</v>
      </c>
      <c r="I200" s="203">
        <v>0.99803796747304407</v>
      </c>
      <c r="J200" s="203">
        <v>0.99840515228591731</v>
      </c>
      <c r="K200" s="203">
        <v>0.99871361830958627</v>
      </c>
      <c r="L200" s="203">
        <v>0.99884954794237579</v>
      </c>
      <c r="M200" s="203">
        <v>0.99917268378181201</v>
      </c>
      <c r="N200" s="203">
        <v>0.99963878563174136</v>
      </c>
      <c r="P200" s="202">
        <v>0.97</v>
      </c>
      <c r="Q200" s="203">
        <v>0.99462412950670265</v>
      </c>
      <c r="R200" s="203">
        <v>0.99510762055409629</v>
      </c>
      <c r="S200" s="203">
        <v>0.99557423854904725</v>
      </c>
      <c r="T200" s="203">
        <v>0.99610768765821767</v>
      </c>
      <c r="U200" s="203">
        <v>0.99666845949813843</v>
      </c>
      <c r="V200" s="203">
        <v>0.99722221400062294</v>
      </c>
      <c r="W200" s="203">
        <v>0.99770587198424254</v>
      </c>
      <c r="X200" s="203">
        <v>0.99792178138532461</v>
      </c>
      <c r="Y200" s="203">
        <v>0.99843735701343428</v>
      </c>
      <c r="Z200" s="203">
        <v>0.99917094670967965</v>
      </c>
      <c r="AB200" s="202">
        <v>0.97</v>
      </c>
      <c r="AC200" s="203">
        <v>0.99418787005936804</v>
      </c>
      <c r="AD200" s="203">
        <v>0.99443297909583805</v>
      </c>
      <c r="AE200" s="203">
        <v>0.99467223960543749</v>
      </c>
      <c r="AF200" s="203">
        <v>0.99498104075696181</v>
      </c>
      <c r="AG200" s="203">
        <v>0.99537350062679286</v>
      </c>
      <c r="AH200" s="203">
        <v>0.99584026028637429</v>
      </c>
      <c r="AI200" s="203">
        <v>0.99629826750677475</v>
      </c>
      <c r="AJ200" s="203">
        <v>0.99650967769418419</v>
      </c>
      <c r="AK200" s="203">
        <v>0.99700527776979508</v>
      </c>
      <c r="AL200" s="203">
        <v>0.99760840016144225</v>
      </c>
    </row>
    <row r="201" spans="4:38" x14ac:dyDescent="0.25">
      <c r="D201" s="202">
        <v>0.97499999999999998</v>
      </c>
      <c r="E201" s="203">
        <v>0.99679388571650629</v>
      </c>
      <c r="F201" s="203">
        <v>0.99728574648109347</v>
      </c>
      <c r="G201" s="203">
        <v>0.99767082971977272</v>
      </c>
      <c r="H201" s="203">
        <v>0.99803668804199075</v>
      </c>
      <c r="I201" s="203">
        <v>0.99837192285374932</v>
      </c>
      <c r="J201" s="203">
        <v>0.99867701267881059</v>
      </c>
      <c r="K201" s="203">
        <v>0.99893327680971755</v>
      </c>
      <c r="L201" s="203">
        <v>0.99904618711141269</v>
      </c>
      <c r="M201" s="203">
        <v>0.99931453806333004</v>
      </c>
      <c r="N201" s="203">
        <v>0.99970129489696746</v>
      </c>
      <c r="P201" s="202">
        <v>0.97499999999999998</v>
      </c>
      <c r="Q201" s="203">
        <v>0.9955316263280839</v>
      </c>
      <c r="R201" s="203">
        <v>0.99593416237515686</v>
      </c>
      <c r="S201" s="203">
        <v>0.9963224847330947</v>
      </c>
      <c r="T201" s="203">
        <v>0.99676630117770759</v>
      </c>
      <c r="U201" s="203">
        <v>0.99723275666099709</v>
      </c>
      <c r="V201" s="203">
        <v>0.99769330658953881</v>
      </c>
      <c r="W201" s="203">
        <v>0.99809550597852947</v>
      </c>
      <c r="X201" s="203">
        <v>0.99827503275579998</v>
      </c>
      <c r="Y201" s="203">
        <v>0.99870366044892311</v>
      </c>
      <c r="Z201" s="203">
        <v>0.99931320072094865</v>
      </c>
      <c r="AB201" s="202">
        <v>0.97499999999999998</v>
      </c>
      <c r="AC201" s="203">
        <v>0.99516854015567813</v>
      </c>
      <c r="AD201" s="203">
        <v>0.99537277701891813</v>
      </c>
      <c r="AE201" s="203">
        <v>0.99557204007329447</v>
      </c>
      <c r="AF201" s="203">
        <v>0.99582910086742316</v>
      </c>
      <c r="AG201" s="203">
        <v>0.99615567330609622</v>
      </c>
      <c r="AH201" s="203">
        <v>0.9965439545446213</v>
      </c>
      <c r="AI201" s="203">
        <v>0.99692487760180215</v>
      </c>
      <c r="AJ201" s="203">
        <v>0.9971006885722824</v>
      </c>
      <c r="AK201" s="203">
        <v>0.99751280105450668</v>
      </c>
      <c r="AL201" s="203">
        <v>0.99801426973428153</v>
      </c>
    </row>
    <row r="202" spans="4:38" x14ac:dyDescent="0.25">
      <c r="D202" s="202">
        <v>0.98</v>
      </c>
      <c r="E202" s="203">
        <v>0.997443871066371</v>
      </c>
      <c r="F202" s="203">
        <v>0.99783643962475932</v>
      </c>
      <c r="G202" s="203">
        <v>0.99814371588455308</v>
      </c>
      <c r="H202" s="203">
        <v>0.99843561228363098</v>
      </c>
      <c r="I202" s="203">
        <v>0.99870304662269083</v>
      </c>
      <c r="J202" s="203">
        <v>0.99894640491078779</v>
      </c>
      <c r="K202" s="203">
        <v>0.99915078733359519</v>
      </c>
      <c r="L202" s="203">
        <v>0.9992408258069615</v>
      </c>
      <c r="M202" s="203">
        <v>0.99945476793246435</v>
      </c>
      <c r="N202" s="203">
        <v>0.99976285371661811</v>
      </c>
      <c r="P202" s="202">
        <v>0.98</v>
      </c>
      <c r="Q202" s="203">
        <v>0.9964344494656685</v>
      </c>
      <c r="R202" s="203">
        <v>0.99675618056639448</v>
      </c>
      <c r="S202" s="203">
        <v>0.99706641949480812</v>
      </c>
      <c r="T202" s="203">
        <v>0.99742089591507765</v>
      </c>
      <c r="U202" s="203">
        <v>0.99779338029478548</v>
      </c>
      <c r="V202" s="203">
        <v>0.99816109421081867</v>
      </c>
      <c r="W202" s="203">
        <v>0.99848217786604965</v>
      </c>
      <c r="X202" s="203">
        <v>0.9986254825790789</v>
      </c>
      <c r="Y202" s="203">
        <v>0.99896757337240549</v>
      </c>
      <c r="Z202" s="203">
        <v>0.99945378439000421</v>
      </c>
      <c r="AB202" s="202">
        <v>0.98</v>
      </c>
      <c r="AC202" s="203">
        <v>0.99614434938649998</v>
      </c>
      <c r="AD202" s="203">
        <v>0.99630772162068315</v>
      </c>
      <c r="AE202" s="203">
        <v>0.99646703542848725</v>
      </c>
      <c r="AF202" s="203">
        <v>0.99667246595957404</v>
      </c>
      <c r="AG202" s="203">
        <v>0.99693334373426945</v>
      </c>
      <c r="AH202" s="203">
        <v>0.99724342356173945</v>
      </c>
      <c r="AI202" s="203">
        <v>0.9975475657345092</v>
      </c>
      <c r="AJ202" s="203">
        <v>0.99768792485921942</v>
      </c>
      <c r="AK202" s="203">
        <v>0.99801690892991068</v>
      </c>
      <c r="AL202" s="203">
        <v>0.99841718242043531</v>
      </c>
    </row>
    <row r="203" spans="4:38" x14ac:dyDescent="0.25">
      <c r="D203" s="202">
        <v>0.98499999999999999</v>
      </c>
      <c r="E203" s="203">
        <v>0.99808942188947258</v>
      </c>
      <c r="F203" s="203">
        <v>0.9983831623149203</v>
      </c>
      <c r="G203" s="203">
        <v>0.99861303045122285</v>
      </c>
      <c r="H203" s="203">
        <v>0.99883136380315141</v>
      </c>
      <c r="I203" s="203">
        <v>0.99903137797743224</v>
      </c>
      <c r="J203" s="203">
        <v>0.9992133648165139</v>
      </c>
      <c r="K203" s="203">
        <v>0.99936618282063872</v>
      </c>
      <c r="L203" s="203">
        <v>0.99943349564960182</v>
      </c>
      <c r="M203" s="203">
        <v>0.99959340161792698</v>
      </c>
      <c r="N203" s="203">
        <v>0.99982348322184611</v>
      </c>
      <c r="P203" s="202">
        <v>0.98499999999999999</v>
      </c>
      <c r="Q203" s="203">
        <v>0.99733264922804188</v>
      </c>
      <c r="R203" s="203">
        <v>0.99757372483855911</v>
      </c>
      <c r="S203" s="203">
        <v>0.99780609116706809</v>
      </c>
      <c r="T203" s="203">
        <v>0.9980715180451718</v>
      </c>
      <c r="U203" s="203">
        <v>0.9983503739229822</v>
      </c>
      <c r="V203" s="203">
        <v>0.99862561758694735</v>
      </c>
      <c r="W203" s="203">
        <v>0.99886592588098566</v>
      </c>
      <c r="X203" s="203">
        <v>0.99897316797812274</v>
      </c>
      <c r="Y203" s="203">
        <v>0.99922913021346449</v>
      </c>
      <c r="Z203" s="203">
        <v>0.99959272735340232</v>
      </c>
      <c r="AB203" s="202">
        <v>0.98499999999999999</v>
      </c>
      <c r="AC203" s="203">
        <v>0.99711534945104074</v>
      </c>
      <c r="AD203" s="203">
        <v>0.99723786514918322</v>
      </c>
      <c r="AE203" s="203">
        <v>0.99735727797513207</v>
      </c>
      <c r="AF203" s="203">
        <v>0.99751118781173731</v>
      </c>
      <c r="AG203" s="203">
        <v>0.99770656233656174</v>
      </c>
      <c r="AH203" s="203">
        <v>0.99793871552566227</v>
      </c>
      <c r="AI203" s="203">
        <v>0.99816637749446568</v>
      </c>
      <c r="AJ203" s="203">
        <v>0.99827143085842618</v>
      </c>
      <c r="AK203" s="203">
        <v>0.99851764255456876</v>
      </c>
      <c r="AL203" s="203">
        <v>0.99881717544081927</v>
      </c>
    </row>
    <row r="204" spans="4:38" x14ac:dyDescent="0.25">
      <c r="D204" s="202">
        <v>0.99</v>
      </c>
      <c r="E204" s="203">
        <v>0.99873059187893498</v>
      </c>
      <c r="F204" s="203">
        <v>0.99892596417104751</v>
      </c>
      <c r="G204" s="203">
        <v>0.99907881932437581</v>
      </c>
      <c r="H204" s="203">
        <v>0.99922398473331486</v>
      </c>
      <c r="I204" s="203">
        <v>0.99935695547492442</v>
      </c>
      <c r="J204" s="203">
        <v>0.99947792763096288</v>
      </c>
      <c r="K204" s="203">
        <v>0.99957949564198378</v>
      </c>
      <c r="L204" s="203">
        <v>0.99962422770431103</v>
      </c>
      <c r="M204" s="203">
        <v>0.99973046682003086</v>
      </c>
      <c r="N204" s="203">
        <v>0.99988320406170961</v>
      </c>
      <c r="P204" s="202">
        <v>0.99</v>
      </c>
      <c r="Q204" s="203">
        <v>0.99822627516105011</v>
      </c>
      <c r="R204" s="203">
        <v>0.99838684414649037</v>
      </c>
      <c r="S204" s="203">
        <v>0.99854154734513345</v>
      </c>
      <c r="T204" s="203">
        <v>0.99871821303448971</v>
      </c>
      <c r="U204" s="203">
        <v>0.99890378039643446</v>
      </c>
      <c r="V204" s="203">
        <v>0.99908691680403539</v>
      </c>
      <c r="W204" s="203">
        <v>0.99924678765052177</v>
      </c>
      <c r="X204" s="203">
        <v>0.99931812548049392</v>
      </c>
      <c r="Y204" s="203">
        <v>0.99948836482786463</v>
      </c>
      <c r="Z204" s="203">
        <v>0.99973005868458731</v>
      </c>
      <c r="AB204" s="202">
        <v>0.99</v>
      </c>
      <c r="AC204" s="203">
        <v>0.99808159126633345</v>
      </c>
      <c r="AD204" s="203">
        <v>0.9981632590611188</v>
      </c>
      <c r="AE204" s="203">
        <v>0.99824281922402358</v>
      </c>
      <c r="AF204" s="203">
        <v>0.99834531741518873</v>
      </c>
      <c r="AG204" s="203">
        <v>0.99847537876937575</v>
      </c>
      <c r="AH204" s="203">
        <v>0.99862987788659152</v>
      </c>
      <c r="AI204" s="203">
        <v>0.99878135777006816</v>
      </c>
      <c r="AJ204" s="203">
        <v>0.99885125019027587</v>
      </c>
      <c r="AK204" s="203">
        <v>0.99901504244795258</v>
      </c>
      <c r="AL204" s="203">
        <v>0.99921428543056245</v>
      </c>
    </row>
    <row r="205" spans="4:38" x14ac:dyDescent="0.25">
      <c r="D205" s="202">
        <v>0.995</v>
      </c>
      <c r="E205" s="203">
        <v>0.99936743389869664</v>
      </c>
      <c r="F205" s="203">
        <v>0.99946489403770788</v>
      </c>
      <c r="G205" s="203">
        <v>0.99954112768401204</v>
      </c>
      <c r="H205" s="203">
        <v>0.99961351653286457</v>
      </c>
      <c r="I205" s="203">
        <v>0.99967981704440778</v>
      </c>
      <c r="J205" s="203">
        <v>0.99974012800155598</v>
      </c>
      <c r="K205" s="203">
        <v>0.99979075761207969</v>
      </c>
      <c r="L205" s="203">
        <v>0.99981305249187236</v>
      </c>
      <c r="M205" s="203">
        <v>0.99986599072183358</v>
      </c>
      <c r="N205" s="203">
        <v>0.99994203641470547</v>
      </c>
      <c r="P205" s="202">
        <v>0.995</v>
      </c>
      <c r="Q205" s="203">
        <v>0.99911537606308742</v>
      </c>
      <c r="R205" s="203">
        <v>0.99919558670427044</v>
      </c>
      <c r="S205" s="203">
        <v>0.99927283490143515</v>
      </c>
      <c r="T205" s="203">
        <v>0.99936102565540064</v>
      </c>
      <c r="U205" s="203">
        <v>0.99945364190685793</v>
      </c>
      <c r="V205" s="203">
        <v>0.99954503132459649</v>
      </c>
      <c r="W205" s="203">
        <v>0.99962480020703837</v>
      </c>
      <c r="X205" s="203">
        <v>0.99966039103032711</v>
      </c>
      <c r="Y205" s="203">
        <v>0.99974531050915738</v>
      </c>
      <c r="Z205" s="203">
        <v>0.99986580690585136</v>
      </c>
      <c r="AB205" s="202">
        <v>0.995</v>
      </c>
      <c r="AC205" s="203">
        <v>0.99904312498289538</v>
      </c>
      <c r="AD205" s="203">
        <v>0.99908395403768135</v>
      </c>
      <c r="AE205" s="203">
        <v>0.99912370990851396</v>
      </c>
      <c r="AF205" s="203">
        <v>0.99917490498991923</v>
      </c>
      <c r="AG205" s="203">
        <v>0.99923984193567417</v>
      </c>
      <c r="AH205" s="203">
        <v>0.99931695737178827</v>
      </c>
      <c r="AI205" s="203">
        <v>0.99939255076261047</v>
      </c>
      <c r="AJ205" s="203">
        <v>0.9994274258057888</v>
      </c>
      <c r="AK205" s="203">
        <v>0.99950914850327555</v>
      </c>
      <c r="AL205" s="203">
        <v>0.99960854845077118</v>
      </c>
    </row>
    <row r="206" spans="4:38" x14ac:dyDescent="0.25">
      <c r="D206" s="202">
        <v>1</v>
      </c>
      <c r="E206" s="203">
        <v>1</v>
      </c>
      <c r="F206" s="203">
        <v>1</v>
      </c>
      <c r="G206" s="203">
        <v>1</v>
      </c>
      <c r="H206" s="203">
        <v>1</v>
      </c>
      <c r="I206" s="203">
        <v>1</v>
      </c>
      <c r="J206" s="203">
        <v>1</v>
      </c>
      <c r="K206" s="203">
        <v>1</v>
      </c>
      <c r="L206" s="203">
        <v>1</v>
      </c>
      <c r="M206" s="203">
        <v>1</v>
      </c>
      <c r="N206" s="203">
        <v>1</v>
      </c>
      <c r="P206" s="202">
        <v>1</v>
      </c>
      <c r="Q206" s="203">
        <v>1</v>
      </c>
      <c r="R206" s="203">
        <v>1</v>
      </c>
      <c r="S206" s="203">
        <v>1</v>
      </c>
      <c r="T206" s="203">
        <v>1</v>
      </c>
      <c r="U206" s="203">
        <v>1</v>
      </c>
      <c r="V206" s="203">
        <v>1</v>
      </c>
      <c r="W206" s="203">
        <v>1</v>
      </c>
      <c r="X206" s="203">
        <v>1</v>
      </c>
      <c r="Y206" s="203">
        <v>1</v>
      </c>
      <c r="Z206" s="203">
        <v>1</v>
      </c>
      <c r="AB206" s="202">
        <v>1</v>
      </c>
      <c r="AC206" s="203">
        <v>1</v>
      </c>
      <c r="AD206" s="203">
        <v>1</v>
      </c>
      <c r="AE206" s="203">
        <v>1</v>
      </c>
      <c r="AF206" s="203">
        <v>1</v>
      </c>
      <c r="AG206" s="203">
        <v>1</v>
      </c>
      <c r="AH206" s="203">
        <v>1</v>
      </c>
      <c r="AI206" s="203">
        <v>1</v>
      </c>
      <c r="AJ206" s="203">
        <v>1</v>
      </c>
      <c r="AK206" s="203">
        <v>1</v>
      </c>
      <c r="AL206" s="203">
        <v>1</v>
      </c>
    </row>
    <row r="207" spans="4:38" x14ac:dyDescent="0.25">
      <c r="D207" s="202">
        <v>1.0049999999999999</v>
      </c>
      <c r="E207" s="203">
        <v>1</v>
      </c>
      <c r="F207" s="203">
        <v>1</v>
      </c>
      <c r="G207" s="203">
        <v>1</v>
      </c>
      <c r="H207" s="203">
        <v>1</v>
      </c>
      <c r="I207" s="203">
        <v>1</v>
      </c>
      <c r="J207" s="203">
        <v>1</v>
      </c>
      <c r="K207" s="203">
        <v>1</v>
      </c>
      <c r="L207" s="203">
        <v>1</v>
      </c>
      <c r="M207" s="203">
        <v>1</v>
      </c>
      <c r="N207" s="203">
        <v>1</v>
      </c>
      <c r="P207" s="202">
        <v>1.0049999999999999</v>
      </c>
      <c r="Q207" s="203">
        <v>1</v>
      </c>
      <c r="R207" s="203">
        <v>1</v>
      </c>
      <c r="S207" s="203">
        <v>1</v>
      </c>
      <c r="T207" s="203">
        <v>1</v>
      </c>
      <c r="U207" s="203">
        <v>1</v>
      </c>
      <c r="V207" s="203">
        <v>1</v>
      </c>
      <c r="W207" s="203">
        <v>1</v>
      </c>
      <c r="X207" s="203">
        <v>1</v>
      </c>
      <c r="Y207" s="203">
        <v>1</v>
      </c>
      <c r="Z207" s="203">
        <v>1</v>
      </c>
      <c r="AB207" s="202">
        <v>1.0049999999999999</v>
      </c>
      <c r="AC207" s="203">
        <v>1</v>
      </c>
      <c r="AD207" s="203">
        <v>1</v>
      </c>
      <c r="AE207" s="203">
        <v>1</v>
      </c>
      <c r="AF207" s="203">
        <v>1</v>
      </c>
      <c r="AG207" s="203">
        <v>1</v>
      </c>
      <c r="AH207" s="203">
        <v>1</v>
      </c>
      <c r="AI207" s="203">
        <v>1</v>
      </c>
      <c r="AJ207" s="203">
        <v>1</v>
      </c>
      <c r="AK207" s="203">
        <v>1</v>
      </c>
      <c r="AL207" s="203">
        <v>1</v>
      </c>
    </row>
    <row r="208" spans="4:38" x14ac:dyDescent="0.25">
      <c r="D208" s="202">
        <v>1.0099999999999998</v>
      </c>
      <c r="E208" s="203">
        <v>1</v>
      </c>
      <c r="F208" s="203">
        <v>1</v>
      </c>
      <c r="G208" s="203">
        <v>1</v>
      </c>
      <c r="H208" s="203">
        <v>1</v>
      </c>
      <c r="I208" s="203">
        <v>1</v>
      </c>
      <c r="J208" s="203">
        <v>1</v>
      </c>
      <c r="K208" s="203">
        <v>1</v>
      </c>
      <c r="L208" s="203">
        <v>1</v>
      </c>
      <c r="M208" s="203">
        <v>1</v>
      </c>
      <c r="N208" s="203">
        <v>1</v>
      </c>
      <c r="P208" s="202">
        <v>1.0099999999999998</v>
      </c>
      <c r="Q208" s="203">
        <v>1</v>
      </c>
      <c r="R208" s="203">
        <v>1</v>
      </c>
      <c r="S208" s="203">
        <v>1</v>
      </c>
      <c r="T208" s="203">
        <v>1</v>
      </c>
      <c r="U208" s="203">
        <v>1</v>
      </c>
      <c r="V208" s="203">
        <v>1</v>
      </c>
      <c r="W208" s="203">
        <v>1</v>
      </c>
      <c r="X208" s="203">
        <v>1</v>
      </c>
      <c r="Y208" s="203">
        <v>1</v>
      </c>
      <c r="Z208" s="203">
        <v>1</v>
      </c>
      <c r="AB208" s="202">
        <v>1.0099999999999998</v>
      </c>
      <c r="AC208" s="203">
        <v>1</v>
      </c>
      <c r="AD208" s="203">
        <v>1</v>
      </c>
      <c r="AE208" s="203">
        <v>1</v>
      </c>
      <c r="AF208" s="203">
        <v>1</v>
      </c>
      <c r="AG208" s="203">
        <v>1</v>
      </c>
      <c r="AH208" s="203">
        <v>1</v>
      </c>
      <c r="AI208" s="203">
        <v>1</v>
      </c>
      <c r="AJ208" s="203">
        <v>1</v>
      </c>
      <c r="AK208" s="203">
        <v>1</v>
      </c>
      <c r="AL208" s="203">
        <v>1</v>
      </c>
    </row>
    <row r="209" spans="4:38" x14ac:dyDescent="0.25">
      <c r="D209" s="202">
        <v>1.0149999999999997</v>
      </c>
      <c r="E209" s="203">
        <v>1</v>
      </c>
      <c r="F209" s="203">
        <v>1</v>
      </c>
      <c r="G209" s="203">
        <v>1</v>
      </c>
      <c r="H209" s="203">
        <v>1</v>
      </c>
      <c r="I209" s="203">
        <v>1</v>
      </c>
      <c r="J209" s="203">
        <v>1</v>
      </c>
      <c r="K209" s="203">
        <v>1</v>
      </c>
      <c r="L209" s="203">
        <v>1</v>
      </c>
      <c r="M209" s="203">
        <v>1</v>
      </c>
      <c r="N209" s="203">
        <v>1</v>
      </c>
      <c r="P209" s="202">
        <v>1.0149999999999997</v>
      </c>
      <c r="Q209" s="203">
        <v>1</v>
      </c>
      <c r="R209" s="203">
        <v>1</v>
      </c>
      <c r="S209" s="203">
        <v>1</v>
      </c>
      <c r="T209" s="203">
        <v>1</v>
      </c>
      <c r="U209" s="203">
        <v>1</v>
      </c>
      <c r="V209" s="203">
        <v>1</v>
      </c>
      <c r="W209" s="203">
        <v>1</v>
      </c>
      <c r="X209" s="203">
        <v>1</v>
      </c>
      <c r="Y209" s="203">
        <v>1</v>
      </c>
      <c r="Z209" s="203">
        <v>1</v>
      </c>
      <c r="AB209" s="202">
        <v>1.0149999999999997</v>
      </c>
      <c r="AC209" s="203">
        <v>1</v>
      </c>
      <c r="AD209" s="203">
        <v>1</v>
      </c>
      <c r="AE209" s="203">
        <v>1</v>
      </c>
      <c r="AF209" s="203">
        <v>1</v>
      </c>
      <c r="AG209" s="203">
        <v>1</v>
      </c>
      <c r="AH209" s="203">
        <v>1</v>
      </c>
      <c r="AI209" s="203">
        <v>1</v>
      </c>
      <c r="AJ209" s="203">
        <v>1</v>
      </c>
      <c r="AK209" s="203">
        <v>1</v>
      </c>
      <c r="AL209" s="203">
        <v>1</v>
      </c>
    </row>
    <row r="210" spans="4:38" x14ac:dyDescent="0.25">
      <c r="D210" s="202">
        <v>1.0199999999999996</v>
      </c>
      <c r="E210" s="203">
        <v>1</v>
      </c>
      <c r="F210" s="203">
        <v>1</v>
      </c>
      <c r="G210" s="203">
        <v>1</v>
      </c>
      <c r="H210" s="203">
        <v>1</v>
      </c>
      <c r="I210" s="203">
        <v>1</v>
      </c>
      <c r="J210" s="203">
        <v>1</v>
      </c>
      <c r="K210" s="203">
        <v>1</v>
      </c>
      <c r="L210" s="203">
        <v>1</v>
      </c>
      <c r="M210" s="203">
        <v>1</v>
      </c>
      <c r="N210" s="203">
        <v>1</v>
      </c>
      <c r="P210" s="202">
        <v>1.0199999999999996</v>
      </c>
      <c r="Q210" s="203">
        <v>1</v>
      </c>
      <c r="R210" s="203">
        <v>1</v>
      </c>
      <c r="S210" s="203">
        <v>1</v>
      </c>
      <c r="T210" s="203">
        <v>1</v>
      </c>
      <c r="U210" s="203">
        <v>1</v>
      </c>
      <c r="V210" s="203">
        <v>1</v>
      </c>
      <c r="W210" s="203">
        <v>1</v>
      </c>
      <c r="X210" s="203">
        <v>1</v>
      </c>
      <c r="Y210" s="203">
        <v>1</v>
      </c>
      <c r="Z210" s="203">
        <v>1</v>
      </c>
      <c r="AB210" s="202">
        <v>1.0199999999999996</v>
      </c>
      <c r="AC210" s="203">
        <v>1</v>
      </c>
      <c r="AD210" s="203">
        <v>1</v>
      </c>
      <c r="AE210" s="203">
        <v>1</v>
      </c>
      <c r="AF210" s="203">
        <v>1</v>
      </c>
      <c r="AG210" s="203">
        <v>1</v>
      </c>
      <c r="AH210" s="203">
        <v>1</v>
      </c>
      <c r="AI210" s="203">
        <v>1</v>
      </c>
      <c r="AJ210" s="203">
        <v>1</v>
      </c>
      <c r="AK210" s="203">
        <v>1</v>
      </c>
      <c r="AL210" s="203">
        <v>1</v>
      </c>
    </row>
    <row r="211" spans="4:38" x14ac:dyDescent="0.25">
      <c r="D211" s="202">
        <v>1.0249999999999995</v>
      </c>
      <c r="E211" s="203">
        <v>1</v>
      </c>
      <c r="F211" s="203">
        <v>1</v>
      </c>
      <c r="G211" s="203">
        <v>1</v>
      </c>
      <c r="H211" s="203">
        <v>1</v>
      </c>
      <c r="I211" s="203">
        <v>1</v>
      </c>
      <c r="J211" s="203">
        <v>1</v>
      </c>
      <c r="K211" s="203">
        <v>1</v>
      </c>
      <c r="L211" s="203">
        <v>1</v>
      </c>
      <c r="M211" s="203">
        <v>1</v>
      </c>
      <c r="N211" s="203">
        <v>1</v>
      </c>
      <c r="P211" s="202">
        <v>1.0249999999999995</v>
      </c>
      <c r="Q211" s="203">
        <v>1</v>
      </c>
      <c r="R211" s="203">
        <v>1</v>
      </c>
      <c r="S211" s="203">
        <v>1</v>
      </c>
      <c r="T211" s="203">
        <v>1</v>
      </c>
      <c r="U211" s="203">
        <v>1</v>
      </c>
      <c r="V211" s="203">
        <v>1</v>
      </c>
      <c r="W211" s="203">
        <v>1</v>
      </c>
      <c r="X211" s="203">
        <v>1</v>
      </c>
      <c r="Y211" s="203">
        <v>1</v>
      </c>
      <c r="Z211" s="203">
        <v>1</v>
      </c>
      <c r="AB211" s="202">
        <v>1.0249999999999995</v>
      </c>
      <c r="AC211" s="203">
        <v>1</v>
      </c>
      <c r="AD211" s="203">
        <v>1</v>
      </c>
      <c r="AE211" s="203">
        <v>1</v>
      </c>
      <c r="AF211" s="203">
        <v>1</v>
      </c>
      <c r="AG211" s="203">
        <v>1</v>
      </c>
      <c r="AH211" s="203">
        <v>1</v>
      </c>
      <c r="AI211" s="203">
        <v>1</v>
      </c>
      <c r="AJ211" s="203">
        <v>1</v>
      </c>
      <c r="AK211" s="203">
        <v>1</v>
      </c>
      <c r="AL211" s="203">
        <v>1</v>
      </c>
    </row>
    <row r="212" spans="4:38" x14ac:dyDescent="0.25">
      <c r="D212" s="202">
        <v>1.0299999999999994</v>
      </c>
      <c r="E212" s="203">
        <v>1</v>
      </c>
      <c r="F212" s="203">
        <v>1</v>
      </c>
      <c r="G212" s="203">
        <v>1</v>
      </c>
      <c r="H212" s="203">
        <v>1</v>
      </c>
      <c r="I212" s="203">
        <v>1</v>
      </c>
      <c r="J212" s="203">
        <v>1</v>
      </c>
      <c r="K212" s="203">
        <v>1</v>
      </c>
      <c r="L212" s="203">
        <v>1</v>
      </c>
      <c r="M212" s="203">
        <v>1</v>
      </c>
      <c r="N212" s="203">
        <v>1</v>
      </c>
      <c r="P212" s="202">
        <v>1.0299999999999994</v>
      </c>
      <c r="Q212" s="203">
        <v>1</v>
      </c>
      <c r="R212" s="203">
        <v>1</v>
      </c>
      <c r="S212" s="203">
        <v>1</v>
      </c>
      <c r="T212" s="203">
        <v>1</v>
      </c>
      <c r="U212" s="203">
        <v>1</v>
      </c>
      <c r="V212" s="203">
        <v>1</v>
      </c>
      <c r="W212" s="203">
        <v>1</v>
      </c>
      <c r="X212" s="203">
        <v>1</v>
      </c>
      <c r="Y212" s="203">
        <v>1</v>
      </c>
      <c r="Z212" s="203">
        <v>1</v>
      </c>
      <c r="AB212" s="202">
        <v>1.0299999999999994</v>
      </c>
      <c r="AC212" s="203">
        <v>1</v>
      </c>
      <c r="AD212" s="203">
        <v>1</v>
      </c>
      <c r="AE212" s="203">
        <v>1</v>
      </c>
      <c r="AF212" s="203">
        <v>1</v>
      </c>
      <c r="AG212" s="203">
        <v>1</v>
      </c>
      <c r="AH212" s="203">
        <v>1</v>
      </c>
      <c r="AI212" s="203">
        <v>1</v>
      </c>
      <c r="AJ212" s="203">
        <v>1</v>
      </c>
      <c r="AK212" s="203">
        <v>1</v>
      </c>
      <c r="AL212" s="203">
        <v>1</v>
      </c>
    </row>
    <row r="213" spans="4:38" x14ac:dyDescent="0.25">
      <c r="D213" s="202">
        <v>1.0349999999999993</v>
      </c>
      <c r="E213" s="203">
        <v>1</v>
      </c>
      <c r="F213" s="203">
        <v>1</v>
      </c>
      <c r="G213" s="203">
        <v>1</v>
      </c>
      <c r="H213" s="203">
        <v>1</v>
      </c>
      <c r="I213" s="203">
        <v>1</v>
      </c>
      <c r="J213" s="203">
        <v>1</v>
      </c>
      <c r="K213" s="203">
        <v>1</v>
      </c>
      <c r="L213" s="203">
        <v>1</v>
      </c>
      <c r="M213" s="203">
        <v>1</v>
      </c>
      <c r="N213" s="203">
        <v>1</v>
      </c>
      <c r="P213" s="202">
        <v>1.0349999999999993</v>
      </c>
      <c r="Q213" s="203">
        <v>1</v>
      </c>
      <c r="R213" s="203">
        <v>1</v>
      </c>
      <c r="S213" s="203">
        <v>1</v>
      </c>
      <c r="T213" s="203">
        <v>1</v>
      </c>
      <c r="U213" s="203">
        <v>1</v>
      </c>
      <c r="V213" s="203">
        <v>1</v>
      </c>
      <c r="W213" s="203">
        <v>1</v>
      </c>
      <c r="X213" s="203">
        <v>1</v>
      </c>
      <c r="Y213" s="203">
        <v>1</v>
      </c>
      <c r="Z213" s="203">
        <v>1</v>
      </c>
      <c r="AB213" s="202">
        <v>1.0349999999999993</v>
      </c>
      <c r="AC213" s="203">
        <v>1</v>
      </c>
      <c r="AD213" s="203">
        <v>1</v>
      </c>
      <c r="AE213" s="203">
        <v>1</v>
      </c>
      <c r="AF213" s="203">
        <v>1</v>
      </c>
      <c r="AG213" s="203">
        <v>1</v>
      </c>
      <c r="AH213" s="203">
        <v>1</v>
      </c>
      <c r="AI213" s="203">
        <v>1</v>
      </c>
      <c r="AJ213" s="203">
        <v>1</v>
      </c>
      <c r="AK213" s="203">
        <v>1</v>
      </c>
      <c r="AL213" s="203">
        <v>1</v>
      </c>
    </row>
    <row r="214" spans="4:38" x14ac:dyDescent="0.25">
      <c r="D214" s="202">
        <v>1.0399999999999991</v>
      </c>
      <c r="E214" s="203">
        <v>1</v>
      </c>
      <c r="F214" s="203">
        <v>1</v>
      </c>
      <c r="G214" s="203">
        <v>1</v>
      </c>
      <c r="H214" s="203">
        <v>1</v>
      </c>
      <c r="I214" s="203">
        <v>1</v>
      </c>
      <c r="J214" s="203">
        <v>1</v>
      </c>
      <c r="K214" s="203">
        <v>1</v>
      </c>
      <c r="L214" s="203">
        <v>1</v>
      </c>
      <c r="M214" s="203">
        <v>1</v>
      </c>
      <c r="N214" s="203">
        <v>1</v>
      </c>
      <c r="P214" s="202">
        <v>1.0399999999999991</v>
      </c>
      <c r="Q214" s="203">
        <v>1</v>
      </c>
      <c r="R214" s="203">
        <v>1</v>
      </c>
      <c r="S214" s="203">
        <v>1</v>
      </c>
      <c r="T214" s="203">
        <v>1</v>
      </c>
      <c r="U214" s="203">
        <v>1</v>
      </c>
      <c r="V214" s="203">
        <v>1</v>
      </c>
      <c r="W214" s="203">
        <v>1</v>
      </c>
      <c r="X214" s="203">
        <v>1</v>
      </c>
      <c r="Y214" s="203">
        <v>1</v>
      </c>
      <c r="Z214" s="203">
        <v>1</v>
      </c>
      <c r="AB214" s="202">
        <v>1.0399999999999991</v>
      </c>
      <c r="AC214" s="203">
        <v>1</v>
      </c>
      <c r="AD214" s="203">
        <v>1</v>
      </c>
      <c r="AE214" s="203">
        <v>1</v>
      </c>
      <c r="AF214" s="203">
        <v>1</v>
      </c>
      <c r="AG214" s="203">
        <v>1</v>
      </c>
      <c r="AH214" s="203">
        <v>1</v>
      </c>
      <c r="AI214" s="203">
        <v>1</v>
      </c>
      <c r="AJ214" s="203">
        <v>1</v>
      </c>
      <c r="AK214" s="203">
        <v>1</v>
      </c>
      <c r="AL214" s="203">
        <v>1</v>
      </c>
    </row>
    <row r="215" spans="4:38" x14ac:dyDescent="0.25">
      <c r="D215" s="202">
        <v>1.044999999999999</v>
      </c>
      <c r="E215" s="203">
        <v>1</v>
      </c>
      <c r="F215" s="203">
        <v>1</v>
      </c>
      <c r="G215" s="203">
        <v>1</v>
      </c>
      <c r="H215" s="203">
        <v>1</v>
      </c>
      <c r="I215" s="203">
        <v>1</v>
      </c>
      <c r="J215" s="203">
        <v>1</v>
      </c>
      <c r="K215" s="203">
        <v>1</v>
      </c>
      <c r="L215" s="203">
        <v>1</v>
      </c>
      <c r="M215" s="203">
        <v>1</v>
      </c>
      <c r="N215" s="203">
        <v>1</v>
      </c>
      <c r="P215" s="202">
        <v>1.044999999999999</v>
      </c>
      <c r="Q215" s="203">
        <v>1</v>
      </c>
      <c r="R215" s="203">
        <v>1</v>
      </c>
      <c r="S215" s="203">
        <v>1</v>
      </c>
      <c r="T215" s="203">
        <v>1</v>
      </c>
      <c r="U215" s="203">
        <v>1</v>
      </c>
      <c r="V215" s="203">
        <v>1</v>
      </c>
      <c r="W215" s="203">
        <v>1</v>
      </c>
      <c r="X215" s="203">
        <v>1</v>
      </c>
      <c r="Y215" s="203">
        <v>1</v>
      </c>
      <c r="Z215" s="203">
        <v>1</v>
      </c>
      <c r="AB215" s="202">
        <v>1.044999999999999</v>
      </c>
      <c r="AC215" s="203">
        <v>1</v>
      </c>
      <c r="AD215" s="203">
        <v>1</v>
      </c>
      <c r="AE215" s="203">
        <v>1</v>
      </c>
      <c r="AF215" s="203">
        <v>1</v>
      </c>
      <c r="AG215" s="203">
        <v>1</v>
      </c>
      <c r="AH215" s="203">
        <v>1</v>
      </c>
      <c r="AI215" s="203">
        <v>1</v>
      </c>
      <c r="AJ215" s="203">
        <v>1</v>
      </c>
      <c r="AK215" s="203">
        <v>1</v>
      </c>
      <c r="AL215" s="203">
        <v>1</v>
      </c>
    </row>
    <row r="216" spans="4:38" x14ac:dyDescent="0.25">
      <c r="D216" s="202">
        <v>1.0499999999999989</v>
      </c>
      <c r="E216" s="203">
        <v>1</v>
      </c>
      <c r="F216" s="203">
        <v>1</v>
      </c>
      <c r="G216" s="203">
        <v>1</v>
      </c>
      <c r="H216" s="203">
        <v>1</v>
      </c>
      <c r="I216" s="203">
        <v>1</v>
      </c>
      <c r="J216" s="203">
        <v>1</v>
      </c>
      <c r="K216" s="203">
        <v>1</v>
      </c>
      <c r="L216" s="203">
        <v>1</v>
      </c>
      <c r="M216" s="203">
        <v>1</v>
      </c>
      <c r="N216" s="203">
        <v>1</v>
      </c>
      <c r="P216" s="202">
        <v>1.0499999999999989</v>
      </c>
      <c r="Q216" s="203">
        <v>1</v>
      </c>
      <c r="R216" s="203">
        <v>1</v>
      </c>
      <c r="S216" s="203">
        <v>1</v>
      </c>
      <c r="T216" s="203">
        <v>1</v>
      </c>
      <c r="U216" s="203">
        <v>1</v>
      </c>
      <c r="V216" s="203">
        <v>1</v>
      </c>
      <c r="W216" s="203">
        <v>1</v>
      </c>
      <c r="X216" s="203">
        <v>1</v>
      </c>
      <c r="Y216" s="203">
        <v>1</v>
      </c>
      <c r="Z216" s="203">
        <v>1</v>
      </c>
      <c r="AB216" s="202">
        <v>1.0499999999999989</v>
      </c>
      <c r="AC216" s="203">
        <v>1</v>
      </c>
      <c r="AD216" s="203">
        <v>1</v>
      </c>
      <c r="AE216" s="203">
        <v>1</v>
      </c>
      <c r="AF216" s="203">
        <v>1</v>
      </c>
      <c r="AG216" s="203">
        <v>1</v>
      </c>
      <c r="AH216" s="203">
        <v>1</v>
      </c>
      <c r="AI216" s="203">
        <v>1</v>
      </c>
      <c r="AJ216" s="203">
        <v>1</v>
      </c>
      <c r="AK216" s="203">
        <v>1</v>
      </c>
      <c r="AL216" s="203">
        <v>1</v>
      </c>
    </row>
    <row r="217" spans="4:38" x14ac:dyDescent="0.25">
      <c r="D217" s="202">
        <v>1.0549999999999988</v>
      </c>
      <c r="E217" s="203">
        <v>1</v>
      </c>
      <c r="F217" s="203">
        <v>1</v>
      </c>
      <c r="G217" s="203">
        <v>1</v>
      </c>
      <c r="H217" s="203">
        <v>1</v>
      </c>
      <c r="I217" s="203">
        <v>1</v>
      </c>
      <c r="J217" s="203">
        <v>1</v>
      </c>
      <c r="K217" s="203">
        <v>1</v>
      </c>
      <c r="L217" s="203">
        <v>1</v>
      </c>
      <c r="M217" s="203">
        <v>1</v>
      </c>
      <c r="N217" s="203">
        <v>1</v>
      </c>
      <c r="P217" s="202">
        <v>1.0549999999999988</v>
      </c>
      <c r="Q217" s="203">
        <v>1</v>
      </c>
      <c r="R217" s="203">
        <v>1</v>
      </c>
      <c r="S217" s="203">
        <v>1</v>
      </c>
      <c r="T217" s="203">
        <v>1</v>
      </c>
      <c r="U217" s="203">
        <v>1</v>
      </c>
      <c r="V217" s="203">
        <v>1</v>
      </c>
      <c r="W217" s="203">
        <v>1</v>
      </c>
      <c r="X217" s="203">
        <v>1</v>
      </c>
      <c r="Y217" s="203">
        <v>1</v>
      </c>
      <c r="Z217" s="203">
        <v>1</v>
      </c>
      <c r="AB217" s="202">
        <v>1.0549999999999988</v>
      </c>
      <c r="AC217" s="203">
        <v>1</v>
      </c>
      <c r="AD217" s="203">
        <v>1</v>
      </c>
      <c r="AE217" s="203">
        <v>1</v>
      </c>
      <c r="AF217" s="203">
        <v>1</v>
      </c>
      <c r="AG217" s="203">
        <v>1</v>
      </c>
      <c r="AH217" s="203">
        <v>1</v>
      </c>
      <c r="AI217" s="203">
        <v>1</v>
      </c>
      <c r="AJ217" s="203">
        <v>1</v>
      </c>
      <c r="AK217" s="203">
        <v>1</v>
      </c>
      <c r="AL217" s="203">
        <v>1</v>
      </c>
    </row>
    <row r="218" spans="4:38" x14ac:dyDescent="0.25">
      <c r="D218" s="202">
        <v>1.0599999999999987</v>
      </c>
      <c r="E218" s="203">
        <v>1</v>
      </c>
      <c r="F218" s="203">
        <v>1</v>
      </c>
      <c r="G218" s="203">
        <v>1</v>
      </c>
      <c r="H218" s="203">
        <v>1</v>
      </c>
      <c r="I218" s="203">
        <v>1</v>
      </c>
      <c r="J218" s="203">
        <v>1</v>
      </c>
      <c r="K218" s="203">
        <v>1</v>
      </c>
      <c r="L218" s="203">
        <v>1</v>
      </c>
      <c r="M218" s="203">
        <v>1</v>
      </c>
      <c r="N218" s="203">
        <v>1</v>
      </c>
      <c r="P218" s="202">
        <v>1.0599999999999987</v>
      </c>
      <c r="Q218" s="203">
        <v>1</v>
      </c>
      <c r="R218" s="203">
        <v>1</v>
      </c>
      <c r="S218" s="203">
        <v>1</v>
      </c>
      <c r="T218" s="203">
        <v>1</v>
      </c>
      <c r="U218" s="203">
        <v>1</v>
      </c>
      <c r="V218" s="203">
        <v>1</v>
      </c>
      <c r="W218" s="203">
        <v>1</v>
      </c>
      <c r="X218" s="203">
        <v>1</v>
      </c>
      <c r="Y218" s="203">
        <v>1</v>
      </c>
      <c r="Z218" s="203">
        <v>1</v>
      </c>
      <c r="AB218" s="202">
        <v>1.0599999999999987</v>
      </c>
      <c r="AC218" s="203">
        <v>1</v>
      </c>
      <c r="AD218" s="203">
        <v>1</v>
      </c>
      <c r="AE218" s="203">
        <v>1</v>
      </c>
      <c r="AF218" s="203">
        <v>1</v>
      </c>
      <c r="AG218" s="203">
        <v>1</v>
      </c>
      <c r="AH218" s="203">
        <v>1</v>
      </c>
      <c r="AI218" s="203">
        <v>1</v>
      </c>
      <c r="AJ218" s="203">
        <v>1</v>
      </c>
      <c r="AK218" s="203">
        <v>1</v>
      </c>
      <c r="AL218" s="203">
        <v>1</v>
      </c>
    </row>
    <row r="219" spans="4:38" x14ac:dyDescent="0.25">
      <c r="D219" s="202">
        <v>1.0649999999999986</v>
      </c>
      <c r="E219" s="203">
        <v>1</v>
      </c>
      <c r="F219" s="203">
        <v>1</v>
      </c>
      <c r="G219" s="203">
        <v>1</v>
      </c>
      <c r="H219" s="203">
        <v>1</v>
      </c>
      <c r="I219" s="203">
        <v>1</v>
      </c>
      <c r="J219" s="203">
        <v>1</v>
      </c>
      <c r="K219" s="203">
        <v>1</v>
      </c>
      <c r="L219" s="203">
        <v>1</v>
      </c>
      <c r="M219" s="203">
        <v>1</v>
      </c>
      <c r="N219" s="203">
        <v>1</v>
      </c>
      <c r="P219" s="202">
        <v>1.0649999999999986</v>
      </c>
      <c r="Q219" s="203">
        <v>1</v>
      </c>
      <c r="R219" s="203">
        <v>1</v>
      </c>
      <c r="S219" s="203">
        <v>1</v>
      </c>
      <c r="T219" s="203">
        <v>1</v>
      </c>
      <c r="U219" s="203">
        <v>1</v>
      </c>
      <c r="V219" s="203">
        <v>1</v>
      </c>
      <c r="W219" s="203">
        <v>1</v>
      </c>
      <c r="X219" s="203">
        <v>1</v>
      </c>
      <c r="Y219" s="203">
        <v>1</v>
      </c>
      <c r="Z219" s="203">
        <v>1</v>
      </c>
      <c r="AB219" s="202">
        <v>1.0649999999999986</v>
      </c>
      <c r="AC219" s="203">
        <v>1</v>
      </c>
      <c r="AD219" s="203">
        <v>1</v>
      </c>
      <c r="AE219" s="203">
        <v>1</v>
      </c>
      <c r="AF219" s="203">
        <v>1</v>
      </c>
      <c r="AG219" s="203">
        <v>1</v>
      </c>
      <c r="AH219" s="203">
        <v>1</v>
      </c>
      <c r="AI219" s="203">
        <v>1</v>
      </c>
      <c r="AJ219" s="203">
        <v>1</v>
      </c>
      <c r="AK219" s="203">
        <v>1</v>
      </c>
      <c r="AL219" s="203">
        <v>1</v>
      </c>
    </row>
    <row r="220" spans="4:38" x14ac:dyDescent="0.25">
      <c r="D220" s="202">
        <v>1.0699999999999985</v>
      </c>
      <c r="E220" s="203">
        <v>1</v>
      </c>
      <c r="F220" s="203">
        <v>1</v>
      </c>
      <c r="G220" s="203">
        <v>1</v>
      </c>
      <c r="H220" s="203">
        <v>1</v>
      </c>
      <c r="I220" s="203">
        <v>1</v>
      </c>
      <c r="J220" s="203">
        <v>1</v>
      </c>
      <c r="K220" s="203">
        <v>1</v>
      </c>
      <c r="L220" s="203">
        <v>1</v>
      </c>
      <c r="M220" s="203">
        <v>1</v>
      </c>
      <c r="N220" s="203">
        <v>1</v>
      </c>
      <c r="P220" s="202">
        <v>1.0699999999999985</v>
      </c>
      <c r="Q220" s="203">
        <v>1</v>
      </c>
      <c r="R220" s="203">
        <v>1</v>
      </c>
      <c r="S220" s="203">
        <v>1</v>
      </c>
      <c r="T220" s="203">
        <v>1</v>
      </c>
      <c r="U220" s="203">
        <v>1</v>
      </c>
      <c r="V220" s="203">
        <v>1</v>
      </c>
      <c r="W220" s="203">
        <v>1</v>
      </c>
      <c r="X220" s="203">
        <v>1</v>
      </c>
      <c r="Y220" s="203">
        <v>1</v>
      </c>
      <c r="Z220" s="203">
        <v>1</v>
      </c>
      <c r="AB220" s="202">
        <v>1.0699999999999985</v>
      </c>
      <c r="AC220" s="203">
        <v>1</v>
      </c>
      <c r="AD220" s="203">
        <v>1</v>
      </c>
      <c r="AE220" s="203">
        <v>1</v>
      </c>
      <c r="AF220" s="203">
        <v>1</v>
      </c>
      <c r="AG220" s="203">
        <v>1</v>
      </c>
      <c r="AH220" s="203">
        <v>1</v>
      </c>
      <c r="AI220" s="203">
        <v>1</v>
      </c>
      <c r="AJ220" s="203">
        <v>1</v>
      </c>
      <c r="AK220" s="203">
        <v>1</v>
      </c>
      <c r="AL220" s="203">
        <v>1</v>
      </c>
    </row>
    <row r="221" spans="4:38" x14ac:dyDescent="0.25">
      <c r="D221" s="202">
        <v>1.0749999999999984</v>
      </c>
      <c r="E221" s="203">
        <v>1</v>
      </c>
      <c r="F221" s="203">
        <v>1</v>
      </c>
      <c r="G221" s="203">
        <v>1</v>
      </c>
      <c r="H221" s="203">
        <v>1</v>
      </c>
      <c r="I221" s="203">
        <v>1</v>
      </c>
      <c r="J221" s="203">
        <v>1</v>
      </c>
      <c r="K221" s="203">
        <v>1</v>
      </c>
      <c r="L221" s="203">
        <v>1</v>
      </c>
      <c r="M221" s="203">
        <v>1</v>
      </c>
      <c r="N221" s="203">
        <v>1</v>
      </c>
      <c r="P221" s="202">
        <v>1.0749999999999984</v>
      </c>
      <c r="Q221" s="203">
        <v>1</v>
      </c>
      <c r="R221" s="203">
        <v>1</v>
      </c>
      <c r="S221" s="203">
        <v>1</v>
      </c>
      <c r="T221" s="203">
        <v>1</v>
      </c>
      <c r="U221" s="203">
        <v>1</v>
      </c>
      <c r="V221" s="203">
        <v>1</v>
      </c>
      <c r="W221" s="203">
        <v>1</v>
      </c>
      <c r="X221" s="203">
        <v>1</v>
      </c>
      <c r="Y221" s="203">
        <v>1</v>
      </c>
      <c r="Z221" s="203">
        <v>1</v>
      </c>
      <c r="AB221" s="202">
        <v>1.0749999999999984</v>
      </c>
      <c r="AC221" s="203">
        <v>1</v>
      </c>
      <c r="AD221" s="203">
        <v>1</v>
      </c>
      <c r="AE221" s="203">
        <v>1</v>
      </c>
      <c r="AF221" s="203">
        <v>1</v>
      </c>
      <c r="AG221" s="203">
        <v>1</v>
      </c>
      <c r="AH221" s="203">
        <v>1</v>
      </c>
      <c r="AI221" s="203">
        <v>1</v>
      </c>
      <c r="AJ221" s="203">
        <v>1</v>
      </c>
      <c r="AK221" s="203">
        <v>1</v>
      </c>
      <c r="AL221" s="203">
        <v>1</v>
      </c>
    </row>
    <row r="222" spans="4:38" x14ac:dyDescent="0.25">
      <c r="D222" s="202">
        <v>1.0799999999999983</v>
      </c>
      <c r="E222" s="203">
        <v>1</v>
      </c>
      <c r="F222" s="203">
        <v>1</v>
      </c>
      <c r="G222" s="203">
        <v>1</v>
      </c>
      <c r="H222" s="203">
        <v>1</v>
      </c>
      <c r="I222" s="203">
        <v>1</v>
      </c>
      <c r="J222" s="203">
        <v>1</v>
      </c>
      <c r="K222" s="203">
        <v>1</v>
      </c>
      <c r="L222" s="203">
        <v>1</v>
      </c>
      <c r="M222" s="203">
        <v>1</v>
      </c>
      <c r="N222" s="203">
        <v>1</v>
      </c>
      <c r="P222" s="202">
        <v>1.0799999999999983</v>
      </c>
      <c r="Q222" s="203">
        <v>1</v>
      </c>
      <c r="R222" s="203">
        <v>1</v>
      </c>
      <c r="S222" s="203">
        <v>1</v>
      </c>
      <c r="T222" s="203">
        <v>1</v>
      </c>
      <c r="U222" s="203">
        <v>1</v>
      </c>
      <c r="V222" s="203">
        <v>1</v>
      </c>
      <c r="W222" s="203">
        <v>1</v>
      </c>
      <c r="X222" s="203">
        <v>1</v>
      </c>
      <c r="Y222" s="203">
        <v>1</v>
      </c>
      <c r="Z222" s="203">
        <v>1</v>
      </c>
      <c r="AB222" s="202">
        <v>1.0799999999999983</v>
      </c>
      <c r="AC222" s="203">
        <v>1</v>
      </c>
      <c r="AD222" s="203">
        <v>1</v>
      </c>
      <c r="AE222" s="203">
        <v>1</v>
      </c>
      <c r="AF222" s="203">
        <v>1</v>
      </c>
      <c r="AG222" s="203">
        <v>1</v>
      </c>
      <c r="AH222" s="203">
        <v>1</v>
      </c>
      <c r="AI222" s="203">
        <v>1</v>
      </c>
      <c r="AJ222" s="203">
        <v>1</v>
      </c>
      <c r="AK222" s="203">
        <v>1</v>
      </c>
      <c r="AL222" s="203">
        <v>1</v>
      </c>
    </row>
    <row r="223" spans="4:38" x14ac:dyDescent="0.25">
      <c r="D223" s="202">
        <v>1.0849999999999982</v>
      </c>
      <c r="E223" s="203">
        <v>1</v>
      </c>
      <c r="F223" s="203">
        <v>1</v>
      </c>
      <c r="G223" s="203">
        <v>1</v>
      </c>
      <c r="H223" s="203">
        <v>1</v>
      </c>
      <c r="I223" s="203">
        <v>1</v>
      </c>
      <c r="J223" s="203">
        <v>1</v>
      </c>
      <c r="K223" s="203">
        <v>1</v>
      </c>
      <c r="L223" s="203">
        <v>1</v>
      </c>
      <c r="M223" s="203">
        <v>1</v>
      </c>
      <c r="N223" s="203">
        <v>1</v>
      </c>
      <c r="P223" s="202">
        <v>1.0849999999999982</v>
      </c>
      <c r="Q223" s="203">
        <v>1</v>
      </c>
      <c r="R223" s="203">
        <v>1</v>
      </c>
      <c r="S223" s="203">
        <v>1</v>
      </c>
      <c r="T223" s="203">
        <v>1</v>
      </c>
      <c r="U223" s="203">
        <v>1</v>
      </c>
      <c r="V223" s="203">
        <v>1</v>
      </c>
      <c r="W223" s="203">
        <v>1</v>
      </c>
      <c r="X223" s="203">
        <v>1</v>
      </c>
      <c r="Y223" s="203">
        <v>1</v>
      </c>
      <c r="Z223" s="203">
        <v>1</v>
      </c>
      <c r="AB223" s="202">
        <v>1.0849999999999982</v>
      </c>
      <c r="AC223" s="203">
        <v>1</v>
      </c>
      <c r="AD223" s="203">
        <v>1</v>
      </c>
      <c r="AE223" s="203">
        <v>1</v>
      </c>
      <c r="AF223" s="203">
        <v>1</v>
      </c>
      <c r="AG223" s="203">
        <v>1</v>
      </c>
      <c r="AH223" s="203">
        <v>1</v>
      </c>
      <c r="AI223" s="203">
        <v>1</v>
      </c>
      <c r="AJ223" s="203">
        <v>1</v>
      </c>
      <c r="AK223" s="203">
        <v>1</v>
      </c>
      <c r="AL223" s="203">
        <v>1</v>
      </c>
    </row>
    <row r="224" spans="4:38" x14ac:dyDescent="0.25">
      <c r="D224" s="202">
        <v>1.0899999999999981</v>
      </c>
      <c r="E224" s="203">
        <v>1</v>
      </c>
      <c r="F224" s="203">
        <v>1</v>
      </c>
      <c r="G224" s="203">
        <v>1</v>
      </c>
      <c r="H224" s="203">
        <v>1</v>
      </c>
      <c r="I224" s="203">
        <v>1</v>
      </c>
      <c r="J224" s="203">
        <v>1</v>
      </c>
      <c r="K224" s="203">
        <v>1</v>
      </c>
      <c r="L224" s="203">
        <v>1</v>
      </c>
      <c r="M224" s="203">
        <v>1</v>
      </c>
      <c r="N224" s="203">
        <v>1</v>
      </c>
      <c r="P224" s="202">
        <v>1.0899999999999981</v>
      </c>
      <c r="Q224" s="203">
        <v>1</v>
      </c>
      <c r="R224" s="203">
        <v>1</v>
      </c>
      <c r="S224" s="203">
        <v>1</v>
      </c>
      <c r="T224" s="203">
        <v>1</v>
      </c>
      <c r="U224" s="203">
        <v>1</v>
      </c>
      <c r="V224" s="203">
        <v>1</v>
      </c>
      <c r="W224" s="203">
        <v>1</v>
      </c>
      <c r="X224" s="203">
        <v>1</v>
      </c>
      <c r="Y224" s="203">
        <v>1</v>
      </c>
      <c r="Z224" s="203">
        <v>1</v>
      </c>
      <c r="AB224" s="202">
        <v>1.0899999999999981</v>
      </c>
      <c r="AC224" s="203">
        <v>1</v>
      </c>
      <c r="AD224" s="203">
        <v>1</v>
      </c>
      <c r="AE224" s="203">
        <v>1</v>
      </c>
      <c r="AF224" s="203">
        <v>1</v>
      </c>
      <c r="AG224" s="203">
        <v>1</v>
      </c>
      <c r="AH224" s="203">
        <v>1</v>
      </c>
      <c r="AI224" s="203">
        <v>1</v>
      </c>
      <c r="AJ224" s="203">
        <v>1</v>
      </c>
      <c r="AK224" s="203">
        <v>1</v>
      </c>
      <c r="AL224" s="203">
        <v>1</v>
      </c>
    </row>
    <row r="225" spans="4:38" x14ac:dyDescent="0.25">
      <c r="D225" s="202">
        <v>1.094999999999998</v>
      </c>
      <c r="E225" s="203">
        <v>1</v>
      </c>
      <c r="F225" s="203">
        <v>1</v>
      </c>
      <c r="G225" s="203">
        <v>1</v>
      </c>
      <c r="H225" s="203">
        <v>1</v>
      </c>
      <c r="I225" s="203">
        <v>1</v>
      </c>
      <c r="J225" s="203">
        <v>1</v>
      </c>
      <c r="K225" s="203">
        <v>1</v>
      </c>
      <c r="L225" s="203">
        <v>1</v>
      </c>
      <c r="M225" s="203">
        <v>1</v>
      </c>
      <c r="N225" s="203">
        <v>1</v>
      </c>
      <c r="P225" s="202">
        <v>1.094999999999998</v>
      </c>
      <c r="Q225" s="203">
        <v>1</v>
      </c>
      <c r="R225" s="203">
        <v>1</v>
      </c>
      <c r="S225" s="203">
        <v>1</v>
      </c>
      <c r="T225" s="203">
        <v>1</v>
      </c>
      <c r="U225" s="203">
        <v>1</v>
      </c>
      <c r="V225" s="203">
        <v>1</v>
      </c>
      <c r="W225" s="203">
        <v>1</v>
      </c>
      <c r="X225" s="203">
        <v>1</v>
      </c>
      <c r="Y225" s="203">
        <v>1</v>
      </c>
      <c r="Z225" s="203">
        <v>1</v>
      </c>
      <c r="AB225" s="202">
        <v>1.094999999999998</v>
      </c>
      <c r="AC225" s="203">
        <v>1</v>
      </c>
      <c r="AD225" s="203">
        <v>1</v>
      </c>
      <c r="AE225" s="203">
        <v>1</v>
      </c>
      <c r="AF225" s="203">
        <v>1</v>
      </c>
      <c r="AG225" s="203">
        <v>1</v>
      </c>
      <c r="AH225" s="203">
        <v>1</v>
      </c>
      <c r="AI225" s="203">
        <v>1</v>
      </c>
      <c r="AJ225" s="203">
        <v>1</v>
      </c>
      <c r="AK225" s="203">
        <v>1</v>
      </c>
      <c r="AL225" s="203">
        <v>1</v>
      </c>
    </row>
    <row r="226" spans="4:38" x14ac:dyDescent="0.25">
      <c r="D226" s="202">
        <v>1.0999999999999979</v>
      </c>
      <c r="E226" s="203">
        <v>1</v>
      </c>
      <c r="F226" s="203">
        <v>1</v>
      </c>
      <c r="G226" s="203">
        <v>1</v>
      </c>
      <c r="H226" s="203">
        <v>1</v>
      </c>
      <c r="I226" s="203">
        <v>1</v>
      </c>
      <c r="J226" s="203">
        <v>1</v>
      </c>
      <c r="K226" s="203">
        <v>1</v>
      </c>
      <c r="L226" s="203">
        <v>1</v>
      </c>
      <c r="M226" s="203">
        <v>1</v>
      </c>
      <c r="N226" s="203">
        <v>1</v>
      </c>
      <c r="P226" s="202">
        <v>1.0999999999999979</v>
      </c>
      <c r="Q226" s="203">
        <v>1</v>
      </c>
      <c r="R226" s="203">
        <v>1</v>
      </c>
      <c r="S226" s="203">
        <v>1</v>
      </c>
      <c r="T226" s="203">
        <v>1</v>
      </c>
      <c r="U226" s="203">
        <v>1</v>
      </c>
      <c r="V226" s="203">
        <v>1</v>
      </c>
      <c r="W226" s="203">
        <v>1</v>
      </c>
      <c r="X226" s="203">
        <v>1</v>
      </c>
      <c r="Y226" s="203">
        <v>1</v>
      </c>
      <c r="Z226" s="203">
        <v>1</v>
      </c>
      <c r="AB226" s="202">
        <v>1.0999999999999979</v>
      </c>
      <c r="AC226" s="203">
        <v>1</v>
      </c>
      <c r="AD226" s="203">
        <v>1</v>
      </c>
      <c r="AE226" s="203">
        <v>1</v>
      </c>
      <c r="AF226" s="203">
        <v>1</v>
      </c>
      <c r="AG226" s="203">
        <v>1</v>
      </c>
      <c r="AH226" s="203">
        <v>1</v>
      </c>
      <c r="AI226" s="203">
        <v>1</v>
      </c>
      <c r="AJ226" s="203">
        <v>1</v>
      </c>
      <c r="AK226" s="203">
        <v>1</v>
      </c>
      <c r="AL226" s="203">
        <v>1</v>
      </c>
    </row>
    <row r="227" spans="4:38" x14ac:dyDescent="0.25">
      <c r="D227" s="202">
        <v>1.1049999999999978</v>
      </c>
      <c r="E227" s="203">
        <v>1</v>
      </c>
      <c r="F227" s="203">
        <v>1</v>
      </c>
      <c r="G227" s="203">
        <v>1</v>
      </c>
      <c r="H227" s="203">
        <v>1</v>
      </c>
      <c r="I227" s="203">
        <v>1</v>
      </c>
      <c r="J227" s="203">
        <v>1</v>
      </c>
      <c r="K227" s="203">
        <v>1</v>
      </c>
      <c r="L227" s="203">
        <v>1</v>
      </c>
      <c r="M227" s="203">
        <v>1</v>
      </c>
      <c r="N227" s="203">
        <v>1</v>
      </c>
      <c r="P227" s="202">
        <v>1.1049999999999978</v>
      </c>
      <c r="Q227" s="203">
        <v>1</v>
      </c>
      <c r="R227" s="203">
        <v>1</v>
      </c>
      <c r="S227" s="203">
        <v>1</v>
      </c>
      <c r="T227" s="203">
        <v>1</v>
      </c>
      <c r="U227" s="203">
        <v>1</v>
      </c>
      <c r="V227" s="203">
        <v>1</v>
      </c>
      <c r="W227" s="203">
        <v>1</v>
      </c>
      <c r="X227" s="203">
        <v>1</v>
      </c>
      <c r="Y227" s="203">
        <v>1</v>
      </c>
      <c r="Z227" s="203">
        <v>1</v>
      </c>
      <c r="AB227" s="202">
        <v>1.1049999999999978</v>
      </c>
      <c r="AC227" s="203">
        <v>1</v>
      </c>
      <c r="AD227" s="203">
        <v>1</v>
      </c>
      <c r="AE227" s="203">
        <v>1</v>
      </c>
      <c r="AF227" s="203">
        <v>1</v>
      </c>
      <c r="AG227" s="203">
        <v>1</v>
      </c>
      <c r="AH227" s="203">
        <v>1</v>
      </c>
      <c r="AI227" s="203">
        <v>1</v>
      </c>
      <c r="AJ227" s="203">
        <v>1</v>
      </c>
      <c r="AK227" s="203">
        <v>1</v>
      </c>
      <c r="AL227" s="203">
        <v>1</v>
      </c>
    </row>
    <row r="228" spans="4:38" x14ac:dyDescent="0.25">
      <c r="D228" s="202">
        <v>1.1099999999999977</v>
      </c>
      <c r="E228" s="203">
        <v>1</v>
      </c>
      <c r="F228" s="203">
        <v>1</v>
      </c>
      <c r="G228" s="203">
        <v>1</v>
      </c>
      <c r="H228" s="203">
        <v>1</v>
      </c>
      <c r="I228" s="203">
        <v>1</v>
      </c>
      <c r="J228" s="203">
        <v>1</v>
      </c>
      <c r="K228" s="203">
        <v>1</v>
      </c>
      <c r="L228" s="203">
        <v>1</v>
      </c>
      <c r="M228" s="203">
        <v>1</v>
      </c>
      <c r="N228" s="203">
        <v>1</v>
      </c>
      <c r="P228" s="202">
        <v>1.1099999999999977</v>
      </c>
      <c r="Q228" s="203">
        <v>1</v>
      </c>
      <c r="R228" s="203">
        <v>1</v>
      </c>
      <c r="S228" s="203">
        <v>1</v>
      </c>
      <c r="T228" s="203">
        <v>1</v>
      </c>
      <c r="U228" s="203">
        <v>1</v>
      </c>
      <c r="V228" s="203">
        <v>1</v>
      </c>
      <c r="W228" s="203">
        <v>1</v>
      </c>
      <c r="X228" s="203">
        <v>1</v>
      </c>
      <c r="Y228" s="203">
        <v>1</v>
      </c>
      <c r="Z228" s="203">
        <v>1</v>
      </c>
      <c r="AB228" s="202">
        <v>1.1099999999999977</v>
      </c>
      <c r="AC228" s="203">
        <v>1</v>
      </c>
      <c r="AD228" s="203">
        <v>1</v>
      </c>
      <c r="AE228" s="203">
        <v>1</v>
      </c>
      <c r="AF228" s="203">
        <v>1</v>
      </c>
      <c r="AG228" s="203">
        <v>1</v>
      </c>
      <c r="AH228" s="203">
        <v>1</v>
      </c>
      <c r="AI228" s="203">
        <v>1</v>
      </c>
      <c r="AJ228" s="203">
        <v>1</v>
      </c>
      <c r="AK228" s="203">
        <v>1</v>
      </c>
      <c r="AL228" s="203">
        <v>1</v>
      </c>
    </row>
    <row r="229" spans="4:38" x14ac:dyDescent="0.25">
      <c r="D229" s="202">
        <v>1.1149999999999975</v>
      </c>
      <c r="E229" s="203">
        <v>1</v>
      </c>
      <c r="F229" s="203">
        <v>1</v>
      </c>
      <c r="G229" s="203">
        <v>1</v>
      </c>
      <c r="H229" s="203">
        <v>1</v>
      </c>
      <c r="I229" s="203">
        <v>1</v>
      </c>
      <c r="J229" s="203">
        <v>1</v>
      </c>
      <c r="K229" s="203">
        <v>1</v>
      </c>
      <c r="L229" s="203">
        <v>1</v>
      </c>
      <c r="M229" s="203">
        <v>1</v>
      </c>
      <c r="N229" s="203">
        <v>1</v>
      </c>
      <c r="P229" s="202">
        <v>1.1149999999999975</v>
      </c>
      <c r="Q229" s="203">
        <v>1</v>
      </c>
      <c r="R229" s="203">
        <v>1</v>
      </c>
      <c r="S229" s="203">
        <v>1</v>
      </c>
      <c r="T229" s="203">
        <v>1</v>
      </c>
      <c r="U229" s="203">
        <v>1</v>
      </c>
      <c r="V229" s="203">
        <v>1</v>
      </c>
      <c r="W229" s="203">
        <v>1</v>
      </c>
      <c r="X229" s="203">
        <v>1</v>
      </c>
      <c r="Y229" s="203">
        <v>1</v>
      </c>
      <c r="Z229" s="203">
        <v>1</v>
      </c>
      <c r="AB229" s="202">
        <v>1.1149999999999975</v>
      </c>
      <c r="AC229" s="203">
        <v>1</v>
      </c>
      <c r="AD229" s="203">
        <v>1</v>
      </c>
      <c r="AE229" s="203">
        <v>1</v>
      </c>
      <c r="AF229" s="203">
        <v>1</v>
      </c>
      <c r="AG229" s="203">
        <v>1</v>
      </c>
      <c r="AH229" s="203">
        <v>1</v>
      </c>
      <c r="AI229" s="203">
        <v>1</v>
      </c>
      <c r="AJ229" s="203">
        <v>1</v>
      </c>
      <c r="AK229" s="203">
        <v>1</v>
      </c>
      <c r="AL229" s="203">
        <v>1</v>
      </c>
    </row>
    <row r="230" spans="4:38" x14ac:dyDescent="0.25">
      <c r="D230" s="202">
        <v>1.1199999999999974</v>
      </c>
      <c r="E230" s="203">
        <v>1</v>
      </c>
      <c r="F230" s="203">
        <v>1</v>
      </c>
      <c r="G230" s="203">
        <v>1</v>
      </c>
      <c r="H230" s="203">
        <v>1</v>
      </c>
      <c r="I230" s="203">
        <v>1</v>
      </c>
      <c r="J230" s="203">
        <v>1</v>
      </c>
      <c r="K230" s="203">
        <v>1</v>
      </c>
      <c r="L230" s="203">
        <v>1</v>
      </c>
      <c r="M230" s="203">
        <v>1</v>
      </c>
      <c r="N230" s="203">
        <v>1</v>
      </c>
      <c r="P230" s="202">
        <v>1.1199999999999974</v>
      </c>
      <c r="Q230" s="203">
        <v>1</v>
      </c>
      <c r="R230" s="203">
        <v>1</v>
      </c>
      <c r="S230" s="203">
        <v>1</v>
      </c>
      <c r="T230" s="203">
        <v>1</v>
      </c>
      <c r="U230" s="203">
        <v>1</v>
      </c>
      <c r="V230" s="203">
        <v>1</v>
      </c>
      <c r="W230" s="203">
        <v>1</v>
      </c>
      <c r="X230" s="203">
        <v>1</v>
      </c>
      <c r="Y230" s="203">
        <v>1</v>
      </c>
      <c r="Z230" s="203">
        <v>1</v>
      </c>
      <c r="AB230" s="202">
        <v>1.1199999999999974</v>
      </c>
      <c r="AC230" s="203">
        <v>1</v>
      </c>
      <c r="AD230" s="203">
        <v>1</v>
      </c>
      <c r="AE230" s="203">
        <v>1</v>
      </c>
      <c r="AF230" s="203">
        <v>1</v>
      </c>
      <c r="AG230" s="203">
        <v>1</v>
      </c>
      <c r="AH230" s="203">
        <v>1</v>
      </c>
      <c r="AI230" s="203">
        <v>1</v>
      </c>
      <c r="AJ230" s="203">
        <v>1</v>
      </c>
      <c r="AK230" s="203">
        <v>1</v>
      </c>
      <c r="AL230" s="203">
        <v>1</v>
      </c>
    </row>
    <row r="231" spans="4:38" x14ac:dyDescent="0.25">
      <c r="D231" s="202">
        <v>1.1249999999999973</v>
      </c>
      <c r="E231" s="203">
        <v>1</v>
      </c>
      <c r="F231" s="203">
        <v>1</v>
      </c>
      <c r="G231" s="203">
        <v>1</v>
      </c>
      <c r="H231" s="203">
        <v>1</v>
      </c>
      <c r="I231" s="203">
        <v>1</v>
      </c>
      <c r="J231" s="203">
        <v>1</v>
      </c>
      <c r="K231" s="203">
        <v>1</v>
      </c>
      <c r="L231" s="203">
        <v>1</v>
      </c>
      <c r="M231" s="203">
        <v>1</v>
      </c>
      <c r="N231" s="203">
        <v>1</v>
      </c>
      <c r="P231" s="202">
        <v>1.1249999999999973</v>
      </c>
      <c r="Q231" s="203">
        <v>1</v>
      </c>
      <c r="R231" s="203">
        <v>1</v>
      </c>
      <c r="S231" s="203">
        <v>1</v>
      </c>
      <c r="T231" s="203">
        <v>1</v>
      </c>
      <c r="U231" s="203">
        <v>1</v>
      </c>
      <c r="V231" s="203">
        <v>1</v>
      </c>
      <c r="W231" s="203">
        <v>1</v>
      </c>
      <c r="X231" s="203">
        <v>1</v>
      </c>
      <c r="Y231" s="203">
        <v>1</v>
      </c>
      <c r="Z231" s="203">
        <v>1</v>
      </c>
      <c r="AB231" s="202">
        <v>1.1249999999999973</v>
      </c>
      <c r="AC231" s="203">
        <v>1</v>
      </c>
      <c r="AD231" s="203">
        <v>1</v>
      </c>
      <c r="AE231" s="203">
        <v>1</v>
      </c>
      <c r="AF231" s="203">
        <v>1</v>
      </c>
      <c r="AG231" s="203">
        <v>1</v>
      </c>
      <c r="AH231" s="203">
        <v>1</v>
      </c>
      <c r="AI231" s="203">
        <v>1</v>
      </c>
      <c r="AJ231" s="203">
        <v>1</v>
      </c>
      <c r="AK231" s="203">
        <v>1</v>
      </c>
      <c r="AL231" s="203">
        <v>1</v>
      </c>
    </row>
    <row r="232" spans="4:38" x14ac:dyDescent="0.25">
      <c r="D232" s="202">
        <v>1.1299999999999972</v>
      </c>
      <c r="E232" s="203">
        <v>1</v>
      </c>
      <c r="F232" s="203">
        <v>1</v>
      </c>
      <c r="G232" s="203">
        <v>1</v>
      </c>
      <c r="H232" s="203">
        <v>1</v>
      </c>
      <c r="I232" s="203">
        <v>1</v>
      </c>
      <c r="J232" s="203">
        <v>1</v>
      </c>
      <c r="K232" s="203">
        <v>1</v>
      </c>
      <c r="L232" s="203">
        <v>1</v>
      </c>
      <c r="M232" s="203">
        <v>1</v>
      </c>
      <c r="N232" s="203">
        <v>1</v>
      </c>
      <c r="P232" s="202">
        <v>1.1299999999999972</v>
      </c>
      <c r="Q232" s="203">
        <v>1</v>
      </c>
      <c r="R232" s="203">
        <v>1</v>
      </c>
      <c r="S232" s="203">
        <v>1</v>
      </c>
      <c r="T232" s="203">
        <v>1</v>
      </c>
      <c r="U232" s="203">
        <v>1</v>
      </c>
      <c r="V232" s="203">
        <v>1</v>
      </c>
      <c r="W232" s="203">
        <v>1</v>
      </c>
      <c r="X232" s="203">
        <v>1</v>
      </c>
      <c r="Y232" s="203">
        <v>1</v>
      </c>
      <c r="Z232" s="203">
        <v>1</v>
      </c>
      <c r="AB232" s="202">
        <v>1.1299999999999972</v>
      </c>
      <c r="AC232" s="203">
        <v>1</v>
      </c>
      <c r="AD232" s="203">
        <v>1</v>
      </c>
      <c r="AE232" s="203">
        <v>1</v>
      </c>
      <c r="AF232" s="203">
        <v>1</v>
      </c>
      <c r="AG232" s="203">
        <v>1</v>
      </c>
      <c r="AH232" s="203">
        <v>1</v>
      </c>
      <c r="AI232" s="203">
        <v>1</v>
      </c>
      <c r="AJ232" s="203">
        <v>1</v>
      </c>
      <c r="AK232" s="203">
        <v>1</v>
      </c>
      <c r="AL232" s="203">
        <v>1</v>
      </c>
    </row>
    <row r="233" spans="4:38" x14ac:dyDescent="0.25">
      <c r="D233" s="202">
        <v>1.1349999999999971</v>
      </c>
      <c r="E233" s="203">
        <v>1</v>
      </c>
      <c r="F233" s="203">
        <v>1</v>
      </c>
      <c r="G233" s="203">
        <v>1</v>
      </c>
      <c r="H233" s="203">
        <v>1</v>
      </c>
      <c r="I233" s="203">
        <v>1</v>
      </c>
      <c r="J233" s="203">
        <v>1</v>
      </c>
      <c r="K233" s="203">
        <v>1</v>
      </c>
      <c r="L233" s="203">
        <v>1</v>
      </c>
      <c r="M233" s="203">
        <v>1</v>
      </c>
      <c r="N233" s="203">
        <v>1</v>
      </c>
      <c r="P233" s="202">
        <v>1.1349999999999971</v>
      </c>
      <c r="Q233" s="203">
        <v>1</v>
      </c>
      <c r="R233" s="203">
        <v>1</v>
      </c>
      <c r="S233" s="203">
        <v>1</v>
      </c>
      <c r="T233" s="203">
        <v>1</v>
      </c>
      <c r="U233" s="203">
        <v>1</v>
      </c>
      <c r="V233" s="203">
        <v>1</v>
      </c>
      <c r="W233" s="203">
        <v>1</v>
      </c>
      <c r="X233" s="203">
        <v>1</v>
      </c>
      <c r="Y233" s="203">
        <v>1</v>
      </c>
      <c r="Z233" s="203">
        <v>1</v>
      </c>
      <c r="AB233" s="202">
        <v>1.1349999999999971</v>
      </c>
      <c r="AC233" s="203">
        <v>1</v>
      </c>
      <c r="AD233" s="203">
        <v>1</v>
      </c>
      <c r="AE233" s="203">
        <v>1</v>
      </c>
      <c r="AF233" s="203">
        <v>1</v>
      </c>
      <c r="AG233" s="203">
        <v>1</v>
      </c>
      <c r="AH233" s="203">
        <v>1</v>
      </c>
      <c r="AI233" s="203">
        <v>1</v>
      </c>
      <c r="AJ233" s="203">
        <v>1</v>
      </c>
      <c r="AK233" s="203">
        <v>1</v>
      </c>
      <c r="AL233" s="203">
        <v>1</v>
      </c>
    </row>
    <row r="234" spans="4:38" x14ac:dyDescent="0.25">
      <c r="D234" s="202">
        <v>1.139999999999997</v>
      </c>
      <c r="E234" s="203">
        <v>1</v>
      </c>
      <c r="F234" s="203">
        <v>1</v>
      </c>
      <c r="G234" s="203">
        <v>1</v>
      </c>
      <c r="H234" s="203">
        <v>1</v>
      </c>
      <c r="I234" s="203">
        <v>1</v>
      </c>
      <c r="J234" s="203">
        <v>1</v>
      </c>
      <c r="K234" s="203">
        <v>1</v>
      </c>
      <c r="L234" s="203">
        <v>1</v>
      </c>
      <c r="M234" s="203">
        <v>1</v>
      </c>
      <c r="N234" s="203">
        <v>1</v>
      </c>
      <c r="P234" s="202">
        <v>1.139999999999997</v>
      </c>
      <c r="Q234" s="203">
        <v>1</v>
      </c>
      <c r="R234" s="203">
        <v>1</v>
      </c>
      <c r="S234" s="203">
        <v>1</v>
      </c>
      <c r="T234" s="203">
        <v>1</v>
      </c>
      <c r="U234" s="203">
        <v>1</v>
      </c>
      <c r="V234" s="203">
        <v>1</v>
      </c>
      <c r="W234" s="203">
        <v>1</v>
      </c>
      <c r="X234" s="203">
        <v>1</v>
      </c>
      <c r="Y234" s="203">
        <v>1</v>
      </c>
      <c r="Z234" s="203">
        <v>1</v>
      </c>
      <c r="AB234" s="202">
        <v>1.139999999999997</v>
      </c>
      <c r="AC234" s="203">
        <v>1</v>
      </c>
      <c r="AD234" s="203">
        <v>1</v>
      </c>
      <c r="AE234" s="203">
        <v>1</v>
      </c>
      <c r="AF234" s="203">
        <v>1</v>
      </c>
      <c r="AG234" s="203">
        <v>1</v>
      </c>
      <c r="AH234" s="203">
        <v>1</v>
      </c>
      <c r="AI234" s="203">
        <v>1</v>
      </c>
      <c r="AJ234" s="203">
        <v>1</v>
      </c>
      <c r="AK234" s="203">
        <v>1</v>
      </c>
      <c r="AL234" s="203">
        <v>1</v>
      </c>
    </row>
    <row r="235" spans="4:38" x14ac:dyDescent="0.25">
      <c r="D235" s="202">
        <v>1.1449999999999969</v>
      </c>
      <c r="E235" s="203">
        <v>1</v>
      </c>
      <c r="F235" s="203">
        <v>1</v>
      </c>
      <c r="G235" s="203">
        <v>1</v>
      </c>
      <c r="H235" s="203">
        <v>1</v>
      </c>
      <c r="I235" s="203">
        <v>1</v>
      </c>
      <c r="J235" s="203">
        <v>1</v>
      </c>
      <c r="K235" s="203">
        <v>1</v>
      </c>
      <c r="L235" s="203">
        <v>1</v>
      </c>
      <c r="M235" s="203">
        <v>1</v>
      </c>
      <c r="N235" s="203">
        <v>1</v>
      </c>
      <c r="P235" s="202">
        <v>1.1449999999999969</v>
      </c>
      <c r="Q235" s="203">
        <v>1</v>
      </c>
      <c r="R235" s="203">
        <v>1</v>
      </c>
      <c r="S235" s="203">
        <v>1</v>
      </c>
      <c r="T235" s="203">
        <v>1</v>
      </c>
      <c r="U235" s="203">
        <v>1</v>
      </c>
      <c r="V235" s="203">
        <v>1</v>
      </c>
      <c r="W235" s="203">
        <v>1</v>
      </c>
      <c r="X235" s="203">
        <v>1</v>
      </c>
      <c r="Y235" s="203">
        <v>1</v>
      </c>
      <c r="Z235" s="203">
        <v>1</v>
      </c>
      <c r="AB235" s="202">
        <v>1.1449999999999969</v>
      </c>
      <c r="AC235" s="203">
        <v>1</v>
      </c>
      <c r="AD235" s="203">
        <v>1</v>
      </c>
      <c r="AE235" s="203">
        <v>1</v>
      </c>
      <c r="AF235" s="203">
        <v>1</v>
      </c>
      <c r="AG235" s="203">
        <v>1</v>
      </c>
      <c r="AH235" s="203">
        <v>1</v>
      </c>
      <c r="AI235" s="203">
        <v>1</v>
      </c>
      <c r="AJ235" s="203">
        <v>1</v>
      </c>
      <c r="AK235" s="203">
        <v>1</v>
      </c>
      <c r="AL235" s="203">
        <v>1</v>
      </c>
    </row>
    <row r="236" spans="4:38" x14ac:dyDescent="0.25">
      <c r="D236" s="202">
        <v>1.1499999999999968</v>
      </c>
      <c r="E236" s="203">
        <v>1</v>
      </c>
      <c r="F236" s="203">
        <v>1</v>
      </c>
      <c r="G236" s="203">
        <v>1</v>
      </c>
      <c r="H236" s="203">
        <v>1</v>
      </c>
      <c r="I236" s="203">
        <v>1</v>
      </c>
      <c r="J236" s="203">
        <v>1</v>
      </c>
      <c r="K236" s="203">
        <v>1</v>
      </c>
      <c r="L236" s="203">
        <v>1</v>
      </c>
      <c r="M236" s="203">
        <v>1</v>
      </c>
      <c r="N236" s="203">
        <v>1</v>
      </c>
      <c r="P236" s="202">
        <v>1.1499999999999968</v>
      </c>
      <c r="Q236" s="203">
        <v>1</v>
      </c>
      <c r="R236" s="203">
        <v>1</v>
      </c>
      <c r="S236" s="203">
        <v>1</v>
      </c>
      <c r="T236" s="203">
        <v>1</v>
      </c>
      <c r="U236" s="203">
        <v>1</v>
      </c>
      <c r="V236" s="203">
        <v>1</v>
      </c>
      <c r="W236" s="203">
        <v>1</v>
      </c>
      <c r="X236" s="203">
        <v>1</v>
      </c>
      <c r="Y236" s="203">
        <v>1</v>
      </c>
      <c r="Z236" s="203">
        <v>1</v>
      </c>
      <c r="AB236" s="202">
        <v>1.1499999999999968</v>
      </c>
      <c r="AC236" s="203">
        <v>1</v>
      </c>
      <c r="AD236" s="203">
        <v>1</v>
      </c>
      <c r="AE236" s="203">
        <v>1</v>
      </c>
      <c r="AF236" s="203">
        <v>1</v>
      </c>
      <c r="AG236" s="203">
        <v>1</v>
      </c>
      <c r="AH236" s="203">
        <v>1</v>
      </c>
      <c r="AI236" s="203">
        <v>1</v>
      </c>
      <c r="AJ236" s="203">
        <v>1</v>
      </c>
      <c r="AK236" s="203">
        <v>1</v>
      </c>
      <c r="AL236" s="203">
        <v>1</v>
      </c>
    </row>
    <row r="237" spans="4:38" x14ac:dyDescent="0.25">
      <c r="D237" s="202">
        <v>1.1549999999999967</v>
      </c>
      <c r="E237" s="203">
        <v>1</v>
      </c>
      <c r="F237" s="203">
        <v>1</v>
      </c>
      <c r="G237" s="203">
        <v>1</v>
      </c>
      <c r="H237" s="203">
        <v>1</v>
      </c>
      <c r="I237" s="203">
        <v>1</v>
      </c>
      <c r="J237" s="203">
        <v>1</v>
      </c>
      <c r="K237" s="203">
        <v>1</v>
      </c>
      <c r="L237" s="203">
        <v>1</v>
      </c>
      <c r="M237" s="203">
        <v>1</v>
      </c>
      <c r="N237" s="203">
        <v>1</v>
      </c>
      <c r="P237" s="202">
        <v>1.1549999999999967</v>
      </c>
      <c r="Q237" s="203">
        <v>1</v>
      </c>
      <c r="R237" s="203">
        <v>1</v>
      </c>
      <c r="S237" s="203">
        <v>1</v>
      </c>
      <c r="T237" s="203">
        <v>1</v>
      </c>
      <c r="U237" s="203">
        <v>1</v>
      </c>
      <c r="V237" s="203">
        <v>1</v>
      </c>
      <c r="W237" s="203">
        <v>1</v>
      </c>
      <c r="X237" s="203">
        <v>1</v>
      </c>
      <c r="Y237" s="203">
        <v>1</v>
      </c>
      <c r="Z237" s="203">
        <v>1</v>
      </c>
      <c r="AB237" s="202">
        <v>1.1549999999999967</v>
      </c>
      <c r="AC237" s="203">
        <v>1</v>
      </c>
      <c r="AD237" s="203">
        <v>1</v>
      </c>
      <c r="AE237" s="203">
        <v>1</v>
      </c>
      <c r="AF237" s="203">
        <v>1</v>
      </c>
      <c r="AG237" s="203">
        <v>1</v>
      </c>
      <c r="AH237" s="203">
        <v>1</v>
      </c>
      <c r="AI237" s="203">
        <v>1</v>
      </c>
      <c r="AJ237" s="203">
        <v>1</v>
      </c>
      <c r="AK237" s="203">
        <v>1</v>
      </c>
      <c r="AL237" s="203">
        <v>1</v>
      </c>
    </row>
    <row r="238" spans="4:38" x14ac:dyDescent="0.25">
      <c r="D238" s="202">
        <v>1.1599999999999966</v>
      </c>
      <c r="E238" s="203">
        <v>1</v>
      </c>
      <c r="F238" s="203">
        <v>1</v>
      </c>
      <c r="G238" s="203">
        <v>1</v>
      </c>
      <c r="H238" s="203">
        <v>1</v>
      </c>
      <c r="I238" s="203">
        <v>1</v>
      </c>
      <c r="J238" s="203">
        <v>1</v>
      </c>
      <c r="K238" s="203">
        <v>1</v>
      </c>
      <c r="L238" s="203">
        <v>1</v>
      </c>
      <c r="M238" s="203">
        <v>1</v>
      </c>
      <c r="N238" s="203">
        <v>1</v>
      </c>
      <c r="P238" s="202">
        <v>1.1599999999999966</v>
      </c>
      <c r="Q238" s="203">
        <v>1</v>
      </c>
      <c r="R238" s="203">
        <v>1</v>
      </c>
      <c r="S238" s="203">
        <v>1</v>
      </c>
      <c r="T238" s="203">
        <v>1</v>
      </c>
      <c r="U238" s="203">
        <v>1</v>
      </c>
      <c r="V238" s="203">
        <v>1</v>
      </c>
      <c r="W238" s="203">
        <v>1</v>
      </c>
      <c r="X238" s="203">
        <v>1</v>
      </c>
      <c r="Y238" s="203">
        <v>1</v>
      </c>
      <c r="Z238" s="203">
        <v>1</v>
      </c>
      <c r="AB238" s="202">
        <v>1.1599999999999966</v>
      </c>
      <c r="AC238" s="203">
        <v>1</v>
      </c>
      <c r="AD238" s="203">
        <v>1</v>
      </c>
      <c r="AE238" s="203">
        <v>1</v>
      </c>
      <c r="AF238" s="203">
        <v>1</v>
      </c>
      <c r="AG238" s="203">
        <v>1</v>
      </c>
      <c r="AH238" s="203">
        <v>1</v>
      </c>
      <c r="AI238" s="203">
        <v>1</v>
      </c>
      <c r="AJ238" s="203">
        <v>1</v>
      </c>
      <c r="AK238" s="203">
        <v>1</v>
      </c>
      <c r="AL238" s="203">
        <v>1</v>
      </c>
    </row>
    <row r="239" spans="4:38" x14ac:dyDescent="0.25">
      <c r="D239" s="202">
        <v>1.1649999999999965</v>
      </c>
      <c r="E239" s="203">
        <v>1</v>
      </c>
      <c r="F239" s="203">
        <v>1</v>
      </c>
      <c r="G239" s="203">
        <v>1</v>
      </c>
      <c r="H239" s="203">
        <v>1</v>
      </c>
      <c r="I239" s="203">
        <v>1</v>
      </c>
      <c r="J239" s="203">
        <v>1</v>
      </c>
      <c r="K239" s="203">
        <v>1</v>
      </c>
      <c r="L239" s="203">
        <v>1</v>
      </c>
      <c r="M239" s="203">
        <v>1</v>
      </c>
      <c r="N239" s="203">
        <v>1</v>
      </c>
      <c r="P239" s="202">
        <v>1.1649999999999965</v>
      </c>
      <c r="Q239" s="203">
        <v>1</v>
      </c>
      <c r="R239" s="203">
        <v>1</v>
      </c>
      <c r="S239" s="203">
        <v>1</v>
      </c>
      <c r="T239" s="203">
        <v>1</v>
      </c>
      <c r="U239" s="203">
        <v>1</v>
      </c>
      <c r="V239" s="203">
        <v>1</v>
      </c>
      <c r="W239" s="203">
        <v>1</v>
      </c>
      <c r="X239" s="203">
        <v>1</v>
      </c>
      <c r="Y239" s="203">
        <v>1</v>
      </c>
      <c r="Z239" s="203">
        <v>1</v>
      </c>
      <c r="AB239" s="202">
        <v>1.1649999999999965</v>
      </c>
      <c r="AC239" s="203">
        <v>1</v>
      </c>
      <c r="AD239" s="203">
        <v>1</v>
      </c>
      <c r="AE239" s="203">
        <v>1</v>
      </c>
      <c r="AF239" s="203">
        <v>1</v>
      </c>
      <c r="AG239" s="203">
        <v>1</v>
      </c>
      <c r="AH239" s="203">
        <v>1</v>
      </c>
      <c r="AI239" s="203">
        <v>1</v>
      </c>
      <c r="AJ239" s="203">
        <v>1</v>
      </c>
      <c r="AK239" s="203">
        <v>1</v>
      </c>
      <c r="AL239" s="203">
        <v>1</v>
      </c>
    </row>
    <row r="240" spans="4:38" x14ac:dyDescent="0.25">
      <c r="D240" s="202">
        <v>1.1699999999999964</v>
      </c>
      <c r="E240" s="203">
        <v>1</v>
      </c>
      <c r="F240" s="203">
        <v>1</v>
      </c>
      <c r="G240" s="203">
        <v>1</v>
      </c>
      <c r="H240" s="203">
        <v>1</v>
      </c>
      <c r="I240" s="203">
        <v>1</v>
      </c>
      <c r="J240" s="203">
        <v>1</v>
      </c>
      <c r="K240" s="203">
        <v>1</v>
      </c>
      <c r="L240" s="203">
        <v>1</v>
      </c>
      <c r="M240" s="203">
        <v>1</v>
      </c>
      <c r="N240" s="203">
        <v>1</v>
      </c>
      <c r="P240" s="202">
        <v>1.1699999999999964</v>
      </c>
      <c r="Q240" s="203">
        <v>1</v>
      </c>
      <c r="R240" s="203">
        <v>1</v>
      </c>
      <c r="S240" s="203">
        <v>1</v>
      </c>
      <c r="T240" s="203">
        <v>1</v>
      </c>
      <c r="U240" s="203">
        <v>1</v>
      </c>
      <c r="V240" s="203">
        <v>1</v>
      </c>
      <c r="W240" s="203">
        <v>1</v>
      </c>
      <c r="X240" s="203">
        <v>1</v>
      </c>
      <c r="Y240" s="203">
        <v>1</v>
      </c>
      <c r="Z240" s="203">
        <v>1</v>
      </c>
      <c r="AB240" s="202">
        <v>1.1699999999999964</v>
      </c>
      <c r="AC240" s="203">
        <v>1</v>
      </c>
      <c r="AD240" s="203">
        <v>1</v>
      </c>
      <c r="AE240" s="203">
        <v>1</v>
      </c>
      <c r="AF240" s="203">
        <v>1</v>
      </c>
      <c r="AG240" s="203">
        <v>1</v>
      </c>
      <c r="AH240" s="203">
        <v>1</v>
      </c>
      <c r="AI240" s="203">
        <v>1</v>
      </c>
      <c r="AJ240" s="203">
        <v>1</v>
      </c>
      <c r="AK240" s="203">
        <v>1</v>
      </c>
      <c r="AL240" s="203">
        <v>1</v>
      </c>
    </row>
    <row r="241" spans="4:38" x14ac:dyDescent="0.25">
      <c r="D241" s="202">
        <v>1.1749999999999963</v>
      </c>
      <c r="E241" s="203">
        <v>1</v>
      </c>
      <c r="F241" s="203">
        <v>1</v>
      </c>
      <c r="G241" s="203">
        <v>1</v>
      </c>
      <c r="H241" s="203">
        <v>1</v>
      </c>
      <c r="I241" s="203">
        <v>1</v>
      </c>
      <c r="J241" s="203">
        <v>1</v>
      </c>
      <c r="K241" s="203">
        <v>1</v>
      </c>
      <c r="L241" s="203">
        <v>1</v>
      </c>
      <c r="M241" s="203">
        <v>1</v>
      </c>
      <c r="N241" s="203">
        <v>1</v>
      </c>
      <c r="P241" s="202">
        <v>1.1749999999999963</v>
      </c>
      <c r="Q241" s="203">
        <v>1</v>
      </c>
      <c r="R241" s="203">
        <v>1</v>
      </c>
      <c r="S241" s="203">
        <v>1</v>
      </c>
      <c r="T241" s="203">
        <v>1</v>
      </c>
      <c r="U241" s="203">
        <v>1</v>
      </c>
      <c r="V241" s="203">
        <v>1</v>
      </c>
      <c r="W241" s="203">
        <v>1</v>
      </c>
      <c r="X241" s="203">
        <v>1</v>
      </c>
      <c r="Y241" s="203">
        <v>1</v>
      </c>
      <c r="Z241" s="203">
        <v>1</v>
      </c>
      <c r="AB241" s="202">
        <v>1.1749999999999963</v>
      </c>
      <c r="AC241" s="203">
        <v>1</v>
      </c>
      <c r="AD241" s="203">
        <v>1</v>
      </c>
      <c r="AE241" s="203">
        <v>1</v>
      </c>
      <c r="AF241" s="203">
        <v>1</v>
      </c>
      <c r="AG241" s="203">
        <v>1</v>
      </c>
      <c r="AH241" s="203">
        <v>1</v>
      </c>
      <c r="AI241" s="203">
        <v>1</v>
      </c>
      <c r="AJ241" s="203">
        <v>1</v>
      </c>
      <c r="AK241" s="203">
        <v>1</v>
      </c>
      <c r="AL241" s="203">
        <v>1</v>
      </c>
    </row>
    <row r="242" spans="4:38" x14ac:dyDescent="0.25">
      <c r="D242" s="202">
        <v>1.1799999999999962</v>
      </c>
      <c r="E242" s="203">
        <v>1</v>
      </c>
      <c r="F242" s="203">
        <v>1</v>
      </c>
      <c r="G242" s="203">
        <v>1</v>
      </c>
      <c r="H242" s="203">
        <v>1</v>
      </c>
      <c r="I242" s="203">
        <v>1</v>
      </c>
      <c r="J242" s="203">
        <v>1</v>
      </c>
      <c r="K242" s="203">
        <v>1</v>
      </c>
      <c r="L242" s="203">
        <v>1</v>
      </c>
      <c r="M242" s="203">
        <v>1</v>
      </c>
      <c r="N242" s="203">
        <v>1</v>
      </c>
      <c r="P242" s="202">
        <v>1.1799999999999962</v>
      </c>
      <c r="Q242" s="203">
        <v>1</v>
      </c>
      <c r="R242" s="203">
        <v>1</v>
      </c>
      <c r="S242" s="203">
        <v>1</v>
      </c>
      <c r="T242" s="203">
        <v>1</v>
      </c>
      <c r="U242" s="203">
        <v>1</v>
      </c>
      <c r="V242" s="203">
        <v>1</v>
      </c>
      <c r="W242" s="203">
        <v>1</v>
      </c>
      <c r="X242" s="203">
        <v>1</v>
      </c>
      <c r="Y242" s="203">
        <v>1</v>
      </c>
      <c r="Z242" s="203">
        <v>1</v>
      </c>
      <c r="AB242" s="202">
        <v>1.1799999999999962</v>
      </c>
      <c r="AC242" s="203">
        <v>1</v>
      </c>
      <c r="AD242" s="203">
        <v>1</v>
      </c>
      <c r="AE242" s="203">
        <v>1</v>
      </c>
      <c r="AF242" s="203">
        <v>1</v>
      </c>
      <c r="AG242" s="203">
        <v>1</v>
      </c>
      <c r="AH242" s="203">
        <v>1</v>
      </c>
      <c r="AI242" s="203">
        <v>1</v>
      </c>
      <c r="AJ242" s="203">
        <v>1</v>
      </c>
      <c r="AK242" s="203">
        <v>1</v>
      </c>
      <c r="AL242" s="203">
        <v>1</v>
      </c>
    </row>
    <row r="243" spans="4:38" x14ac:dyDescent="0.25">
      <c r="D243" s="202">
        <v>1.1849999999999961</v>
      </c>
      <c r="E243" s="203">
        <v>1</v>
      </c>
      <c r="F243" s="203">
        <v>1</v>
      </c>
      <c r="G243" s="203">
        <v>1</v>
      </c>
      <c r="H243" s="203">
        <v>1</v>
      </c>
      <c r="I243" s="203">
        <v>1</v>
      </c>
      <c r="J243" s="203">
        <v>1</v>
      </c>
      <c r="K243" s="203">
        <v>1</v>
      </c>
      <c r="L243" s="203">
        <v>1</v>
      </c>
      <c r="M243" s="203">
        <v>1</v>
      </c>
      <c r="N243" s="203">
        <v>1</v>
      </c>
      <c r="P243" s="202">
        <v>1.1849999999999961</v>
      </c>
      <c r="Q243" s="203">
        <v>1</v>
      </c>
      <c r="R243" s="203">
        <v>1</v>
      </c>
      <c r="S243" s="203">
        <v>1</v>
      </c>
      <c r="T243" s="203">
        <v>1</v>
      </c>
      <c r="U243" s="203">
        <v>1</v>
      </c>
      <c r="V243" s="203">
        <v>1</v>
      </c>
      <c r="W243" s="203">
        <v>1</v>
      </c>
      <c r="X243" s="203">
        <v>1</v>
      </c>
      <c r="Y243" s="203">
        <v>1</v>
      </c>
      <c r="Z243" s="203">
        <v>1</v>
      </c>
      <c r="AB243" s="202">
        <v>1.1849999999999961</v>
      </c>
      <c r="AC243" s="203">
        <v>1</v>
      </c>
      <c r="AD243" s="203">
        <v>1</v>
      </c>
      <c r="AE243" s="203">
        <v>1</v>
      </c>
      <c r="AF243" s="203">
        <v>1</v>
      </c>
      <c r="AG243" s="203">
        <v>1</v>
      </c>
      <c r="AH243" s="203">
        <v>1</v>
      </c>
      <c r="AI243" s="203">
        <v>1</v>
      </c>
      <c r="AJ243" s="203">
        <v>1</v>
      </c>
      <c r="AK243" s="203">
        <v>1</v>
      </c>
      <c r="AL243" s="203">
        <v>1</v>
      </c>
    </row>
    <row r="244" spans="4:38" x14ac:dyDescent="0.25">
      <c r="D244" s="202">
        <v>1.1899999999999959</v>
      </c>
      <c r="E244" s="203">
        <v>1</v>
      </c>
      <c r="F244" s="203">
        <v>1</v>
      </c>
      <c r="G244" s="203">
        <v>1</v>
      </c>
      <c r="H244" s="203">
        <v>1</v>
      </c>
      <c r="I244" s="203">
        <v>1</v>
      </c>
      <c r="J244" s="203">
        <v>1</v>
      </c>
      <c r="K244" s="203">
        <v>1</v>
      </c>
      <c r="L244" s="203">
        <v>1</v>
      </c>
      <c r="M244" s="203">
        <v>1</v>
      </c>
      <c r="N244" s="203">
        <v>1</v>
      </c>
      <c r="P244" s="202">
        <v>1.1899999999999959</v>
      </c>
      <c r="Q244" s="203">
        <v>1</v>
      </c>
      <c r="R244" s="203">
        <v>1</v>
      </c>
      <c r="S244" s="203">
        <v>1</v>
      </c>
      <c r="T244" s="203">
        <v>1</v>
      </c>
      <c r="U244" s="203">
        <v>1</v>
      </c>
      <c r="V244" s="203">
        <v>1</v>
      </c>
      <c r="W244" s="203">
        <v>1</v>
      </c>
      <c r="X244" s="203">
        <v>1</v>
      </c>
      <c r="Y244" s="203">
        <v>1</v>
      </c>
      <c r="Z244" s="203">
        <v>1</v>
      </c>
      <c r="AB244" s="202">
        <v>1.1899999999999959</v>
      </c>
      <c r="AC244" s="203">
        <v>1</v>
      </c>
      <c r="AD244" s="203">
        <v>1</v>
      </c>
      <c r="AE244" s="203">
        <v>1</v>
      </c>
      <c r="AF244" s="203">
        <v>1</v>
      </c>
      <c r="AG244" s="203">
        <v>1</v>
      </c>
      <c r="AH244" s="203">
        <v>1</v>
      </c>
      <c r="AI244" s="203">
        <v>1</v>
      </c>
      <c r="AJ244" s="203">
        <v>1</v>
      </c>
      <c r="AK244" s="203">
        <v>1</v>
      </c>
      <c r="AL244" s="203">
        <v>1</v>
      </c>
    </row>
    <row r="245" spans="4:38" x14ac:dyDescent="0.25">
      <c r="D245" s="202">
        <v>1.1949999999999958</v>
      </c>
      <c r="E245" s="203">
        <v>1</v>
      </c>
      <c r="F245" s="203">
        <v>1</v>
      </c>
      <c r="G245" s="203">
        <v>1</v>
      </c>
      <c r="H245" s="203">
        <v>1</v>
      </c>
      <c r="I245" s="203">
        <v>1</v>
      </c>
      <c r="J245" s="203">
        <v>1</v>
      </c>
      <c r="K245" s="203">
        <v>1</v>
      </c>
      <c r="L245" s="203">
        <v>1</v>
      </c>
      <c r="M245" s="203">
        <v>1</v>
      </c>
      <c r="N245" s="203">
        <v>1</v>
      </c>
      <c r="P245" s="202">
        <v>1.1949999999999958</v>
      </c>
      <c r="Q245" s="203">
        <v>1</v>
      </c>
      <c r="R245" s="203">
        <v>1</v>
      </c>
      <c r="S245" s="203">
        <v>1</v>
      </c>
      <c r="T245" s="203">
        <v>1</v>
      </c>
      <c r="U245" s="203">
        <v>1</v>
      </c>
      <c r="V245" s="203">
        <v>1</v>
      </c>
      <c r="W245" s="203">
        <v>1</v>
      </c>
      <c r="X245" s="203">
        <v>1</v>
      </c>
      <c r="Y245" s="203">
        <v>1</v>
      </c>
      <c r="Z245" s="203">
        <v>1</v>
      </c>
      <c r="AB245" s="202">
        <v>1.1949999999999958</v>
      </c>
      <c r="AC245" s="203">
        <v>1</v>
      </c>
      <c r="AD245" s="203">
        <v>1</v>
      </c>
      <c r="AE245" s="203">
        <v>1</v>
      </c>
      <c r="AF245" s="203">
        <v>1</v>
      </c>
      <c r="AG245" s="203">
        <v>1</v>
      </c>
      <c r="AH245" s="203">
        <v>1</v>
      </c>
      <c r="AI245" s="203">
        <v>1</v>
      </c>
      <c r="AJ245" s="203">
        <v>1</v>
      </c>
      <c r="AK245" s="203">
        <v>1</v>
      </c>
      <c r="AL245" s="203">
        <v>1</v>
      </c>
    </row>
    <row r="246" spans="4:38" x14ac:dyDescent="0.25">
      <c r="D246" s="202">
        <v>1.1999999999999957</v>
      </c>
      <c r="E246" s="203">
        <v>1</v>
      </c>
      <c r="F246" s="203">
        <v>1</v>
      </c>
      <c r="G246" s="203">
        <v>1</v>
      </c>
      <c r="H246" s="203">
        <v>1</v>
      </c>
      <c r="I246" s="203">
        <v>1</v>
      </c>
      <c r="J246" s="203">
        <v>1</v>
      </c>
      <c r="K246" s="203">
        <v>1</v>
      </c>
      <c r="L246" s="203">
        <v>1</v>
      </c>
      <c r="M246" s="203">
        <v>1</v>
      </c>
      <c r="N246" s="203">
        <v>1</v>
      </c>
      <c r="P246" s="202">
        <v>1.1999999999999957</v>
      </c>
      <c r="Q246" s="203">
        <v>1</v>
      </c>
      <c r="R246" s="203">
        <v>1</v>
      </c>
      <c r="S246" s="203">
        <v>1</v>
      </c>
      <c r="T246" s="203">
        <v>1</v>
      </c>
      <c r="U246" s="203">
        <v>1</v>
      </c>
      <c r="V246" s="203">
        <v>1</v>
      </c>
      <c r="W246" s="203">
        <v>1</v>
      </c>
      <c r="X246" s="203">
        <v>1</v>
      </c>
      <c r="Y246" s="203">
        <v>1</v>
      </c>
      <c r="Z246" s="203">
        <v>1</v>
      </c>
      <c r="AB246" s="202">
        <v>1.1999999999999957</v>
      </c>
      <c r="AC246" s="203">
        <v>1</v>
      </c>
      <c r="AD246" s="203">
        <v>1</v>
      </c>
      <c r="AE246" s="203">
        <v>1</v>
      </c>
      <c r="AF246" s="203">
        <v>1</v>
      </c>
      <c r="AG246" s="203">
        <v>1</v>
      </c>
      <c r="AH246" s="203">
        <v>1</v>
      </c>
      <c r="AI246" s="203">
        <v>1</v>
      </c>
      <c r="AJ246" s="203">
        <v>1</v>
      </c>
      <c r="AK246" s="203">
        <v>1</v>
      </c>
      <c r="AL246" s="203">
        <v>1</v>
      </c>
    </row>
    <row r="247" spans="4:38" x14ac:dyDescent="0.25">
      <c r="D247" s="202">
        <v>1.2049999999999956</v>
      </c>
      <c r="E247" s="203">
        <v>1</v>
      </c>
      <c r="F247" s="203">
        <v>1</v>
      </c>
      <c r="G247" s="203">
        <v>1</v>
      </c>
      <c r="H247" s="203">
        <v>1</v>
      </c>
      <c r="I247" s="203">
        <v>1</v>
      </c>
      <c r="J247" s="203">
        <v>1</v>
      </c>
      <c r="K247" s="203">
        <v>1</v>
      </c>
      <c r="L247" s="203">
        <v>1</v>
      </c>
      <c r="M247" s="203">
        <v>1</v>
      </c>
      <c r="N247" s="203">
        <v>1</v>
      </c>
      <c r="P247" s="202">
        <v>1.2049999999999956</v>
      </c>
      <c r="Q247" s="203">
        <v>1</v>
      </c>
      <c r="R247" s="203">
        <v>1</v>
      </c>
      <c r="S247" s="203">
        <v>1</v>
      </c>
      <c r="T247" s="203">
        <v>1</v>
      </c>
      <c r="U247" s="203">
        <v>1</v>
      </c>
      <c r="V247" s="203">
        <v>1</v>
      </c>
      <c r="W247" s="203">
        <v>1</v>
      </c>
      <c r="X247" s="203">
        <v>1</v>
      </c>
      <c r="Y247" s="203">
        <v>1</v>
      </c>
      <c r="Z247" s="203">
        <v>1</v>
      </c>
      <c r="AB247" s="202">
        <v>1.2049999999999956</v>
      </c>
      <c r="AC247" s="203">
        <v>1</v>
      </c>
      <c r="AD247" s="203">
        <v>1</v>
      </c>
      <c r="AE247" s="203">
        <v>1</v>
      </c>
      <c r="AF247" s="203">
        <v>1</v>
      </c>
      <c r="AG247" s="203">
        <v>1</v>
      </c>
      <c r="AH247" s="203">
        <v>1</v>
      </c>
      <c r="AI247" s="203">
        <v>1</v>
      </c>
      <c r="AJ247" s="203">
        <v>1</v>
      </c>
      <c r="AK247" s="203">
        <v>1</v>
      </c>
      <c r="AL247" s="203">
        <v>1</v>
      </c>
    </row>
    <row r="248" spans="4:38" x14ac:dyDescent="0.25">
      <c r="D248" s="202">
        <v>1.2099999999999955</v>
      </c>
      <c r="E248" s="203">
        <v>1</v>
      </c>
      <c r="F248" s="203">
        <v>1</v>
      </c>
      <c r="G248" s="203">
        <v>1</v>
      </c>
      <c r="H248" s="203">
        <v>1</v>
      </c>
      <c r="I248" s="203">
        <v>1</v>
      </c>
      <c r="J248" s="203">
        <v>1</v>
      </c>
      <c r="K248" s="203">
        <v>1</v>
      </c>
      <c r="L248" s="203">
        <v>1</v>
      </c>
      <c r="M248" s="203">
        <v>1</v>
      </c>
      <c r="N248" s="203">
        <v>1</v>
      </c>
      <c r="P248" s="202">
        <v>1.2099999999999955</v>
      </c>
      <c r="Q248" s="203">
        <v>1</v>
      </c>
      <c r="R248" s="203">
        <v>1</v>
      </c>
      <c r="S248" s="203">
        <v>1</v>
      </c>
      <c r="T248" s="203">
        <v>1</v>
      </c>
      <c r="U248" s="203">
        <v>1</v>
      </c>
      <c r="V248" s="203">
        <v>1</v>
      </c>
      <c r="W248" s="203">
        <v>1</v>
      </c>
      <c r="X248" s="203">
        <v>1</v>
      </c>
      <c r="Y248" s="203">
        <v>1</v>
      </c>
      <c r="Z248" s="203">
        <v>1</v>
      </c>
      <c r="AB248" s="202">
        <v>1.2099999999999955</v>
      </c>
      <c r="AC248" s="203">
        <v>1</v>
      </c>
      <c r="AD248" s="203">
        <v>1</v>
      </c>
      <c r="AE248" s="203">
        <v>1</v>
      </c>
      <c r="AF248" s="203">
        <v>1</v>
      </c>
      <c r="AG248" s="203">
        <v>1</v>
      </c>
      <c r="AH248" s="203">
        <v>1</v>
      </c>
      <c r="AI248" s="203">
        <v>1</v>
      </c>
      <c r="AJ248" s="203">
        <v>1</v>
      </c>
      <c r="AK248" s="203">
        <v>1</v>
      </c>
      <c r="AL248" s="203">
        <v>1</v>
      </c>
    </row>
    <row r="249" spans="4:38" x14ac:dyDescent="0.25">
      <c r="D249" s="202">
        <v>1.2149999999999954</v>
      </c>
      <c r="E249" s="203">
        <v>1</v>
      </c>
      <c r="F249" s="203">
        <v>1</v>
      </c>
      <c r="G249" s="203">
        <v>1</v>
      </c>
      <c r="H249" s="203">
        <v>1</v>
      </c>
      <c r="I249" s="203">
        <v>1</v>
      </c>
      <c r="J249" s="203">
        <v>1</v>
      </c>
      <c r="K249" s="203">
        <v>1</v>
      </c>
      <c r="L249" s="203">
        <v>1</v>
      </c>
      <c r="M249" s="203">
        <v>1</v>
      </c>
      <c r="N249" s="203">
        <v>1</v>
      </c>
      <c r="P249" s="202">
        <v>1.2149999999999954</v>
      </c>
      <c r="Q249" s="203">
        <v>1</v>
      </c>
      <c r="R249" s="203">
        <v>1</v>
      </c>
      <c r="S249" s="203">
        <v>1</v>
      </c>
      <c r="T249" s="203">
        <v>1</v>
      </c>
      <c r="U249" s="203">
        <v>1</v>
      </c>
      <c r="V249" s="203">
        <v>1</v>
      </c>
      <c r="W249" s="203">
        <v>1</v>
      </c>
      <c r="X249" s="203">
        <v>1</v>
      </c>
      <c r="Y249" s="203">
        <v>1</v>
      </c>
      <c r="Z249" s="203">
        <v>1</v>
      </c>
      <c r="AB249" s="202">
        <v>1.2149999999999954</v>
      </c>
      <c r="AC249" s="203">
        <v>1</v>
      </c>
      <c r="AD249" s="203">
        <v>1</v>
      </c>
      <c r="AE249" s="203">
        <v>1</v>
      </c>
      <c r="AF249" s="203">
        <v>1</v>
      </c>
      <c r="AG249" s="203">
        <v>1</v>
      </c>
      <c r="AH249" s="203">
        <v>1</v>
      </c>
      <c r="AI249" s="203">
        <v>1</v>
      </c>
      <c r="AJ249" s="203">
        <v>1</v>
      </c>
      <c r="AK249" s="203">
        <v>1</v>
      </c>
      <c r="AL249" s="203">
        <v>1</v>
      </c>
    </row>
    <row r="250" spans="4:38" x14ac:dyDescent="0.25">
      <c r="D250" s="202">
        <v>1.2199999999999953</v>
      </c>
      <c r="E250" s="203">
        <v>1</v>
      </c>
      <c r="F250" s="203">
        <v>1</v>
      </c>
      <c r="G250" s="203">
        <v>1</v>
      </c>
      <c r="H250" s="203">
        <v>1</v>
      </c>
      <c r="I250" s="203">
        <v>1</v>
      </c>
      <c r="J250" s="203">
        <v>1</v>
      </c>
      <c r="K250" s="203">
        <v>1</v>
      </c>
      <c r="L250" s="203">
        <v>1</v>
      </c>
      <c r="M250" s="203">
        <v>1</v>
      </c>
      <c r="N250" s="203">
        <v>1</v>
      </c>
      <c r="P250" s="202">
        <v>1.2199999999999953</v>
      </c>
      <c r="Q250" s="203">
        <v>1</v>
      </c>
      <c r="R250" s="203">
        <v>1</v>
      </c>
      <c r="S250" s="203">
        <v>1</v>
      </c>
      <c r="T250" s="203">
        <v>1</v>
      </c>
      <c r="U250" s="203">
        <v>1</v>
      </c>
      <c r="V250" s="203">
        <v>1</v>
      </c>
      <c r="W250" s="203">
        <v>1</v>
      </c>
      <c r="X250" s="203">
        <v>1</v>
      </c>
      <c r="Y250" s="203">
        <v>1</v>
      </c>
      <c r="Z250" s="203">
        <v>1</v>
      </c>
      <c r="AB250" s="202">
        <v>1.2199999999999953</v>
      </c>
      <c r="AC250" s="203">
        <v>1</v>
      </c>
      <c r="AD250" s="203">
        <v>1</v>
      </c>
      <c r="AE250" s="203">
        <v>1</v>
      </c>
      <c r="AF250" s="203">
        <v>1</v>
      </c>
      <c r="AG250" s="203">
        <v>1</v>
      </c>
      <c r="AH250" s="203">
        <v>1</v>
      </c>
      <c r="AI250" s="203">
        <v>1</v>
      </c>
      <c r="AJ250" s="203">
        <v>1</v>
      </c>
      <c r="AK250" s="203">
        <v>1</v>
      </c>
      <c r="AL250" s="203">
        <v>1</v>
      </c>
    </row>
    <row r="251" spans="4:38" x14ac:dyDescent="0.25">
      <c r="D251" s="202">
        <v>1.2249999999999952</v>
      </c>
      <c r="E251" s="203">
        <v>1</v>
      </c>
      <c r="F251" s="203">
        <v>1</v>
      </c>
      <c r="G251" s="203">
        <v>1</v>
      </c>
      <c r="H251" s="203">
        <v>1</v>
      </c>
      <c r="I251" s="203">
        <v>1</v>
      </c>
      <c r="J251" s="203">
        <v>1</v>
      </c>
      <c r="K251" s="203">
        <v>1</v>
      </c>
      <c r="L251" s="203">
        <v>1</v>
      </c>
      <c r="M251" s="203">
        <v>1</v>
      </c>
      <c r="N251" s="203">
        <v>1</v>
      </c>
      <c r="P251" s="202">
        <v>1.2249999999999952</v>
      </c>
      <c r="Q251" s="203">
        <v>1</v>
      </c>
      <c r="R251" s="203">
        <v>1</v>
      </c>
      <c r="S251" s="203">
        <v>1</v>
      </c>
      <c r="T251" s="203">
        <v>1</v>
      </c>
      <c r="U251" s="203">
        <v>1</v>
      </c>
      <c r="V251" s="203">
        <v>1</v>
      </c>
      <c r="W251" s="203">
        <v>1</v>
      </c>
      <c r="X251" s="203">
        <v>1</v>
      </c>
      <c r="Y251" s="203">
        <v>1</v>
      </c>
      <c r="Z251" s="203">
        <v>1</v>
      </c>
      <c r="AB251" s="202">
        <v>1.2249999999999952</v>
      </c>
      <c r="AC251" s="203">
        <v>1</v>
      </c>
      <c r="AD251" s="203">
        <v>1</v>
      </c>
      <c r="AE251" s="203">
        <v>1</v>
      </c>
      <c r="AF251" s="203">
        <v>1</v>
      </c>
      <c r="AG251" s="203">
        <v>1</v>
      </c>
      <c r="AH251" s="203">
        <v>1</v>
      </c>
      <c r="AI251" s="203">
        <v>1</v>
      </c>
      <c r="AJ251" s="203">
        <v>1</v>
      </c>
      <c r="AK251" s="203">
        <v>1</v>
      </c>
      <c r="AL251" s="203">
        <v>1</v>
      </c>
    </row>
    <row r="252" spans="4:38" x14ac:dyDescent="0.25">
      <c r="D252" s="202">
        <v>1.2299999999999951</v>
      </c>
      <c r="E252" s="203">
        <v>1</v>
      </c>
      <c r="F252" s="203">
        <v>1</v>
      </c>
      <c r="G252" s="203">
        <v>1</v>
      </c>
      <c r="H252" s="203">
        <v>1</v>
      </c>
      <c r="I252" s="203">
        <v>1</v>
      </c>
      <c r="J252" s="203">
        <v>1</v>
      </c>
      <c r="K252" s="203">
        <v>1</v>
      </c>
      <c r="L252" s="203">
        <v>1</v>
      </c>
      <c r="M252" s="203">
        <v>1</v>
      </c>
      <c r="N252" s="203">
        <v>1</v>
      </c>
      <c r="P252" s="202">
        <v>1.2299999999999951</v>
      </c>
      <c r="Q252" s="203">
        <v>1</v>
      </c>
      <c r="R252" s="203">
        <v>1</v>
      </c>
      <c r="S252" s="203">
        <v>1</v>
      </c>
      <c r="T252" s="203">
        <v>1</v>
      </c>
      <c r="U252" s="203">
        <v>1</v>
      </c>
      <c r="V252" s="203">
        <v>1</v>
      </c>
      <c r="W252" s="203">
        <v>1</v>
      </c>
      <c r="X252" s="203">
        <v>1</v>
      </c>
      <c r="Y252" s="203">
        <v>1</v>
      </c>
      <c r="Z252" s="203">
        <v>1</v>
      </c>
      <c r="AB252" s="202">
        <v>1.2299999999999951</v>
      </c>
      <c r="AC252" s="203">
        <v>1</v>
      </c>
      <c r="AD252" s="203">
        <v>1</v>
      </c>
      <c r="AE252" s="203">
        <v>1</v>
      </c>
      <c r="AF252" s="203">
        <v>1</v>
      </c>
      <c r="AG252" s="203">
        <v>1</v>
      </c>
      <c r="AH252" s="203">
        <v>1</v>
      </c>
      <c r="AI252" s="203">
        <v>1</v>
      </c>
      <c r="AJ252" s="203">
        <v>1</v>
      </c>
      <c r="AK252" s="203">
        <v>1</v>
      </c>
      <c r="AL252" s="203">
        <v>1</v>
      </c>
    </row>
    <row r="253" spans="4:38" x14ac:dyDescent="0.25">
      <c r="D253" s="202">
        <v>1.234999999999995</v>
      </c>
      <c r="E253" s="203">
        <v>1</v>
      </c>
      <c r="F253" s="203">
        <v>1</v>
      </c>
      <c r="G253" s="203">
        <v>1</v>
      </c>
      <c r="H253" s="203">
        <v>1</v>
      </c>
      <c r="I253" s="203">
        <v>1</v>
      </c>
      <c r="J253" s="203">
        <v>1</v>
      </c>
      <c r="K253" s="203">
        <v>1</v>
      </c>
      <c r="L253" s="203">
        <v>1</v>
      </c>
      <c r="M253" s="203">
        <v>1</v>
      </c>
      <c r="N253" s="203">
        <v>1</v>
      </c>
      <c r="P253" s="202">
        <v>1.234999999999995</v>
      </c>
      <c r="Q253" s="203">
        <v>1</v>
      </c>
      <c r="R253" s="203">
        <v>1</v>
      </c>
      <c r="S253" s="203">
        <v>1</v>
      </c>
      <c r="T253" s="203">
        <v>1</v>
      </c>
      <c r="U253" s="203">
        <v>1</v>
      </c>
      <c r="V253" s="203">
        <v>1</v>
      </c>
      <c r="W253" s="203">
        <v>1</v>
      </c>
      <c r="X253" s="203">
        <v>1</v>
      </c>
      <c r="Y253" s="203">
        <v>1</v>
      </c>
      <c r="Z253" s="203">
        <v>1</v>
      </c>
      <c r="AB253" s="202">
        <v>1.234999999999995</v>
      </c>
      <c r="AC253" s="203">
        <v>1</v>
      </c>
      <c r="AD253" s="203">
        <v>1</v>
      </c>
      <c r="AE253" s="203">
        <v>1</v>
      </c>
      <c r="AF253" s="203">
        <v>1</v>
      </c>
      <c r="AG253" s="203">
        <v>1</v>
      </c>
      <c r="AH253" s="203">
        <v>1</v>
      </c>
      <c r="AI253" s="203">
        <v>1</v>
      </c>
      <c r="AJ253" s="203">
        <v>1</v>
      </c>
      <c r="AK253" s="203">
        <v>1</v>
      </c>
      <c r="AL253" s="203">
        <v>1</v>
      </c>
    </row>
    <row r="254" spans="4:38" x14ac:dyDescent="0.25">
      <c r="D254" s="202">
        <v>1.2399999999999949</v>
      </c>
      <c r="E254" s="203">
        <v>1</v>
      </c>
      <c r="F254" s="203">
        <v>1</v>
      </c>
      <c r="G254" s="203">
        <v>1</v>
      </c>
      <c r="H254" s="203">
        <v>1</v>
      </c>
      <c r="I254" s="203">
        <v>1</v>
      </c>
      <c r="J254" s="203">
        <v>1</v>
      </c>
      <c r="K254" s="203">
        <v>1</v>
      </c>
      <c r="L254" s="203">
        <v>1</v>
      </c>
      <c r="M254" s="203">
        <v>1</v>
      </c>
      <c r="N254" s="203">
        <v>1</v>
      </c>
      <c r="P254" s="202">
        <v>1.2399999999999949</v>
      </c>
      <c r="Q254" s="203">
        <v>1</v>
      </c>
      <c r="R254" s="203">
        <v>1</v>
      </c>
      <c r="S254" s="203">
        <v>1</v>
      </c>
      <c r="T254" s="203">
        <v>1</v>
      </c>
      <c r="U254" s="203">
        <v>1</v>
      </c>
      <c r="V254" s="203">
        <v>1</v>
      </c>
      <c r="W254" s="203">
        <v>1</v>
      </c>
      <c r="X254" s="203">
        <v>1</v>
      </c>
      <c r="Y254" s="203">
        <v>1</v>
      </c>
      <c r="Z254" s="203">
        <v>1</v>
      </c>
      <c r="AB254" s="202">
        <v>1.2399999999999949</v>
      </c>
      <c r="AC254" s="203">
        <v>1</v>
      </c>
      <c r="AD254" s="203">
        <v>1</v>
      </c>
      <c r="AE254" s="203">
        <v>1</v>
      </c>
      <c r="AF254" s="203">
        <v>1</v>
      </c>
      <c r="AG254" s="203">
        <v>1</v>
      </c>
      <c r="AH254" s="203">
        <v>1</v>
      </c>
      <c r="AI254" s="203">
        <v>1</v>
      </c>
      <c r="AJ254" s="203">
        <v>1</v>
      </c>
      <c r="AK254" s="203">
        <v>1</v>
      </c>
      <c r="AL254" s="203">
        <v>1</v>
      </c>
    </row>
    <row r="255" spans="4:38" x14ac:dyDescent="0.25">
      <c r="D255" s="202">
        <v>1.2449999999999948</v>
      </c>
      <c r="E255" s="203">
        <v>1</v>
      </c>
      <c r="F255" s="203">
        <v>1</v>
      </c>
      <c r="G255" s="203">
        <v>1</v>
      </c>
      <c r="H255" s="203">
        <v>1</v>
      </c>
      <c r="I255" s="203">
        <v>1</v>
      </c>
      <c r="J255" s="203">
        <v>1</v>
      </c>
      <c r="K255" s="203">
        <v>1</v>
      </c>
      <c r="L255" s="203">
        <v>1</v>
      </c>
      <c r="M255" s="203">
        <v>1</v>
      </c>
      <c r="N255" s="203">
        <v>1</v>
      </c>
      <c r="P255" s="202">
        <v>1.2449999999999948</v>
      </c>
      <c r="Q255" s="203">
        <v>1</v>
      </c>
      <c r="R255" s="203">
        <v>1</v>
      </c>
      <c r="S255" s="203">
        <v>1</v>
      </c>
      <c r="T255" s="203">
        <v>1</v>
      </c>
      <c r="U255" s="203">
        <v>1</v>
      </c>
      <c r="V255" s="203">
        <v>1</v>
      </c>
      <c r="W255" s="203">
        <v>1</v>
      </c>
      <c r="X255" s="203">
        <v>1</v>
      </c>
      <c r="Y255" s="203">
        <v>1</v>
      </c>
      <c r="Z255" s="203">
        <v>1</v>
      </c>
      <c r="AB255" s="202">
        <v>1.2449999999999948</v>
      </c>
      <c r="AC255" s="203">
        <v>1</v>
      </c>
      <c r="AD255" s="203">
        <v>1</v>
      </c>
      <c r="AE255" s="203">
        <v>1</v>
      </c>
      <c r="AF255" s="203">
        <v>1</v>
      </c>
      <c r="AG255" s="203">
        <v>1</v>
      </c>
      <c r="AH255" s="203">
        <v>1</v>
      </c>
      <c r="AI255" s="203">
        <v>1</v>
      </c>
      <c r="AJ255" s="203">
        <v>1</v>
      </c>
      <c r="AK255" s="203">
        <v>1</v>
      </c>
      <c r="AL255" s="203">
        <v>1</v>
      </c>
    </row>
    <row r="256" spans="4:38" x14ac:dyDescent="0.25">
      <c r="D256" s="202">
        <v>1.2499999999999947</v>
      </c>
      <c r="E256" s="203">
        <v>1</v>
      </c>
      <c r="F256" s="203">
        <v>1</v>
      </c>
      <c r="G256" s="203">
        <v>1</v>
      </c>
      <c r="H256" s="203">
        <v>1</v>
      </c>
      <c r="I256" s="203">
        <v>1</v>
      </c>
      <c r="J256" s="203">
        <v>1</v>
      </c>
      <c r="K256" s="203">
        <v>1</v>
      </c>
      <c r="L256" s="203">
        <v>1</v>
      </c>
      <c r="M256" s="203">
        <v>1</v>
      </c>
      <c r="N256" s="203">
        <v>1</v>
      </c>
      <c r="P256" s="202">
        <v>1.2499999999999947</v>
      </c>
      <c r="Q256" s="203">
        <v>1</v>
      </c>
      <c r="R256" s="203">
        <v>1</v>
      </c>
      <c r="S256" s="203">
        <v>1</v>
      </c>
      <c r="T256" s="203">
        <v>1</v>
      </c>
      <c r="U256" s="203">
        <v>1</v>
      </c>
      <c r="V256" s="203">
        <v>1</v>
      </c>
      <c r="W256" s="203">
        <v>1</v>
      </c>
      <c r="X256" s="203">
        <v>1</v>
      </c>
      <c r="Y256" s="203">
        <v>1</v>
      </c>
      <c r="Z256" s="203">
        <v>1</v>
      </c>
      <c r="AB256" s="202">
        <v>1.2499999999999947</v>
      </c>
      <c r="AC256" s="203">
        <v>1</v>
      </c>
      <c r="AD256" s="203">
        <v>1</v>
      </c>
      <c r="AE256" s="203">
        <v>1</v>
      </c>
      <c r="AF256" s="203">
        <v>1</v>
      </c>
      <c r="AG256" s="203">
        <v>1</v>
      </c>
      <c r="AH256" s="203">
        <v>1</v>
      </c>
      <c r="AI256" s="203">
        <v>1</v>
      </c>
      <c r="AJ256" s="203">
        <v>1</v>
      </c>
      <c r="AK256" s="203">
        <v>1</v>
      </c>
      <c r="AL256" s="203">
        <v>1</v>
      </c>
    </row>
    <row r="257" spans="4:38" x14ac:dyDescent="0.25">
      <c r="D257" s="202">
        <v>1.2549999999999946</v>
      </c>
      <c r="E257" s="203">
        <v>1</v>
      </c>
      <c r="F257" s="203">
        <v>1</v>
      </c>
      <c r="G257" s="203">
        <v>1</v>
      </c>
      <c r="H257" s="203">
        <v>1</v>
      </c>
      <c r="I257" s="203">
        <v>1</v>
      </c>
      <c r="J257" s="203">
        <v>1</v>
      </c>
      <c r="K257" s="203">
        <v>1</v>
      </c>
      <c r="L257" s="203">
        <v>1</v>
      </c>
      <c r="M257" s="203">
        <v>1</v>
      </c>
      <c r="N257" s="203">
        <v>1</v>
      </c>
      <c r="P257" s="202">
        <v>1.2549999999999946</v>
      </c>
      <c r="Q257" s="203">
        <v>1</v>
      </c>
      <c r="R257" s="203">
        <v>1</v>
      </c>
      <c r="S257" s="203">
        <v>1</v>
      </c>
      <c r="T257" s="203">
        <v>1</v>
      </c>
      <c r="U257" s="203">
        <v>1</v>
      </c>
      <c r="V257" s="203">
        <v>1</v>
      </c>
      <c r="W257" s="203">
        <v>1</v>
      </c>
      <c r="X257" s="203">
        <v>1</v>
      </c>
      <c r="Y257" s="203">
        <v>1</v>
      </c>
      <c r="Z257" s="203">
        <v>1</v>
      </c>
      <c r="AB257" s="202">
        <v>1.2549999999999946</v>
      </c>
      <c r="AC257" s="203">
        <v>1</v>
      </c>
      <c r="AD257" s="203">
        <v>1</v>
      </c>
      <c r="AE257" s="203">
        <v>1</v>
      </c>
      <c r="AF257" s="203">
        <v>1</v>
      </c>
      <c r="AG257" s="203">
        <v>1</v>
      </c>
      <c r="AH257" s="203">
        <v>1</v>
      </c>
      <c r="AI257" s="203">
        <v>1</v>
      </c>
      <c r="AJ257" s="203">
        <v>1</v>
      </c>
      <c r="AK257" s="203">
        <v>1</v>
      </c>
      <c r="AL257" s="203">
        <v>1</v>
      </c>
    </row>
    <row r="258" spans="4:38" x14ac:dyDescent="0.25">
      <c r="D258" s="202">
        <v>1.2599999999999945</v>
      </c>
      <c r="E258" s="203">
        <v>1</v>
      </c>
      <c r="F258" s="203">
        <v>1</v>
      </c>
      <c r="G258" s="203">
        <v>1</v>
      </c>
      <c r="H258" s="203">
        <v>1</v>
      </c>
      <c r="I258" s="203">
        <v>1</v>
      </c>
      <c r="J258" s="203">
        <v>1</v>
      </c>
      <c r="K258" s="203">
        <v>1</v>
      </c>
      <c r="L258" s="203">
        <v>1</v>
      </c>
      <c r="M258" s="203">
        <v>1</v>
      </c>
      <c r="N258" s="203">
        <v>1</v>
      </c>
      <c r="P258" s="202">
        <v>1.2599999999999945</v>
      </c>
      <c r="Q258" s="203">
        <v>1</v>
      </c>
      <c r="R258" s="203">
        <v>1</v>
      </c>
      <c r="S258" s="203">
        <v>1</v>
      </c>
      <c r="T258" s="203">
        <v>1</v>
      </c>
      <c r="U258" s="203">
        <v>1</v>
      </c>
      <c r="V258" s="203">
        <v>1</v>
      </c>
      <c r="W258" s="203">
        <v>1</v>
      </c>
      <c r="X258" s="203">
        <v>1</v>
      </c>
      <c r="Y258" s="203">
        <v>1</v>
      </c>
      <c r="Z258" s="203">
        <v>1</v>
      </c>
      <c r="AB258" s="202">
        <v>1.2599999999999945</v>
      </c>
      <c r="AC258" s="203">
        <v>1</v>
      </c>
      <c r="AD258" s="203">
        <v>1</v>
      </c>
      <c r="AE258" s="203">
        <v>1</v>
      </c>
      <c r="AF258" s="203">
        <v>1</v>
      </c>
      <c r="AG258" s="203">
        <v>1</v>
      </c>
      <c r="AH258" s="203">
        <v>1</v>
      </c>
      <c r="AI258" s="203">
        <v>1</v>
      </c>
      <c r="AJ258" s="203">
        <v>1</v>
      </c>
      <c r="AK258" s="203">
        <v>1</v>
      </c>
      <c r="AL258" s="203">
        <v>1</v>
      </c>
    </row>
    <row r="259" spans="4:38" x14ac:dyDescent="0.25">
      <c r="D259" s="202">
        <v>1.2649999999999944</v>
      </c>
      <c r="E259" s="203">
        <v>1</v>
      </c>
      <c r="F259" s="203">
        <v>1</v>
      </c>
      <c r="G259" s="203">
        <v>1</v>
      </c>
      <c r="H259" s="203">
        <v>1</v>
      </c>
      <c r="I259" s="203">
        <v>1</v>
      </c>
      <c r="J259" s="203">
        <v>1</v>
      </c>
      <c r="K259" s="203">
        <v>1</v>
      </c>
      <c r="L259" s="203">
        <v>1</v>
      </c>
      <c r="M259" s="203">
        <v>1</v>
      </c>
      <c r="N259" s="203">
        <v>1</v>
      </c>
      <c r="P259" s="202">
        <v>1.2649999999999944</v>
      </c>
      <c r="Q259" s="203">
        <v>1</v>
      </c>
      <c r="R259" s="203">
        <v>1</v>
      </c>
      <c r="S259" s="203">
        <v>1</v>
      </c>
      <c r="T259" s="203">
        <v>1</v>
      </c>
      <c r="U259" s="203">
        <v>1</v>
      </c>
      <c r="V259" s="203">
        <v>1</v>
      </c>
      <c r="W259" s="203">
        <v>1</v>
      </c>
      <c r="X259" s="203">
        <v>1</v>
      </c>
      <c r="Y259" s="203">
        <v>1</v>
      </c>
      <c r="Z259" s="203">
        <v>1</v>
      </c>
      <c r="AB259" s="202">
        <v>1.2649999999999944</v>
      </c>
      <c r="AC259" s="203">
        <v>1</v>
      </c>
      <c r="AD259" s="203">
        <v>1</v>
      </c>
      <c r="AE259" s="203">
        <v>1</v>
      </c>
      <c r="AF259" s="203">
        <v>1</v>
      </c>
      <c r="AG259" s="203">
        <v>1</v>
      </c>
      <c r="AH259" s="203">
        <v>1</v>
      </c>
      <c r="AI259" s="203">
        <v>1</v>
      </c>
      <c r="AJ259" s="203">
        <v>1</v>
      </c>
      <c r="AK259" s="203">
        <v>1</v>
      </c>
      <c r="AL259" s="203">
        <v>1</v>
      </c>
    </row>
    <row r="260" spans="4:38" x14ac:dyDescent="0.25">
      <c r="D260" s="202">
        <v>1.2699999999999942</v>
      </c>
      <c r="E260" s="203">
        <v>1</v>
      </c>
      <c r="F260" s="203">
        <v>1</v>
      </c>
      <c r="G260" s="203">
        <v>1</v>
      </c>
      <c r="H260" s="203">
        <v>1</v>
      </c>
      <c r="I260" s="203">
        <v>1</v>
      </c>
      <c r="J260" s="203">
        <v>1</v>
      </c>
      <c r="K260" s="203">
        <v>1</v>
      </c>
      <c r="L260" s="203">
        <v>1</v>
      </c>
      <c r="M260" s="203">
        <v>1</v>
      </c>
      <c r="N260" s="203">
        <v>1</v>
      </c>
      <c r="P260" s="202">
        <v>1.2699999999999942</v>
      </c>
      <c r="Q260" s="203">
        <v>1</v>
      </c>
      <c r="R260" s="203">
        <v>1</v>
      </c>
      <c r="S260" s="203">
        <v>1</v>
      </c>
      <c r="T260" s="203">
        <v>1</v>
      </c>
      <c r="U260" s="203">
        <v>1</v>
      </c>
      <c r="V260" s="203">
        <v>1</v>
      </c>
      <c r="W260" s="203">
        <v>1</v>
      </c>
      <c r="X260" s="203">
        <v>1</v>
      </c>
      <c r="Y260" s="203">
        <v>1</v>
      </c>
      <c r="Z260" s="203">
        <v>1</v>
      </c>
      <c r="AB260" s="202">
        <v>1.2699999999999942</v>
      </c>
      <c r="AC260" s="203">
        <v>1</v>
      </c>
      <c r="AD260" s="203">
        <v>1</v>
      </c>
      <c r="AE260" s="203">
        <v>1</v>
      </c>
      <c r="AF260" s="203">
        <v>1</v>
      </c>
      <c r="AG260" s="203">
        <v>1</v>
      </c>
      <c r="AH260" s="203">
        <v>1</v>
      </c>
      <c r="AI260" s="203">
        <v>1</v>
      </c>
      <c r="AJ260" s="203">
        <v>1</v>
      </c>
      <c r="AK260" s="203">
        <v>1</v>
      </c>
      <c r="AL260" s="203">
        <v>1</v>
      </c>
    </row>
    <row r="261" spans="4:38" x14ac:dyDescent="0.25">
      <c r="D261" s="202">
        <v>1.2749999999999941</v>
      </c>
      <c r="E261" s="203">
        <v>1</v>
      </c>
      <c r="F261" s="203">
        <v>1</v>
      </c>
      <c r="G261" s="203">
        <v>1</v>
      </c>
      <c r="H261" s="203">
        <v>1</v>
      </c>
      <c r="I261" s="203">
        <v>1</v>
      </c>
      <c r="J261" s="203">
        <v>1</v>
      </c>
      <c r="K261" s="203">
        <v>1</v>
      </c>
      <c r="L261" s="203">
        <v>1</v>
      </c>
      <c r="M261" s="203">
        <v>1</v>
      </c>
      <c r="N261" s="203">
        <v>1</v>
      </c>
      <c r="P261" s="202">
        <v>1.2749999999999941</v>
      </c>
      <c r="Q261" s="203">
        <v>1</v>
      </c>
      <c r="R261" s="203">
        <v>1</v>
      </c>
      <c r="S261" s="203">
        <v>1</v>
      </c>
      <c r="T261" s="203">
        <v>1</v>
      </c>
      <c r="U261" s="203">
        <v>1</v>
      </c>
      <c r="V261" s="203">
        <v>1</v>
      </c>
      <c r="W261" s="203">
        <v>1</v>
      </c>
      <c r="X261" s="203">
        <v>1</v>
      </c>
      <c r="Y261" s="203">
        <v>1</v>
      </c>
      <c r="Z261" s="203">
        <v>1</v>
      </c>
      <c r="AB261" s="202">
        <v>1.2749999999999941</v>
      </c>
      <c r="AC261" s="203">
        <v>1</v>
      </c>
      <c r="AD261" s="203">
        <v>1</v>
      </c>
      <c r="AE261" s="203">
        <v>1</v>
      </c>
      <c r="AF261" s="203">
        <v>1</v>
      </c>
      <c r="AG261" s="203">
        <v>1</v>
      </c>
      <c r="AH261" s="203">
        <v>1</v>
      </c>
      <c r="AI261" s="203">
        <v>1</v>
      </c>
      <c r="AJ261" s="203">
        <v>1</v>
      </c>
      <c r="AK261" s="203">
        <v>1</v>
      </c>
      <c r="AL261" s="203">
        <v>1</v>
      </c>
    </row>
    <row r="262" spans="4:38" x14ac:dyDescent="0.25">
      <c r="D262" s="202">
        <v>1.279999999999994</v>
      </c>
      <c r="E262" s="203">
        <v>1</v>
      </c>
      <c r="F262" s="203">
        <v>1</v>
      </c>
      <c r="G262" s="203">
        <v>1</v>
      </c>
      <c r="H262" s="203">
        <v>1</v>
      </c>
      <c r="I262" s="203">
        <v>1</v>
      </c>
      <c r="J262" s="203">
        <v>1</v>
      </c>
      <c r="K262" s="203">
        <v>1</v>
      </c>
      <c r="L262" s="203">
        <v>1</v>
      </c>
      <c r="M262" s="203">
        <v>1</v>
      </c>
      <c r="N262" s="203">
        <v>1</v>
      </c>
      <c r="P262" s="202">
        <v>1.279999999999994</v>
      </c>
      <c r="Q262" s="203">
        <v>1</v>
      </c>
      <c r="R262" s="203">
        <v>1</v>
      </c>
      <c r="S262" s="203">
        <v>1</v>
      </c>
      <c r="T262" s="203">
        <v>1</v>
      </c>
      <c r="U262" s="203">
        <v>1</v>
      </c>
      <c r="V262" s="203">
        <v>1</v>
      </c>
      <c r="W262" s="203">
        <v>1</v>
      </c>
      <c r="X262" s="203">
        <v>1</v>
      </c>
      <c r="Y262" s="203">
        <v>1</v>
      </c>
      <c r="Z262" s="203">
        <v>1</v>
      </c>
      <c r="AB262" s="202">
        <v>1.279999999999994</v>
      </c>
      <c r="AC262" s="203">
        <v>1</v>
      </c>
      <c r="AD262" s="203">
        <v>1</v>
      </c>
      <c r="AE262" s="203">
        <v>1</v>
      </c>
      <c r="AF262" s="203">
        <v>1</v>
      </c>
      <c r="AG262" s="203">
        <v>1</v>
      </c>
      <c r="AH262" s="203">
        <v>1</v>
      </c>
      <c r="AI262" s="203">
        <v>1</v>
      </c>
      <c r="AJ262" s="203">
        <v>1</v>
      </c>
      <c r="AK262" s="203">
        <v>1</v>
      </c>
      <c r="AL262" s="203">
        <v>1</v>
      </c>
    </row>
    <row r="263" spans="4:38" x14ac:dyDescent="0.25">
      <c r="D263" s="202">
        <v>1.2849999999999939</v>
      </c>
      <c r="E263" s="203">
        <v>1</v>
      </c>
      <c r="F263" s="203">
        <v>1</v>
      </c>
      <c r="G263" s="203">
        <v>1</v>
      </c>
      <c r="H263" s="203">
        <v>1</v>
      </c>
      <c r="I263" s="203">
        <v>1</v>
      </c>
      <c r="J263" s="203">
        <v>1</v>
      </c>
      <c r="K263" s="203">
        <v>1</v>
      </c>
      <c r="L263" s="203">
        <v>1</v>
      </c>
      <c r="M263" s="203">
        <v>1</v>
      </c>
      <c r="N263" s="203">
        <v>1</v>
      </c>
      <c r="P263" s="202">
        <v>1.2849999999999939</v>
      </c>
      <c r="Q263" s="203">
        <v>1</v>
      </c>
      <c r="R263" s="203">
        <v>1</v>
      </c>
      <c r="S263" s="203">
        <v>1</v>
      </c>
      <c r="T263" s="203">
        <v>1</v>
      </c>
      <c r="U263" s="203">
        <v>1</v>
      </c>
      <c r="V263" s="203">
        <v>1</v>
      </c>
      <c r="W263" s="203">
        <v>1</v>
      </c>
      <c r="X263" s="203">
        <v>1</v>
      </c>
      <c r="Y263" s="203">
        <v>1</v>
      </c>
      <c r="Z263" s="203">
        <v>1</v>
      </c>
      <c r="AB263" s="202">
        <v>1.2849999999999939</v>
      </c>
      <c r="AC263" s="203">
        <v>1</v>
      </c>
      <c r="AD263" s="203">
        <v>1</v>
      </c>
      <c r="AE263" s="203">
        <v>1</v>
      </c>
      <c r="AF263" s="203">
        <v>1</v>
      </c>
      <c r="AG263" s="203">
        <v>1</v>
      </c>
      <c r="AH263" s="203">
        <v>1</v>
      </c>
      <c r="AI263" s="203">
        <v>1</v>
      </c>
      <c r="AJ263" s="203">
        <v>1</v>
      </c>
      <c r="AK263" s="203">
        <v>1</v>
      </c>
      <c r="AL263" s="203">
        <v>1</v>
      </c>
    </row>
    <row r="264" spans="4:38" x14ac:dyDescent="0.25">
      <c r="D264" s="202">
        <v>1.2899999999999938</v>
      </c>
      <c r="E264" s="203">
        <v>1</v>
      </c>
      <c r="F264" s="203">
        <v>1</v>
      </c>
      <c r="G264" s="203">
        <v>1</v>
      </c>
      <c r="H264" s="203">
        <v>1</v>
      </c>
      <c r="I264" s="203">
        <v>1</v>
      </c>
      <c r="J264" s="203">
        <v>1</v>
      </c>
      <c r="K264" s="203">
        <v>1</v>
      </c>
      <c r="L264" s="203">
        <v>1</v>
      </c>
      <c r="M264" s="203">
        <v>1</v>
      </c>
      <c r="N264" s="203">
        <v>1</v>
      </c>
      <c r="P264" s="202">
        <v>1.2899999999999938</v>
      </c>
      <c r="Q264" s="203">
        <v>1</v>
      </c>
      <c r="R264" s="203">
        <v>1</v>
      </c>
      <c r="S264" s="203">
        <v>1</v>
      </c>
      <c r="T264" s="203">
        <v>1</v>
      </c>
      <c r="U264" s="203">
        <v>1</v>
      </c>
      <c r="V264" s="203">
        <v>1</v>
      </c>
      <c r="W264" s="203">
        <v>1</v>
      </c>
      <c r="X264" s="203">
        <v>1</v>
      </c>
      <c r="Y264" s="203">
        <v>1</v>
      </c>
      <c r="Z264" s="203">
        <v>1</v>
      </c>
      <c r="AB264" s="202">
        <v>1.2899999999999938</v>
      </c>
      <c r="AC264" s="203">
        <v>1</v>
      </c>
      <c r="AD264" s="203">
        <v>1</v>
      </c>
      <c r="AE264" s="203">
        <v>1</v>
      </c>
      <c r="AF264" s="203">
        <v>1</v>
      </c>
      <c r="AG264" s="203">
        <v>1</v>
      </c>
      <c r="AH264" s="203">
        <v>1</v>
      </c>
      <c r="AI264" s="203">
        <v>1</v>
      </c>
      <c r="AJ264" s="203">
        <v>1</v>
      </c>
      <c r="AK264" s="203">
        <v>1</v>
      </c>
      <c r="AL264" s="203">
        <v>1</v>
      </c>
    </row>
    <row r="265" spans="4:38" x14ac:dyDescent="0.25">
      <c r="D265" s="202">
        <v>1.2949999999999937</v>
      </c>
      <c r="E265" s="203">
        <v>1</v>
      </c>
      <c r="F265" s="203">
        <v>1</v>
      </c>
      <c r="G265" s="203">
        <v>1</v>
      </c>
      <c r="H265" s="203">
        <v>1</v>
      </c>
      <c r="I265" s="203">
        <v>1</v>
      </c>
      <c r="J265" s="203">
        <v>1</v>
      </c>
      <c r="K265" s="203">
        <v>1</v>
      </c>
      <c r="L265" s="203">
        <v>1</v>
      </c>
      <c r="M265" s="203">
        <v>1</v>
      </c>
      <c r="N265" s="203">
        <v>1</v>
      </c>
      <c r="P265" s="202">
        <v>1.2949999999999937</v>
      </c>
      <c r="Q265" s="203">
        <v>1</v>
      </c>
      <c r="R265" s="203">
        <v>1</v>
      </c>
      <c r="S265" s="203">
        <v>1</v>
      </c>
      <c r="T265" s="203">
        <v>1</v>
      </c>
      <c r="U265" s="203">
        <v>1</v>
      </c>
      <c r="V265" s="203">
        <v>1</v>
      </c>
      <c r="W265" s="203">
        <v>1</v>
      </c>
      <c r="X265" s="203">
        <v>1</v>
      </c>
      <c r="Y265" s="203">
        <v>1</v>
      </c>
      <c r="Z265" s="203">
        <v>1</v>
      </c>
      <c r="AB265" s="202">
        <v>1.2949999999999937</v>
      </c>
      <c r="AC265" s="203">
        <v>1</v>
      </c>
      <c r="AD265" s="203">
        <v>1</v>
      </c>
      <c r="AE265" s="203">
        <v>1</v>
      </c>
      <c r="AF265" s="203">
        <v>1</v>
      </c>
      <c r="AG265" s="203">
        <v>1</v>
      </c>
      <c r="AH265" s="203">
        <v>1</v>
      </c>
      <c r="AI265" s="203">
        <v>1</v>
      </c>
      <c r="AJ265" s="203">
        <v>1</v>
      </c>
      <c r="AK265" s="203">
        <v>1</v>
      </c>
      <c r="AL265" s="203">
        <v>1</v>
      </c>
    </row>
    <row r="266" spans="4:38" x14ac:dyDescent="0.25">
      <c r="D266" s="202">
        <v>1.2999999999999936</v>
      </c>
      <c r="E266" s="203">
        <v>1</v>
      </c>
      <c r="F266" s="203">
        <v>1</v>
      </c>
      <c r="G266" s="203">
        <v>1</v>
      </c>
      <c r="H266" s="203">
        <v>1</v>
      </c>
      <c r="I266" s="203">
        <v>1</v>
      </c>
      <c r="J266" s="203">
        <v>1</v>
      </c>
      <c r="K266" s="203">
        <v>1</v>
      </c>
      <c r="L266" s="203">
        <v>1</v>
      </c>
      <c r="M266" s="203">
        <v>1</v>
      </c>
      <c r="N266" s="203">
        <v>1</v>
      </c>
      <c r="P266" s="202">
        <v>1.2999999999999936</v>
      </c>
      <c r="Q266" s="203">
        <v>1</v>
      </c>
      <c r="R266" s="203">
        <v>1</v>
      </c>
      <c r="S266" s="203">
        <v>1</v>
      </c>
      <c r="T266" s="203">
        <v>1</v>
      </c>
      <c r="U266" s="203">
        <v>1</v>
      </c>
      <c r="V266" s="203">
        <v>1</v>
      </c>
      <c r="W266" s="203">
        <v>1</v>
      </c>
      <c r="X266" s="203">
        <v>1</v>
      </c>
      <c r="Y266" s="203">
        <v>1</v>
      </c>
      <c r="Z266" s="203">
        <v>1</v>
      </c>
      <c r="AB266" s="202">
        <v>1.2999999999999936</v>
      </c>
      <c r="AC266" s="203">
        <v>1</v>
      </c>
      <c r="AD266" s="203">
        <v>1</v>
      </c>
      <c r="AE266" s="203">
        <v>1</v>
      </c>
      <c r="AF266" s="203">
        <v>1</v>
      </c>
      <c r="AG266" s="203">
        <v>1</v>
      </c>
      <c r="AH266" s="203">
        <v>1</v>
      </c>
      <c r="AI266" s="203">
        <v>1</v>
      </c>
      <c r="AJ266" s="203">
        <v>1</v>
      </c>
      <c r="AK266" s="203">
        <v>1</v>
      </c>
      <c r="AL266" s="203">
        <v>1</v>
      </c>
    </row>
    <row r="267" spans="4:38" x14ac:dyDescent="0.25">
      <c r="D267" s="202">
        <v>1.3049999999999935</v>
      </c>
      <c r="E267" s="203">
        <v>1</v>
      </c>
      <c r="F267" s="203">
        <v>1</v>
      </c>
      <c r="G267" s="203">
        <v>1</v>
      </c>
      <c r="H267" s="203">
        <v>1</v>
      </c>
      <c r="I267" s="203">
        <v>1</v>
      </c>
      <c r="J267" s="203">
        <v>1</v>
      </c>
      <c r="K267" s="203">
        <v>1</v>
      </c>
      <c r="L267" s="203">
        <v>1</v>
      </c>
      <c r="M267" s="203">
        <v>1</v>
      </c>
      <c r="N267" s="203">
        <v>1</v>
      </c>
      <c r="P267" s="202">
        <v>1.3049999999999935</v>
      </c>
      <c r="Q267" s="203">
        <v>1</v>
      </c>
      <c r="R267" s="203">
        <v>1</v>
      </c>
      <c r="S267" s="203">
        <v>1</v>
      </c>
      <c r="T267" s="203">
        <v>1</v>
      </c>
      <c r="U267" s="203">
        <v>1</v>
      </c>
      <c r="V267" s="203">
        <v>1</v>
      </c>
      <c r="W267" s="203">
        <v>1</v>
      </c>
      <c r="X267" s="203">
        <v>1</v>
      </c>
      <c r="Y267" s="203">
        <v>1</v>
      </c>
      <c r="Z267" s="203">
        <v>1</v>
      </c>
      <c r="AB267" s="202">
        <v>1.3049999999999935</v>
      </c>
      <c r="AC267" s="203">
        <v>1</v>
      </c>
      <c r="AD267" s="203">
        <v>1</v>
      </c>
      <c r="AE267" s="203">
        <v>1</v>
      </c>
      <c r="AF267" s="203">
        <v>1</v>
      </c>
      <c r="AG267" s="203">
        <v>1</v>
      </c>
      <c r="AH267" s="203">
        <v>1</v>
      </c>
      <c r="AI267" s="203">
        <v>1</v>
      </c>
      <c r="AJ267" s="203">
        <v>1</v>
      </c>
      <c r="AK267" s="203">
        <v>1</v>
      </c>
      <c r="AL267" s="203">
        <v>1</v>
      </c>
    </row>
    <row r="268" spans="4:38" x14ac:dyDescent="0.25">
      <c r="D268" s="202">
        <v>1.3099999999999934</v>
      </c>
      <c r="E268" s="203">
        <v>1</v>
      </c>
      <c r="F268" s="203">
        <v>1</v>
      </c>
      <c r="G268" s="203">
        <v>1</v>
      </c>
      <c r="H268" s="203">
        <v>1</v>
      </c>
      <c r="I268" s="203">
        <v>1</v>
      </c>
      <c r="J268" s="203">
        <v>1</v>
      </c>
      <c r="K268" s="203">
        <v>1</v>
      </c>
      <c r="L268" s="203">
        <v>1</v>
      </c>
      <c r="M268" s="203">
        <v>1</v>
      </c>
      <c r="N268" s="203">
        <v>1</v>
      </c>
      <c r="P268" s="202">
        <v>1.3099999999999934</v>
      </c>
      <c r="Q268" s="203">
        <v>1</v>
      </c>
      <c r="R268" s="203">
        <v>1</v>
      </c>
      <c r="S268" s="203">
        <v>1</v>
      </c>
      <c r="T268" s="203">
        <v>1</v>
      </c>
      <c r="U268" s="203">
        <v>1</v>
      </c>
      <c r="V268" s="203">
        <v>1</v>
      </c>
      <c r="W268" s="203">
        <v>1</v>
      </c>
      <c r="X268" s="203">
        <v>1</v>
      </c>
      <c r="Y268" s="203">
        <v>1</v>
      </c>
      <c r="Z268" s="203">
        <v>1</v>
      </c>
      <c r="AB268" s="202">
        <v>1.3099999999999934</v>
      </c>
      <c r="AC268" s="203">
        <v>1</v>
      </c>
      <c r="AD268" s="203">
        <v>1</v>
      </c>
      <c r="AE268" s="203">
        <v>1</v>
      </c>
      <c r="AF268" s="203">
        <v>1</v>
      </c>
      <c r="AG268" s="203">
        <v>1</v>
      </c>
      <c r="AH268" s="203">
        <v>1</v>
      </c>
      <c r="AI268" s="203">
        <v>1</v>
      </c>
      <c r="AJ268" s="203">
        <v>1</v>
      </c>
      <c r="AK268" s="203">
        <v>1</v>
      </c>
      <c r="AL268" s="203">
        <v>1</v>
      </c>
    </row>
    <row r="269" spans="4:38" x14ac:dyDescent="0.25">
      <c r="D269" s="202">
        <v>1.3149999999999933</v>
      </c>
      <c r="E269" s="203">
        <v>1</v>
      </c>
      <c r="F269" s="203">
        <v>1</v>
      </c>
      <c r="G269" s="203">
        <v>1</v>
      </c>
      <c r="H269" s="203">
        <v>1</v>
      </c>
      <c r="I269" s="203">
        <v>1</v>
      </c>
      <c r="J269" s="203">
        <v>1</v>
      </c>
      <c r="K269" s="203">
        <v>1</v>
      </c>
      <c r="L269" s="203">
        <v>1</v>
      </c>
      <c r="M269" s="203">
        <v>1</v>
      </c>
      <c r="N269" s="203">
        <v>1</v>
      </c>
      <c r="P269" s="202">
        <v>1.3149999999999933</v>
      </c>
      <c r="Q269" s="203">
        <v>1</v>
      </c>
      <c r="R269" s="203">
        <v>1</v>
      </c>
      <c r="S269" s="203">
        <v>1</v>
      </c>
      <c r="T269" s="203">
        <v>1</v>
      </c>
      <c r="U269" s="203">
        <v>1</v>
      </c>
      <c r="V269" s="203">
        <v>1</v>
      </c>
      <c r="W269" s="203">
        <v>1</v>
      </c>
      <c r="X269" s="203">
        <v>1</v>
      </c>
      <c r="Y269" s="203">
        <v>1</v>
      </c>
      <c r="Z269" s="203">
        <v>1</v>
      </c>
      <c r="AB269" s="202">
        <v>1.3149999999999933</v>
      </c>
      <c r="AC269" s="203">
        <v>1</v>
      </c>
      <c r="AD269" s="203">
        <v>1</v>
      </c>
      <c r="AE269" s="203">
        <v>1</v>
      </c>
      <c r="AF269" s="203">
        <v>1</v>
      </c>
      <c r="AG269" s="203">
        <v>1</v>
      </c>
      <c r="AH269" s="203">
        <v>1</v>
      </c>
      <c r="AI269" s="203">
        <v>1</v>
      </c>
      <c r="AJ269" s="203">
        <v>1</v>
      </c>
      <c r="AK269" s="203">
        <v>1</v>
      </c>
      <c r="AL269" s="203">
        <v>1</v>
      </c>
    </row>
    <row r="270" spans="4:38" x14ac:dyDescent="0.25">
      <c r="D270" s="202">
        <v>1.3199999999999932</v>
      </c>
      <c r="E270" s="203">
        <v>1</v>
      </c>
      <c r="F270" s="203">
        <v>1</v>
      </c>
      <c r="G270" s="203">
        <v>1</v>
      </c>
      <c r="H270" s="203">
        <v>1</v>
      </c>
      <c r="I270" s="203">
        <v>1</v>
      </c>
      <c r="J270" s="203">
        <v>1</v>
      </c>
      <c r="K270" s="203">
        <v>1</v>
      </c>
      <c r="L270" s="203">
        <v>1</v>
      </c>
      <c r="M270" s="203">
        <v>1</v>
      </c>
      <c r="N270" s="203">
        <v>1</v>
      </c>
      <c r="P270" s="202">
        <v>1.3199999999999932</v>
      </c>
      <c r="Q270" s="203">
        <v>1</v>
      </c>
      <c r="R270" s="203">
        <v>1</v>
      </c>
      <c r="S270" s="203">
        <v>1</v>
      </c>
      <c r="T270" s="203">
        <v>1</v>
      </c>
      <c r="U270" s="203">
        <v>1</v>
      </c>
      <c r="V270" s="203">
        <v>1</v>
      </c>
      <c r="W270" s="203">
        <v>1</v>
      </c>
      <c r="X270" s="203">
        <v>1</v>
      </c>
      <c r="Y270" s="203">
        <v>1</v>
      </c>
      <c r="Z270" s="203">
        <v>1</v>
      </c>
      <c r="AB270" s="202">
        <v>1.3199999999999932</v>
      </c>
      <c r="AC270" s="203">
        <v>1</v>
      </c>
      <c r="AD270" s="203">
        <v>1</v>
      </c>
      <c r="AE270" s="203">
        <v>1</v>
      </c>
      <c r="AF270" s="203">
        <v>1</v>
      </c>
      <c r="AG270" s="203">
        <v>1</v>
      </c>
      <c r="AH270" s="203">
        <v>1</v>
      </c>
      <c r="AI270" s="203">
        <v>1</v>
      </c>
      <c r="AJ270" s="203">
        <v>1</v>
      </c>
      <c r="AK270" s="203">
        <v>1</v>
      </c>
      <c r="AL270" s="203">
        <v>1</v>
      </c>
    </row>
    <row r="271" spans="4:38" x14ac:dyDescent="0.25">
      <c r="D271" s="202">
        <v>1.3249999999999931</v>
      </c>
      <c r="E271" s="203">
        <v>1</v>
      </c>
      <c r="F271" s="203">
        <v>1</v>
      </c>
      <c r="G271" s="203">
        <v>1</v>
      </c>
      <c r="H271" s="203">
        <v>1</v>
      </c>
      <c r="I271" s="203">
        <v>1</v>
      </c>
      <c r="J271" s="203">
        <v>1</v>
      </c>
      <c r="K271" s="203">
        <v>1</v>
      </c>
      <c r="L271" s="203">
        <v>1</v>
      </c>
      <c r="M271" s="203">
        <v>1</v>
      </c>
      <c r="N271" s="203">
        <v>1</v>
      </c>
      <c r="P271" s="202">
        <v>1.3249999999999931</v>
      </c>
      <c r="Q271" s="203">
        <v>1</v>
      </c>
      <c r="R271" s="203">
        <v>1</v>
      </c>
      <c r="S271" s="203">
        <v>1</v>
      </c>
      <c r="T271" s="203">
        <v>1</v>
      </c>
      <c r="U271" s="203">
        <v>1</v>
      </c>
      <c r="V271" s="203">
        <v>1</v>
      </c>
      <c r="W271" s="203">
        <v>1</v>
      </c>
      <c r="X271" s="203">
        <v>1</v>
      </c>
      <c r="Y271" s="203">
        <v>1</v>
      </c>
      <c r="Z271" s="203">
        <v>1</v>
      </c>
      <c r="AB271" s="202">
        <v>1.3249999999999931</v>
      </c>
      <c r="AC271" s="203">
        <v>1</v>
      </c>
      <c r="AD271" s="203">
        <v>1</v>
      </c>
      <c r="AE271" s="203">
        <v>1</v>
      </c>
      <c r="AF271" s="203">
        <v>1</v>
      </c>
      <c r="AG271" s="203">
        <v>1</v>
      </c>
      <c r="AH271" s="203">
        <v>1</v>
      </c>
      <c r="AI271" s="203">
        <v>1</v>
      </c>
      <c r="AJ271" s="203">
        <v>1</v>
      </c>
      <c r="AK271" s="203">
        <v>1</v>
      </c>
      <c r="AL271" s="203">
        <v>1</v>
      </c>
    </row>
    <row r="272" spans="4:38" x14ac:dyDescent="0.25">
      <c r="D272" s="202">
        <v>1.329999999999993</v>
      </c>
      <c r="E272" s="203">
        <v>1</v>
      </c>
      <c r="F272" s="203">
        <v>1</v>
      </c>
      <c r="G272" s="203">
        <v>1</v>
      </c>
      <c r="H272" s="203">
        <v>1</v>
      </c>
      <c r="I272" s="203">
        <v>1</v>
      </c>
      <c r="J272" s="203">
        <v>1</v>
      </c>
      <c r="K272" s="203">
        <v>1</v>
      </c>
      <c r="L272" s="203">
        <v>1</v>
      </c>
      <c r="M272" s="203">
        <v>1</v>
      </c>
      <c r="N272" s="203">
        <v>1</v>
      </c>
      <c r="P272" s="202">
        <v>1.329999999999993</v>
      </c>
      <c r="Q272" s="203">
        <v>1</v>
      </c>
      <c r="R272" s="203">
        <v>1</v>
      </c>
      <c r="S272" s="203">
        <v>1</v>
      </c>
      <c r="T272" s="203">
        <v>1</v>
      </c>
      <c r="U272" s="203">
        <v>1</v>
      </c>
      <c r="V272" s="203">
        <v>1</v>
      </c>
      <c r="W272" s="203">
        <v>1</v>
      </c>
      <c r="X272" s="203">
        <v>1</v>
      </c>
      <c r="Y272" s="203">
        <v>1</v>
      </c>
      <c r="Z272" s="203">
        <v>1</v>
      </c>
      <c r="AB272" s="202">
        <v>1.329999999999993</v>
      </c>
      <c r="AC272" s="203">
        <v>1</v>
      </c>
      <c r="AD272" s="203">
        <v>1</v>
      </c>
      <c r="AE272" s="203">
        <v>1</v>
      </c>
      <c r="AF272" s="203">
        <v>1</v>
      </c>
      <c r="AG272" s="203">
        <v>1</v>
      </c>
      <c r="AH272" s="203">
        <v>1</v>
      </c>
      <c r="AI272" s="203">
        <v>1</v>
      </c>
      <c r="AJ272" s="203">
        <v>1</v>
      </c>
      <c r="AK272" s="203">
        <v>1</v>
      </c>
      <c r="AL272" s="203">
        <v>1</v>
      </c>
    </row>
    <row r="273" spans="4:38" x14ac:dyDescent="0.25">
      <c r="D273" s="202">
        <v>1.3349999999999929</v>
      </c>
      <c r="E273" s="203">
        <v>1</v>
      </c>
      <c r="F273" s="203">
        <v>1</v>
      </c>
      <c r="G273" s="203">
        <v>1</v>
      </c>
      <c r="H273" s="203">
        <v>1</v>
      </c>
      <c r="I273" s="203">
        <v>1</v>
      </c>
      <c r="J273" s="203">
        <v>1</v>
      </c>
      <c r="K273" s="203">
        <v>1</v>
      </c>
      <c r="L273" s="203">
        <v>1</v>
      </c>
      <c r="M273" s="203">
        <v>1</v>
      </c>
      <c r="N273" s="203">
        <v>1</v>
      </c>
      <c r="P273" s="202">
        <v>1.3349999999999929</v>
      </c>
      <c r="Q273" s="203">
        <v>1</v>
      </c>
      <c r="R273" s="203">
        <v>1</v>
      </c>
      <c r="S273" s="203">
        <v>1</v>
      </c>
      <c r="T273" s="203">
        <v>1</v>
      </c>
      <c r="U273" s="203">
        <v>1</v>
      </c>
      <c r="V273" s="203">
        <v>1</v>
      </c>
      <c r="W273" s="203">
        <v>1</v>
      </c>
      <c r="X273" s="203">
        <v>1</v>
      </c>
      <c r="Y273" s="203">
        <v>1</v>
      </c>
      <c r="Z273" s="203">
        <v>1</v>
      </c>
      <c r="AB273" s="202">
        <v>1.3349999999999929</v>
      </c>
      <c r="AC273" s="203">
        <v>1</v>
      </c>
      <c r="AD273" s="203">
        <v>1</v>
      </c>
      <c r="AE273" s="203">
        <v>1</v>
      </c>
      <c r="AF273" s="203">
        <v>1</v>
      </c>
      <c r="AG273" s="203">
        <v>1</v>
      </c>
      <c r="AH273" s="203">
        <v>1</v>
      </c>
      <c r="AI273" s="203">
        <v>1</v>
      </c>
      <c r="AJ273" s="203">
        <v>1</v>
      </c>
      <c r="AK273" s="203">
        <v>1</v>
      </c>
      <c r="AL273" s="203">
        <v>1</v>
      </c>
    </row>
    <row r="274" spans="4:38" x14ac:dyDescent="0.25">
      <c r="D274" s="202">
        <v>1.3399999999999928</v>
      </c>
      <c r="E274" s="203">
        <v>1</v>
      </c>
      <c r="F274" s="203">
        <v>1</v>
      </c>
      <c r="G274" s="203">
        <v>1</v>
      </c>
      <c r="H274" s="203">
        <v>1</v>
      </c>
      <c r="I274" s="203">
        <v>1</v>
      </c>
      <c r="J274" s="203">
        <v>1</v>
      </c>
      <c r="K274" s="203">
        <v>1</v>
      </c>
      <c r="L274" s="203">
        <v>1</v>
      </c>
      <c r="M274" s="203">
        <v>1</v>
      </c>
      <c r="N274" s="203">
        <v>1</v>
      </c>
      <c r="P274" s="202">
        <v>1.3399999999999928</v>
      </c>
      <c r="Q274" s="203">
        <v>1</v>
      </c>
      <c r="R274" s="203">
        <v>1</v>
      </c>
      <c r="S274" s="203">
        <v>1</v>
      </c>
      <c r="T274" s="203">
        <v>1</v>
      </c>
      <c r="U274" s="203">
        <v>1</v>
      </c>
      <c r="V274" s="203">
        <v>1</v>
      </c>
      <c r="W274" s="203">
        <v>1</v>
      </c>
      <c r="X274" s="203">
        <v>1</v>
      </c>
      <c r="Y274" s="203">
        <v>1</v>
      </c>
      <c r="Z274" s="203">
        <v>1</v>
      </c>
      <c r="AB274" s="202">
        <v>1.3399999999999928</v>
      </c>
      <c r="AC274" s="203">
        <v>1</v>
      </c>
      <c r="AD274" s="203">
        <v>1</v>
      </c>
      <c r="AE274" s="203">
        <v>1</v>
      </c>
      <c r="AF274" s="203">
        <v>1</v>
      </c>
      <c r="AG274" s="203">
        <v>1</v>
      </c>
      <c r="AH274" s="203">
        <v>1</v>
      </c>
      <c r="AI274" s="203">
        <v>1</v>
      </c>
      <c r="AJ274" s="203">
        <v>1</v>
      </c>
      <c r="AK274" s="203">
        <v>1</v>
      </c>
      <c r="AL274" s="203">
        <v>1</v>
      </c>
    </row>
    <row r="275" spans="4:38" x14ac:dyDescent="0.25">
      <c r="D275" s="202">
        <v>1.3449999999999926</v>
      </c>
      <c r="E275" s="203">
        <v>1</v>
      </c>
      <c r="F275" s="203">
        <v>1</v>
      </c>
      <c r="G275" s="203">
        <v>1</v>
      </c>
      <c r="H275" s="203">
        <v>1</v>
      </c>
      <c r="I275" s="203">
        <v>1</v>
      </c>
      <c r="J275" s="203">
        <v>1</v>
      </c>
      <c r="K275" s="203">
        <v>1</v>
      </c>
      <c r="L275" s="203">
        <v>1</v>
      </c>
      <c r="M275" s="203">
        <v>1</v>
      </c>
      <c r="N275" s="203">
        <v>1</v>
      </c>
      <c r="P275" s="202">
        <v>1.3449999999999926</v>
      </c>
      <c r="Q275" s="203">
        <v>1</v>
      </c>
      <c r="R275" s="203">
        <v>1</v>
      </c>
      <c r="S275" s="203">
        <v>1</v>
      </c>
      <c r="T275" s="203">
        <v>1</v>
      </c>
      <c r="U275" s="203">
        <v>1</v>
      </c>
      <c r="V275" s="203">
        <v>1</v>
      </c>
      <c r="W275" s="203">
        <v>1</v>
      </c>
      <c r="X275" s="203">
        <v>1</v>
      </c>
      <c r="Y275" s="203">
        <v>1</v>
      </c>
      <c r="Z275" s="203">
        <v>1</v>
      </c>
      <c r="AB275" s="202">
        <v>1.3449999999999926</v>
      </c>
      <c r="AC275" s="203">
        <v>1</v>
      </c>
      <c r="AD275" s="203">
        <v>1</v>
      </c>
      <c r="AE275" s="203">
        <v>1</v>
      </c>
      <c r="AF275" s="203">
        <v>1</v>
      </c>
      <c r="AG275" s="203">
        <v>1</v>
      </c>
      <c r="AH275" s="203">
        <v>1</v>
      </c>
      <c r="AI275" s="203">
        <v>1</v>
      </c>
      <c r="AJ275" s="203">
        <v>1</v>
      </c>
      <c r="AK275" s="203">
        <v>1</v>
      </c>
      <c r="AL275" s="203">
        <v>1</v>
      </c>
    </row>
    <row r="276" spans="4:38" x14ac:dyDescent="0.25">
      <c r="D276" s="202">
        <v>1.3499999999999925</v>
      </c>
      <c r="E276" s="203">
        <v>1</v>
      </c>
      <c r="F276" s="203">
        <v>1</v>
      </c>
      <c r="G276" s="203">
        <v>1</v>
      </c>
      <c r="H276" s="203">
        <v>1</v>
      </c>
      <c r="I276" s="203">
        <v>1</v>
      </c>
      <c r="J276" s="203">
        <v>1</v>
      </c>
      <c r="K276" s="203">
        <v>1</v>
      </c>
      <c r="L276" s="203">
        <v>1</v>
      </c>
      <c r="M276" s="203">
        <v>1</v>
      </c>
      <c r="N276" s="203">
        <v>1</v>
      </c>
      <c r="P276" s="202">
        <v>1.3499999999999925</v>
      </c>
      <c r="Q276" s="203">
        <v>1</v>
      </c>
      <c r="R276" s="203">
        <v>1</v>
      </c>
      <c r="S276" s="203">
        <v>1</v>
      </c>
      <c r="T276" s="203">
        <v>1</v>
      </c>
      <c r="U276" s="203">
        <v>1</v>
      </c>
      <c r="V276" s="203">
        <v>1</v>
      </c>
      <c r="W276" s="203">
        <v>1</v>
      </c>
      <c r="X276" s="203">
        <v>1</v>
      </c>
      <c r="Y276" s="203">
        <v>1</v>
      </c>
      <c r="Z276" s="203">
        <v>1</v>
      </c>
      <c r="AB276" s="202">
        <v>1.3499999999999925</v>
      </c>
      <c r="AC276" s="203">
        <v>1</v>
      </c>
      <c r="AD276" s="203">
        <v>1</v>
      </c>
      <c r="AE276" s="203">
        <v>1</v>
      </c>
      <c r="AF276" s="203">
        <v>1</v>
      </c>
      <c r="AG276" s="203">
        <v>1</v>
      </c>
      <c r="AH276" s="203">
        <v>1</v>
      </c>
      <c r="AI276" s="203">
        <v>1</v>
      </c>
      <c r="AJ276" s="203">
        <v>1</v>
      </c>
      <c r="AK276" s="203">
        <v>1</v>
      </c>
      <c r="AL276" s="203">
        <v>1</v>
      </c>
    </row>
    <row r="277" spans="4:38" x14ac:dyDescent="0.25">
      <c r="D277" s="202">
        <v>1.3549999999999924</v>
      </c>
      <c r="E277" s="203">
        <v>1</v>
      </c>
      <c r="F277" s="203">
        <v>1</v>
      </c>
      <c r="G277" s="203">
        <v>1</v>
      </c>
      <c r="H277" s="203">
        <v>1</v>
      </c>
      <c r="I277" s="203">
        <v>1</v>
      </c>
      <c r="J277" s="203">
        <v>1</v>
      </c>
      <c r="K277" s="203">
        <v>1</v>
      </c>
      <c r="L277" s="203">
        <v>1</v>
      </c>
      <c r="M277" s="203">
        <v>1</v>
      </c>
      <c r="N277" s="203">
        <v>1</v>
      </c>
      <c r="P277" s="202">
        <v>1.3549999999999924</v>
      </c>
      <c r="Q277" s="203">
        <v>1</v>
      </c>
      <c r="R277" s="203">
        <v>1</v>
      </c>
      <c r="S277" s="203">
        <v>1</v>
      </c>
      <c r="T277" s="203">
        <v>1</v>
      </c>
      <c r="U277" s="203">
        <v>1</v>
      </c>
      <c r="V277" s="203">
        <v>1</v>
      </c>
      <c r="W277" s="203">
        <v>1</v>
      </c>
      <c r="X277" s="203">
        <v>1</v>
      </c>
      <c r="Y277" s="203">
        <v>1</v>
      </c>
      <c r="Z277" s="203">
        <v>1</v>
      </c>
      <c r="AB277" s="202">
        <v>1.3549999999999924</v>
      </c>
      <c r="AC277" s="203">
        <v>1</v>
      </c>
      <c r="AD277" s="203">
        <v>1</v>
      </c>
      <c r="AE277" s="203">
        <v>1</v>
      </c>
      <c r="AF277" s="203">
        <v>1</v>
      </c>
      <c r="AG277" s="203">
        <v>1</v>
      </c>
      <c r="AH277" s="203">
        <v>1</v>
      </c>
      <c r="AI277" s="203">
        <v>1</v>
      </c>
      <c r="AJ277" s="203">
        <v>1</v>
      </c>
      <c r="AK277" s="203">
        <v>1</v>
      </c>
      <c r="AL277" s="203">
        <v>1</v>
      </c>
    </row>
    <row r="278" spans="4:38" x14ac:dyDescent="0.25">
      <c r="D278" s="202">
        <v>1.3599999999999923</v>
      </c>
      <c r="E278" s="203">
        <v>1</v>
      </c>
      <c r="F278" s="203">
        <v>1</v>
      </c>
      <c r="G278" s="203">
        <v>1</v>
      </c>
      <c r="H278" s="203">
        <v>1</v>
      </c>
      <c r="I278" s="203">
        <v>1</v>
      </c>
      <c r="J278" s="203">
        <v>1</v>
      </c>
      <c r="K278" s="203">
        <v>1</v>
      </c>
      <c r="L278" s="203">
        <v>1</v>
      </c>
      <c r="M278" s="203">
        <v>1</v>
      </c>
      <c r="N278" s="203">
        <v>1</v>
      </c>
      <c r="P278" s="202">
        <v>1.3599999999999923</v>
      </c>
      <c r="Q278" s="203">
        <v>1</v>
      </c>
      <c r="R278" s="203">
        <v>1</v>
      </c>
      <c r="S278" s="203">
        <v>1</v>
      </c>
      <c r="T278" s="203">
        <v>1</v>
      </c>
      <c r="U278" s="203">
        <v>1</v>
      </c>
      <c r="V278" s="203">
        <v>1</v>
      </c>
      <c r="W278" s="203">
        <v>1</v>
      </c>
      <c r="X278" s="203">
        <v>1</v>
      </c>
      <c r="Y278" s="203">
        <v>1</v>
      </c>
      <c r="Z278" s="203">
        <v>1</v>
      </c>
      <c r="AB278" s="202">
        <v>1.3599999999999923</v>
      </c>
      <c r="AC278" s="203">
        <v>1</v>
      </c>
      <c r="AD278" s="203">
        <v>1</v>
      </c>
      <c r="AE278" s="203">
        <v>1</v>
      </c>
      <c r="AF278" s="203">
        <v>1</v>
      </c>
      <c r="AG278" s="203">
        <v>1</v>
      </c>
      <c r="AH278" s="203">
        <v>1</v>
      </c>
      <c r="AI278" s="203">
        <v>1</v>
      </c>
      <c r="AJ278" s="203">
        <v>1</v>
      </c>
      <c r="AK278" s="203">
        <v>1</v>
      </c>
      <c r="AL278" s="203">
        <v>1</v>
      </c>
    </row>
    <row r="279" spans="4:38" x14ac:dyDescent="0.25">
      <c r="D279" s="202">
        <v>1.3649999999999922</v>
      </c>
      <c r="E279" s="203">
        <v>1</v>
      </c>
      <c r="F279" s="203">
        <v>1</v>
      </c>
      <c r="G279" s="203">
        <v>1</v>
      </c>
      <c r="H279" s="203">
        <v>1</v>
      </c>
      <c r="I279" s="203">
        <v>1</v>
      </c>
      <c r="J279" s="203">
        <v>1</v>
      </c>
      <c r="K279" s="203">
        <v>1</v>
      </c>
      <c r="L279" s="203">
        <v>1</v>
      </c>
      <c r="M279" s="203">
        <v>1</v>
      </c>
      <c r="N279" s="203">
        <v>1</v>
      </c>
      <c r="P279" s="202">
        <v>1.3649999999999922</v>
      </c>
      <c r="Q279" s="203">
        <v>1</v>
      </c>
      <c r="R279" s="203">
        <v>1</v>
      </c>
      <c r="S279" s="203">
        <v>1</v>
      </c>
      <c r="T279" s="203">
        <v>1</v>
      </c>
      <c r="U279" s="203">
        <v>1</v>
      </c>
      <c r="V279" s="203">
        <v>1</v>
      </c>
      <c r="W279" s="203">
        <v>1</v>
      </c>
      <c r="X279" s="203">
        <v>1</v>
      </c>
      <c r="Y279" s="203">
        <v>1</v>
      </c>
      <c r="Z279" s="203">
        <v>1</v>
      </c>
      <c r="AB279" s="202">
        <v>1.3649999999999922</v>
      </c>
      <c r="AC279" s="203">
        <v>1</v>
      </c>
      <c r="AD279" s="203">
        <v>1</v>
      </c>
      <c r="AE279" s="203">
        <v>1</v>
      </c>
      <c r="AF279" s="203">
        <v>1</v>
      </c>
      <c r="AG279" s="203">
        <v>1</v>
      </c>
      <c r="AH279" s="203">
        <v>1</v>
      </c>
      <c r="AI279" s="203">
        <v>1</v>
      </c>
      <c r="AJ279" s="203">
        <v>1</v>
      </c>
      <c r="AK279" s="203">
        <v>1</v>
      </c>
      <c r="AL279" s="203">
        <v>1</v>
      </c>
    </row>
    <row r="280" spans="4:38" x14ac:dyDescent="0.25">
      <c r="D280" s="202">
        <v>1.3699999999999921</v>
      </c>
      <c r="E280" s="203">
        <v>1</v>
      </c>
      <c r="F280" s="203">
        <v>1</v>
      </c>
      <c r="G280" s="203">
        <v>1</v>
      </c>
      <c r="H280" s="203">
        <v>1</v>
      </c>
      <c r="I280" s="203">
        <v>1</v>
      </c>
      <c r="J280" s="203">
        <v>1</v>
      </c>
      <c r="K280" s="203">
        <v>1</v>
      </c>
      <c r="L280" s="203">
        <v>1</v>
      </c>
      <c r="M280" s="203">
        <v>1</v>
      </c>
      <c r="N280" s="203">
        <v>1</v>
      </c>
      <c r="P280" s="202">
        <v>1.3699999999999921</v>
      </c>
      <c r="Q280" s="203">
        <v>1</v>
      </c>
      <c r="R280" s="203">
        <v>1</v>
      </c>
      <c r="S280" s="203">
        <v>1</v>
      </c>
      <c r="T280" s="203">
        <v>1</v>
      </c>
      <c r="U280" s="203">
        <v>1</v>
      </c>
      <c r="V280" s="203">
        <v>1</v>
      </c>
      <c r="W280" s="203">
        <v>1</v>
      </c>
      <c r="X280" s="203">
        <v>1</v>
      </c>
      <c r="Y280" s="203">
        <v>1</v>
      </c>
      <c r="Z280" s="203">
        <v>1</v>
      </c>
      <c r="AB280" s="202">
        <v>1.3699999999999921</v>
      </c>
      <c r="AC280" s="203">
        <v>1</v>
      </c>
      <c r="AD280" s="203">
        <v>1</v>
      </c>
      <c r="AE280" s="203">
        <v>1</v>
      </c>
      <c r="AF280" s="203">
        <v>1</v>
      </c>
      <c r="AG280" s="203">
        <v>1</v>
      </c>
      <c r="AH280" s="203">
        <v>1</v>
      </c>
      <c r="AI280" s="203">
        <v>1</v>
      </c>
      <c r="AJ280" s="203">
        <v>1</v>
      </c>
      <c r="AK280" s="203">
        <v>1</v>
      </c>
      <c r="AL280" s="203">
        <v>1</v>
      </c>
    </row>
    <row r="281" spans="4:38" x14ac:dyDescent="0.25">
      <c r="D281" s="202">
        <v>1.374999999999992</v>
      </c>
      <c r="E281" s="203">
        <v>1</v>
      </c>
      <c r="F281" s="203">
        <v>1</v>
      </c>
      <c r="G281" s="203">
        <v>1</v>
      </c>
      <c r="H281" s="203">
        <v>1</v>
      </c>
      <c r="I281" s="203">
        <v>1</v>
      </c>
      <c r="J281" s="203">
        <v>1</v>
      </c>
      <c r="K281" s="203">
        <v>1</v>
      </c>
      <c r="L281" s="203">
        <v>1</v>
      </c>
      <c r="M281" s="203">
        <v>1</v>
      </c>
      <c r="N281" s="203">
        <v>1</v>
      </c>
      <c r="P281" s="202">
        <v>1.374999999999992</v>
      </c>
      <c r="Q281" s="203">
        <v>1</v>
      </c>
      <c r="R281" s="203">
        <v>1</v>
      </c>
      <c r="S281" s="203">
        <v>1</v>
      </c>
      <c r="T281" s="203">
        <v>1</v>
      </c>
      <c r="U281" s="203">
        <v>1</v>
      </c>
      <c r="V281" s="203">
        <v>1</v>
      </c>
      <c r="W281" s="203">
        <v>1</v>
      </c>
      <c r="X281" s="203">
        <v>1</v>
      </c>
      <c r="Y281" s="203">
        <v>1</v>
      </c>
      <c r="Z281" s="203">
        <v>1</v>
      </c>
      <c r="AB281" s="202">
        <v>1.374999999999992</v>
      </c>
      <c r="AC281" s="203">
        <v>1</v>
      </c>
      <c r="AD281" s="203">
        <v>1</v>
      </c>
      <c r="AE281" s="203">
        <v>1</v>
      </c>
      <c r="AF281" s="203">
        <v>1</v>
      </c>
      <c r="AG281" s="203">
        <v>1</v>
      </c>
      <c r="AH281" s="203">
        <v>1</v>
      </c>
      <c r="AI281" s="203">
        <v>1</v>
      </c>
      <c r="AJ281" s="203">
        <v>1</v>
      </c>
      <c r="AK281" s="203">
        <v>1</v>
      </c>
      <c r="AL281" s="203">
        <v>1</v>
      </c>
    </row>
    <row r="282" spans="4:38" x14ac:dyDescent="0.25">
      <c r="D282" s="202">
        <v>1.3799999999999919</v>
      </c>
      <c r="E282" s="203">
        <v>1</v>
      </c>
      <c r="F282" s="203">
        <v>1</v>
      </c>
      <c r="G282" s="203">
        <v>1</v>
      </c>
      <c r="H282" s="203">
        <v>1</v>
      </c>
      <c r="I282" s="203">
        <v>1</v>
      </c>
      <c r="J282" s="203">
        <v>1</v>
      </c>
      <c r="K282" s="203">
        <v>1</v>
      </c>
      <c r="L282" s="203">
        <v>1</v>
      </c>
      <c r="M282" s="203">
        <v>1</v>
      </c>
      <c r="N282" s="203">
        <v>1</v>
      </c>
      <c r="P282" s="202">
        <v>1.3799999999999919</v>
      </c>
      <c r="Q282" s="203">
        <v>1</v>
      </c>
      <c r="R282" s="203">
        <v>1</v>
      </c>
      <c r="S282" s="203">
        <v>1</v>
      </c>
      <c r="T282" s="203">
        <v>1</v>
      </c>
      <c r="U282" s="203">
        <v>1</v>
      </c>
      <c r="V282" s="203">
        <v>1</v>
      </c>
      <c r="W282" s="203">
        <v>1</v>
      </c>
      <c r="X282" s="203">
        <v>1</v>
      </c>
      <c r="Y282" s="203">
        <v>1</v>
      </c>
      <c r="Z282" s="203">
        <v>1</v>
      </c>
      <c r="AB282" s="202">
        <v>1.3799999999999919</v>
      </c>
      <c r="AC282" s="203">
        <v>1</v>
      </c>
      <c r="AD282" s="203">
        <v>1</v>
      </c>
      <c r="AE282" s="203">
        <v>1</v>
      </c>
      <c r="AF282" s="203">
        <v>1</v>
      </c>
      <c r="AG282" s="203">
        <v>1</v>
      </c>
      <c r="AH282" s="203">
        <v>1</v>
      </c>
      <c r="AI282" s="203">
        <v>1</v>
      </c>
      <c r="AJ282" s="203">
        <v>1</v>
      </c>
      <c r="AK282" s="203">
        <v>1</v>
      </c>
      <c r="AL282" s="203">
        <v>1</v>
      </c>
    </row>
    <row r="283" spans="4:38" x14ac:dyDescent="0.25">
      <c r="D283" s="202">
        <v>1.3849999999999918</v>
      </c>
      <c r="E283" s="203">
        <v>1</v>
      </c>
      <c r="F283" s="203">
        <v>1</v>
      </c>
      <c r="G283" s="203">
        <v>1</v>
      </c>
      <c r="H283" s="203">
        <v>1</v>
      </c>
      <c r="I283" s="203">
        <v>1</v>
      </c>
      <c r="J283" s="203">
        <v>1</v>
      </c>
      <c r="K283" s="203">
        <v>1</v>
      </c>
      <c r="L283" s="203">
        <v>1</v>
      </c>
      <c r="M283" s="203">
        <v>1</v>
      </c>
      <c r="N283" s="203">
        <v>1</v>
      </c>
      <c r="P283" s="202">
        <v>1.3849999999999918</v>
      </c>
      <c r="Q283" s="203">
        <v>1</v>
      </c>
      <c r="R283" s="203">
        <v>1</v>
      </c>
      <c r="S283" s="203">
        <v>1</v>
      </c>
      <c r="T283" s="203">
        <v>1</v>
      </c>
      <c r="U283" s="203">
        <v>1</v>
      </c>
      <c r="V283" s="203">
        <v>1</v>
      </c>
      <c r="W283" s="203">
        <v>1</v>
      </c>
      <c r="X283" s="203">
        <v>1</v>
      </c>
      <c r="Y283" s="203">
        <v>1</v>
      </c>
      <c r="Z283" s="203">
        <v>1</v>
      </c>
      <c r="AB283" s="202">
        <v>1.3849999999999918</v>
      </c>
      <c r="AC283" s="203">
        <v>1</v>
      </c>
      <c r="AD283" s="203">
        <v>1</v>
      </c>
      <c r="AE283" s="203">
        <v>1</v>
      </c>
      <c r="AF283" s="203">
        <v>1</v>
      </c>
      <c r="AG283" s="203">
        <v>1</v>
      </c>
      <c r="AH283" s="203">
        <v>1</v>
      </c>
      <c r="AI283" s="203">
        <v>1</v>
      </c>
      <c r="AJ283" s="203">
        <v>1</v>
      </c>
      <c r="AK283" s="203">
        <v>1</v>
      </c>
      <c r="AL283" s="203">
        <v>1</v>
      </c>
    </row>
    <row r="284" spans="4:38" x14ac:dyDescent="0.25">
      <c r="D284" s="202">
        <v>1.3899999999999917</v>
      </c>
      <c r="E284" s="203">
        <v>1</v>
      </c>
      <c r="F284" s="203">
        <v>1</v>
      </c>
      <c r="G284" s="203">
        <v>1</v>
      </c>
      <c r="H284" s="203">
        <v>1</v>
      </c>
      <c r="I284" s="203">
        <v>1</v>
      </c>
      <c r="J284" s="203">
        <v>1</v>
      </c>
      <c r="K284" s="203">
        <v>1</v>
      </c>
      <c r="L284" s="203">
        <v>1</v>
      </c>
      <c r="M284" s="203">
        <v>1</v>
      </c>
      <c r="N284" s="203">
        <v>1</v>
      </c>
      <c r="P284" s="202">
        <v>1.3899999999999917</v>
      </c>
      <c r="Q284" s="203">
        <v>1</v>
      </c>
      <c r="R284" s="203">
        <v>1</v>
      </c>
      <c r="S284" s="203">
        <v>1</v>
      </c>
      <c r="T284" s="203">
        <v>1</v>
      </c>
      <c r="U284" s="203">
        <v>1</v>
      </c>
      <c r="V284" s="203">
        <v>1</v>
      </c>
      <c r="W284" s="203">
        <v>1</v>
      </c>
      <c r="X284" s="203">
        <v>1</v>
      </c>
      <c r="Y284" s="203">
        <v>1</v>
      </c>
      <c r="Z284" s="203">
        <v>1</v>
      </c>
      <c r="AB284" s="202">
        <v>1.3899999999999917</v>
      </c>
      <c r="AC284" s="203">
        <v>1</v>
      </c>
      <c r="AD284" s="203">
        <v>1</v>
      </c>
      <c r="AE284" s="203">
        <v>1</v>
      </c>
      <c r="AF284" s="203">
        <v>1</v>
      </c>
      <c r="AG284" s="203">
        <v>1</v>
      </c>
      <c r="AH284" s="203">
        <v>1</v>
      </c>
      <c r="AI284" s="203">
        <v>1</v>
      </c>
      <c r="AJ284" s="203">
        <v>1</v>
      </c>
      <c r="AK284" s="203">
        <v>1</v>
      </c>
      <c r="AL284" s="203">
        <v>1</v>
      </c>
    </row>
    <row r="285" spans="4:38" x14ac:dyDescent="0.25">
      <c r="D285" s="202">
        <v>1.3949999999999916</v>
      </c>
      <c r="E285" s="203">
        <v>1</v>
      </c>
      <c r="F285" s="203">
        <v>1</v>
      </c>
      <c r="G285" s="203">
        <v>1</v>
      </c>
      <c r="H285" s="203">
        <v>1</v>
      </c>
      <c r="I285" s="203">
        <v>1</v>
      </c>
      <c r="J285" s="203">
        <v>1</v>
      </c>
      <c r="K285" s="203">
        <v>1</v>
      </c>
      <c r="L285" s="203">
        <v>1</v>
      </c>
      <c r="M285" s="203">
        <v>1</v>
      </c>
      <c r="N285" s="203">
        <v>1</v>
      </c>
      <c r="P285" s="202">
        <v>1.3949999999999916</v>
      </c>
      <c r="Q285" s="203">
        <v>1</v>
      </c>
      <c r="R285" s="203">
        <v>1</v>
      </c>
      <c r="S285" s="203">
        <v>1</v>
      </c>
      <c r="T285" s="203">
        <v>1</v>
      </c>
      <c r="U285" s="203">
        <v>1</v>
      </c>
      <c r="V285" s="203">
        <v>1</v>
      </c>
      <c r="W285" s="203">
        <v>1</v>
      </c>
      <c r="X285" s="203">
        <v>1</v>
      </c>
      <c r="Y285" s="203">
        <v>1</v>
      </c>
      <c r="Z285" s="203">
        <v>1</v>
      </c>
      <c r="AB285" s="202">
        <v>1.3949999999999916</v>
      </c>
      <c r="AC285" s="203">
        <v>1</v>
      </c>
      <c r="AD285" s="203">
        <v>1</v>
      </c>
      <c r="AE285" s="203">
        <v>1</v>
      </c>
      <c r="AF285" s="203">
        <v>1</v>
      </c>
      <c r="AG285" s="203">
        <v>1</v>
      </c>
      <c r="AH285" s="203">
        <v>1</v>
      </c>
      <c r="AI285" s="203">
        <v>1</v>
      </c>
      <c r="AJ285" s="203">
        <v>1</v>
      </c>
      <c r="AK285" s="203">
        <v>1</v>
      </c>
      <c r="AL285" s="203">
        <v>1</v>
      </c>
    </row>
    <row r="286" spans="4:38" x14ac:dyDescent="0.25">
      <c r="D286" s="202">
        <v>1.3999999999999915</v>
      </c>
      <c r="E286" s="203">
        <v>1</v>
      </c>
      <c r="F286" s="203">
        <v>1</v>
      </c>
      <c r="G286" s="203">
        <v>1</v>
      </c>
      <c r="H286" s="203">
        <v>1</v>
      </c>
      <c r="I286" s="203">
        <v>1</v>
      </c>
      <c r="J286" s="203">
        <v>1</v>
      </c>
      <c r="K286" s="203">
        <v>1</v>
      </c>
      <c r="L286" s="203">
        <v>1</v>
      </c>
      <c r="M286" s="203">
        <v>1</v>
      </c>
      <c r="N286" s="203">
        <v>1</v>
      </c>
      <c r="P286" s="202">
        <v>1.3999999999999915</v>
      </c>
      <c r="Q286" s="203">
        <v>1</v>
      </c>
      <c r="R286" s="203">
        <v>1</v>
      </c>
      <c r="S286" s="203">
        <v>1</v>
      </c>
      <c r="T286" s="203">
        <v>1</v>
      </c>
      <c r="U286" s="203">
        <v>1</v>
      </c>
      <c r="V286" s="203">
        <v>1</v>
      </c>
      <c r="W286" s="203">
        <v>1</v>
      </c>
      <c r="X286" s="203">
        <v>1</v>
      </c>
      <c r="Y286" s="203">
        <v>1</v>
      </c>
      <c r="Z286" s="203">
        <v>1</v>
      </c>
      <c r="AB286" s="202">
        <v>1.3999999999999915</v>
      </c>
      <c r="AC286" s="203">
        <v>1</v>
      </c>
      <c r="AD286" s="203">
        <v>1</v>
      </c>
      <c r="AE286" s="203">
        <v>1</v>
      </c>
      <c r="AF286" s="203">
        <v>1</v>
      </c>
      <c r="AG286" s="203">
        <v>1</v>
      </c>
      <c r="AH286" s="203">
        <v>1</v>
      </c>
      <c r="AI286" s="203">
        <v>1</v>
      </c>
      <c r="AJ286" s="203">
        <v>1</v>
      </c>
      <c r="AK286" s="203">
        <v>1</v>
      </c>
      <c r="AL286" s="203">
        <v>1</v>
      </c>
    </row>
    <row r="287" spans="4:38" x14ac:dyDescent="0.25">
      <c r="D287" s="202">
        <v>1.4049999999999914</v>
      </c>
      <c r="E287" s="203">
        <v>1</v>
      </c>
      <c r="F287" s="203">
        <v>1</v>
      </c>
      <c r="G287" s="203">
        <v>1</v>
      </c>
      <c r="H287" s="203">
        <v>1</v>
      </c>
      <c r="I287" s="203">
        <v>1</v>
      </c>
      <c r="J287" s="203">
        <v>1</v>
      </c>
      <c r="K287" s="203">
        <v>1</v>
      </c>
      <c r="L287" s="203">
        <v>1</v>
      </c>
      <c r="M287" s="203">
        <v>1</v>
      </c>
      <c r="N287" s="203">
        <v>1</v>
      </c>
      <c r="P287" s="202">
        <v>1.4049999999999914</v>
      </c>
      <c r="Q287" s="203">
        <v>1</v>
      </c>
      <c r="R287" s="203">
        <v>1</v>
      </c>
      <c r="S287" s="203">
        <v>1</v>
      </c>
      <c r="T287" s="203">
        <v>1</v>
      </c>
      <c r="U287" s="203">
        <v>1</v>
      </c>
      <c r="V287" s="203">
        <v>1</v>
      </c>
      <c r="W287" s="203">
        <v>1</v>
      </c>
      <c r="X287" s="203">
        <v>1</v>
      </c>
      <c r="Y287" s="203">
        <v>1</v>
      </c>
      <c r="Z287" s="203">
        <v>1</v>
      </c>
      <c r="AB287" s="202">
        <v>1.4049999999999914</v>
      </c>
      <c r="AC287" s="203">
        <v>1</v>
      </c>
      <c r="AD287" s="203">
        <v>1</v>
      </c>
      <c r="AE287" s="203">
        <v>1</v>
      </c>
      <c r="AF287" s="203">
        <v>1</v>
      </c>
      <c r="AG287" s="203">
        <v>1</v>
      </c>
      <c r="AH287" s="203">
        <v>1</v>
      </c>
      <c r="AI287" s="203">
        <v>1</v>
      </c>
      <c r="AJ287" s="203">
        <v>1</v>
      </c>
      <c r="AK287" s="203">
        <v>1</v>
      </c>
      <c r="AL287" s="203">
        <v>1</v>
      </c>
    </row>
    <row r="288" spans="4:38" x14ac:dyDescent="0.25">
      <c r="D288" s="202">
        <v>1.4099999999999913</v>
      </c>
      <c r="E288" s="203">
        <v>1</v>
      </c>
      <c r="F288" s="203">
        <v>1</v>
      </c>
      <c r="G288" s="203">
        <v>1</v>
      </c>
      <c r="H288" s="203">
        <v>1</v>
      </c>
      <c r="I288" s="203">
        <v>1</v>
      </c>
      <c r="J288" s="203">
        <v>1</v>
      </c>
      <c r="K288" s="203">
        <v>1</v>
      </c>
      <c r="L288" s="203">
        <v>1</v>
      </c>
      <c r="M288" s="203">
        <v>1</v>
      </c>
      <c r="N288" s="203">
        <v>1</v>
      </c>
      <c r="P288" s="202">
        <v>1.4099999999999913</v>
      </c>
      <c r="Q288" s="203">
        <v>1</v>
      </c>
      <c r="R288" s="203">
        <v>1</v>
      </c>
      <c r="S288" s="203">
        <v>1</v>
      </c>
      <c r="T288" s="203">
        <v>1</v>
      </c>
      <c r="U288" s="203">
        <v>1</v>
      </c>
      <c r="V288" s="203">
        <v>1</v>
      </c>
      <c r="W288" s="203">
        <v>1</v>
      </c>
      <c r="X288" s="203">
        <v>1</v>
      </c>
      <c r="Y288" s="203">
        <v>1</v>
      </c>
      <c r="Z288" s="203">
        <v>1</v>
      </c>
      <c r="AB288" s="202">
        <v>1.4099999999999913</v>
      </c>
      <c r="AC288" s="203">
        <v>1</v>
      </c>
      <c r="AD288" s="203">
        <v>1</v>
      </c>
      <c r="AE288" s="203">
        <v>1</v>
      </c>
      <c r="AF288" s="203">
        <v>1</v>
      </c>
      <c r="AG288" s="203">
        <v>1</v>
      </c>
      <c r="AH288" s="203">
        <v>1</v>
      </c>
      <c r="AI288" s="203">
        <v>1</v>
      </c>
      <c r="AJ288" s="203">
        <v>1</v>
      </c>
      <c r="AK288" s="203">
        <v>1</v>
      </c>
      <c r="AL288" s="203">
        <v>1</v>
      </c>
    </row>
    <row r="289" spans="4:38" x14ac:dyDescent="0.25">
      <c r="D289" s="202">
        <v>1.4149999999999912</v>
      </c>
      <c r="E289" s="203">
        <v>1</v>
      </c>
      <c r="F289" s="203">
        <v>1</v>
      </c>
      <c r="G289" s="203">
        <v>1</v>
      </c>
      <c r="H289" s="203">
        <v>1</v>
      </c>
      <c r="I289" s="203">
        <v>1</v>
      </c>
      <c r="J289" s="203">
        <v>1</v>
      </c>
      <c r="K289" s="203">
        <v>1</v>
      </c>
      <c r="L289" s="203">
        <v>1</v>
      </c>
      <c r="M289" s="203">
        <v>1</v>
      </c>
      <c r="N289" s="203">
        <v>1</v>
      </c>
      <c r="P289" s="202">
        <v>1.4149999999999912</v>
      </c>
      <c r="Q289" s="203">
        <v>1</v>
      </c>
      <c r="R289" s="203">
        <v>1</v>
      </c>
      <c r="S289" s="203">
        <v>1</v>
      </c>
      <c r="T289" s="203">
        <v>1</v>
      </c>
      <c r="U289" s="203">
        <v>1</v>
      </c>
      <c r="V289" s="203">
        <v>1</v>
      </c>
      <c r="W289" s="203">
        <v>1</v>
      </c>
      <c r="X289" s="203">
        <v>1</v>
      </c>
      <c r="Y289" s="203">
        <v>1</v>
      </c>
      <c r="Z289" s="203">
        <v>1</v>
      </c>
      <c r="AB289" s="202">
        <v>1.4149999999999912</v>
      </c>
      <c r="AC289" s="203">
        <v>1</v>
      </c>
      <c r="AD289" s="203">
        <v>1</v>
      </c>
      <c r="AE289" s="203">
        <v>1</v>
      </c>
      <c r="AF289" s="203">
        <v>1</v>
      </c>
      <c r="AG289" s="203">
        <v>1</v>
      </c>
      <c r="AH289" s="203">
        <v>1</v>
      </c>
      <c r="AI289" s="203">
        <v>1</v>
      </c>
      <c r="AJ289" s="203">
        <v>1</v>
      </c>
      <c r="AK289" s="203">
        <v>1</v>
      </c>
      <c r="AL289" s="203">
        <v>1</v>
      </c>
    </row>
    <row r="290" spans="4:38" x14ac:dyDescent="0.25">
      <c r="D290" s="202">
        <v>1.419999999999991</v>
      </c>
      <c r="E290" s="203">
        <v>1</v>
      </c>
      <c r="F290" s="203">
        <v>1</v>
      </c>
      <c r="G290" s="203">
        <v>1</v>
      </c>
      <c r="H290" s="203">
        <v>1</v>
      </c>
      <c r="I290" s="203">
        <v>1</v>
      </c>
      <c r="J290" s="203">
        <v>1</v>
      </c>
      <c r="K290" s="203">
        <v>1</v>
      </c>
      <c r="L290" s="203">
        <v>1</v>
      </c>
      <c r="M290" s="203">
        <v>1</v>
      </c>
      <c r="N290" s="203">
        <v>1</v>
      </c>
      <c r="P290" s="202">
        <v>1.419999999999991</v>
      </c>
      <c r="Q290" s="203">
        <v>1</v>
      </c>
      <c r="R290" s="203">
        <v>1</v>
      </c>
      <c r="S290" s="203">
        <v>1</v>
      </c>
      <c r="T290" s="203">
        <v>1</v>
      </c>
      <c r="U290" s="203">
        <v>1</v>
      </c>
      <c r="V290" s="203">
        <v>1</v>
      </c>
      <c r="W290" s="203">
        <v>1</v>
      </c>
      <c r="X290" s="203">
        <v>1</v>
      </c>
      <c r="Y290" s="203">
        <v>1</v>
      </c>
      <c r="Z290" s="203">
        <v>1</v>
      </c>
      <c r="AB290" s="202">
        <v>1.419999999999991</v>
      </c>
      <c r="AC290" s="203">
        <v>1</v>
      </c>
      <c r="AD290" s="203">
        <v>1</v>
      </c>
      <c r="AE290" s="203">
        <v>1</v>
      </c>
      <c r="AF290" s="203">
        <v>1</v>
      </c>
      <c r="AG290" s="203">
        <v>1</v>
      </c>
      <c r="AH290" s="203">
        <v>1</v>
      </c>
      <c r="AI290" s="203">
        <v>1</v>
      </c>
      <c r="AJ290" s="203">
        <v>1</v>
      </c>
      <c r="AK290" s="203">
        <v>1</v>
      </c>
      <c r="AL290" s="203">
        <v>1</v>
      </c>
    </row>
    <row r="291" spans="4:38" x14ac:dyDescent="0.25">
      <c r="D291" s="202">
        <v>1.4249999999999909</v>
      </c>
      <c r="E291" s="203">
        <v>1</v>
      </c>
      <c r="F291" s="203">
        <v>1</v>
      </c>
      <c r="G291" s="203">
        <v>1</v>
      </c>
      <c r="H291" s="203">
        <v>1</v>
      </c>
      <c r="I291" s="203">
        <v>1</v>
      </c>
      <c r="J291" s="203">
        <v>1</v>
      </c>
      <c r="K291" s="203">
        <v>1</v>
      </c>
      <c r="L291" s="203">
        <v>1</v>
      </c>
      <c r="M291" s="203">
        <v>1</v>
      </c>
      <c r="N291" s="203">
        <v>1</v>
      </c>
      <c r="P291" s="202">
        <v>1.4249999999999909</v>
      </c>
      <c r="Q291" s="203">
        <v>1</v>
      </c>
      <c r="R291" s="203">
        <v>1</v>
      </c>
      <c r="S291" s="203">
        <v>1</v>
      </c>
      <c r="T291" s="203">
        <v>1</v>
      </c>
      <c r="U291" s="203">
        <v>1</v>
      </c>
      <c r="V291" s="203">
        <v>1</v>
      </c>
      <c r="W291" s="203">
        <v>1</v>
      </c>
      <c r="X291" s="203">
        <v>1</v>
      </c>
      <c r="Y291" s="203">
        <v>1</v>
      </c>
      <c r="Z291" s="203">
        <v>1</v>
      </c>
      <c r="AB291" s="202">
        <v>1.4249999999999909</v>
      </c>
      <c r="AC291" s="203">
        <v>1</v>
      </c>
      <c r="AD291" s="203">
        <v>1</v>
      </c>
      <c r="AE291" s="203">
        <v>1</v>
      </c>
      <c r="AF291" s="203">
        <v>1</v>
      </c>
      <c r="AG291" s="203">
        <v>1</v>
      </c>
      <c r="AH291" s="203">
        <v>1</v>
      </c>
      <c r="AI291" s="203">
        <v>1</v>
      </c>
      <c r="AJ291" s="203">
        <v>1</v>
      </c>
      <c r="AK291" s="203">
        <v>1</v>
      </c>
      <c r="AL291" s="203">
        <v>1</v>
      </c>
    </row>
    <row r="292" spans="4:38" x14ac:dyDescent="0.25">
      <c r="D292" s="202">
        <v>1.4299999999999908</v>
      </c>
      <c r="E292" s="203">
        <v>1</v>
      </c>
      <c r="F292" s="203">
        <v>1</v>
      </c>
      <c r="G292" s="203">
        <v>1</v>
      </c>
      <c r="H292" s="203">
        <v>1</v>
      </c>
      <c r="I292" s="203">
        <v>1</v>
      </c>
      <c r="J292" s="203">
        <v>1</v>
      </c>
      <c r="K292" s="203">
        <v>1</v>
      </c>
      <c r="L292" s="203">
        <v>1</v>
      </c>
      <c r="M292" s="203">
        <v>1</v>
      </c>
      <c r="N292" s="203">
        <v>1</v>
      </c>
      <c r="P292" s="202">
        <v>1.4299999999999908</v>
      </c>
      <c r="Q292" s="203">
        <v>1</v>
      </c>
      <c r="R292" s="203">
        <v>1</v>
      </c>
      <c r="S292" s="203">
        <v>1</v>
      </c>
      <c r="T292" s="203">
        <v>1</v>
      </c>
      <c r="U292" s="203">
        <v>1</v>
      </c>
      <c r="V292" s="203">
        <v>1</v>
      </c>
      <c r="W292" s="203">
        <v>1</v>
      </c>
      <c r="X292" s="203">
        <v>1</v>
      </c>
      <c r="Y292" s="203">
        <v>1</v>
      </c>
      <c r="Z292" s="203">
        <v>1</v>
      </c>
      <c r="AB292" s="202">
        <v>1.4299999999999908</v>
      </c>
      <c r="AC292" s="203">
        <v>1</v>
      </c>
      <c r="AD292" s="203">
        <v>1</v>
      </c>
      <c r="AE292" s="203">
        <v>1</v>
      </c>
      <c r="AF292" s="203">
        <v>1</v>
      </c>
      <c r="AG292" s="203">
        <v>1</v>
      </c>
      <c r="AH292" s="203">
        <v>1</v>
      </c>
      <c r="AI292" s="203">
        <v>1</v>
      </c>
      <c r="AJ292" s="203">
        <v>1</v>
      </c>
      <c r="AK292" s="203">
        <v>1</v>
      </c>
      <c r="AL292" s="203">
        <v>1</v>
      </c>
    </row>
    <row r="293" spans="4:38" x14ac:dyDescent="0.25">
      <c r="D293" s="202">
        <v>1.4349999999999907</v>
      </c>
      <c r="E293" s="203">
        <v>1</v>
      </c>
      <c r="F293" s="203">
        <v>1</v>
      </c>
      <c r="G293" s="203">
        <v>1</v>
      </c>
      <c r="H293" s="203">
        <v>1</v>
      </c>
      <c r="I293" s="203">
        <v>1</v>
      </c>
      <c r="J293" s="203">
        <v>1</v>
      </c>
      <c r="K293" s="203">
        <v>1</v>
      </c>
      <c r="L293" s="203">
        <v>1</v>
      </c>
      <c r="M293" s="203">
        <v>1</v>
      </c>
      <c r="N293" s="203">
        <v>1</v>
      </c>
      <c r="P293" s="202">
        <v>1.4349999999999907</v>
      </c>
      <c r="Q293" s="203">
        <v>1</v>
      </c>
      <c r="R293" s="203">
        <v>1</v>
      </c>
      <c r="S293" s="203">
        <v>1</v>
      </c>
      <c r="T293" s="203">
        <v>1</v>
      </c>
      <c r="U293" s="203">
        <v>1</v>
      </c>
      <c r="V293" s="203">
        <v>1</v>
      </c>
      <c r="W293" s="203">
        <v>1</v>
      </c>
      <c r="X293" s="203">
        <v>1</v>
      </c>
      <c r="Y293" s="203">
        <v>1</v>
      </c>
      <c r="Z293" s="203">
        <v>1</v>
      </c>
      <c r="AB293" s="202">
        <v>1.4349999999999907</v>
      </c>
      <c r="AC293" s="203">
        <v>1</v>
      </c>
      <c r="AD293" s="203">
        <v>1</v>
      </c>
      <c r="AE293" s="203">
        <v>1</v>
      </c>
      <c r="AF293" s="203">
        <v>1</v>
      </c>
      <c r="AG293" s="203">
        <v>1</v>
      </c>
      <c r="AH293" s="203">
        <v>1</v>
      </c>
      <c r="AI293" s="203">
        <v>1</v>
      </c>
      <c r="AJ293" s="203">
        <v>1</v>
      </c>
      <c r="AK293" s="203">
        <v>1</v>
      </c>
      <c r="AL293" s="203">
        <v>1</v>
      </c>
    </row>
    <row r="294" spans="4:38" x14ac:dyDescent="0.25">
      <c r="D294" s="202">
        <v>1.4399999999999906</v>
      </c>
      <c r="E294" s="203">
        <v>1</v>
      </c>
      <c r="F294" s="203">
        <v>1</v>
      </c>
      <c r="G294" s="203">
        <v>1</v>
      </c>
      <c r="H294" s="203">
        <v>1</v>
      </c>
      <c r="I294" s="203">
        <v>1</v>
      </c>
      <c r="J294" s="203">
        <v>1</v>
      </c>
      <c r="K294" s="203">
        <v>1</v>
      </c>
      <c r="L294" s="203">
        <v>1</v>
      </c>
      <c r="M294" s="203">
        <v>1</v>
      </c>
      <c r="N294" s="203">
        <v>1</v>
      </c>
      <c r="P294" s="202">
        <v>1.4399999999999906</v>
      </c>
      <c r="Q294" s="203">
        <v>1</v>
      </c>
      <c r="R294" s="203">
        <v>1</v>
      </c>
      <c r="S294" s="203">
        <v>1</v>
      </c>
      <c r="T294" s="203">
        <v>1</v>
      </c>
      <c r="U294" s="203">
        <v>1</v>
      </c>
      <c r="V294" s="203">
        <v>1</v>
      </c>
      <c r="W294" s="203">
        <v>1</v>
      </c>
      <c r="X294" s="203">
        <v>1</v>
      </c>
      <c r="Y294" s="203">
        <v>1</v>
      </c>
      <c r="Z294" s="203">
        <v>1</v>
      </c>
      <c r="AB294" s="202">
        <v>1.4399999999999906</v>
      </c>
      <c r="AC294" s="203">
        <v>1</v>
      </c>
      <c r="AD294" s="203">
        <v>1</v>
      </c>
      <c r="AE294" s="203">
        <v>1</v>
      </c>
      <c r="AF294" s="203">
        <v>1</v>
      </c>
      <c r="AG294" s="203">
        <v>1</v>
      </c>
      <c r="AH294" s="203">
        <v>1</v>
      </c>
      <c r="AI294" s="203">
        <v>1</v>
      </c>
      <c r="AJ294" s="203">
        <v>1</v>
      </c>
      <c r="AK294" s="203">
        <v>1</v>
      </c>
      <c r="AL294" s="203">
        <v>1</v>
      </c>
    </row>
    <row r="295" spans="4:38" x14ac:dyDescent="0.25">
      <c r="D295" s="202">
        <v>1.4449999999999905</v>
      </c>
      <c r="E295" s="203">
        <v>1</v>
      </c>
      <c r="F295" s="203">
        <v>1</v>
      </c>
      <c r="G295" s="203">
        <v>1</v>
      </c>
      <c r="H295" s="203">
        <v>1</v>
      </c>
      <c r="I295" s="203">
        <v>1</v>
      </c>
      <c r="J295" s="203">
        <v>1</v>
      </c>
      <c r="K295" s="203">
        <v>1</v>
      </c>
      <c r="L295" s="203">
        <v>1</v>
      </c>
      <c r="M295" s="203">
        <v>1</v>
      </c>
      <c r="N295" s="203">
        <v>1</v>
      </c>
      <c r="P295" s="202">
        <v>1.4449999999999905</v>
      </c>
      <c r="Q295" s="203">
        <v>1</v>
      </c>
      <c r="R295" s="203">
        <v>1</v>
      </c>
      <c r="S295" s="203">
        <v>1</v>
      </c>
      <c r="T295" s="203">
        <v>1</v>
      </c>
      <c r="U295" s="203">
        <v>1</v>
      </c>
      <c r="V295" s="203">
        <v>1</v>
      </c>
      <c r="W295" s="203">
        <v>1</v>
      </c>
      <c r="X295" s="203">
        <v>1</v>
      </c>
      <c r="Y295" s="203">
        <v>1</v>
      </c>
      <c r="Z295" s="203">
        <v>1</v>
      </c>
      <c r="AB295" s="202">
        <v>1.4449999999999905</v>
      </c>
      <c r="AC295" s="203">
        <v>1</v>
      </c>
      <c r="AD295" s="203">
        <v>1</v>
      </c>
      <c r="AE295" s="203">
        <v>1</v>
      </c>
      <c r="AF295" s="203">
        <v>1</v>
      </c>
      <c r="AG295" s="203">
        <v>1</v>
      </c>
      <c r="AH295" s="203">
        <v>1</v>
      </c>
      <c r="AI295" s="203">
        <v>1</v>
      </c>
      <c r="AJ295" s="203">
        <v>1</v>
      </c>
      <c r="AK295" s="203">
        <v>1</v>
      </c>
      <c r="AL295" s="203">
        <v>1</v>
      </c>
    </row>
    <row r="296" spans="4:38" x14ac:dyDescent="0.25">
      <c r="D296" s="202">
        <v>1.4499999999999904</v>
      </c>
      <c r="E296" s="203">
        <v>1</v>
      </c>
      <c r="F296" s="203">
        <v>1</v>
      </c>
      <c r="G296" s="203">
        <v>1</v>
      </c>
      <c r="H296" s="203">
        <v>1</v>
      </c>
      <c r="I296" s="203">
        <v>1</v>
      </c>
      <c r="J296" s="203">
        <v>1</v>
      </c>
      <c r="K296" s="203">
        <v>1</v>
      </c>
      <c r="L296" s="203">
        <v>1</v>
      </c>
      <c r="M296" s="203">
        <v>1</v>
      </c>
      <c r="N296" s="203">
        <v>1</v>
      </c>
      <c r="P296" s="202">
        <v>1.4499999999999904</v>
      </c>
      <c r="Q296" s="203">
        <v>1</v>
      </c>
      <c r="R296" s="203">
        <v>1</v>
      </c>
      <c r="S296" s="203">
        <v>1</v>
      </c>
      <c r="T296" s="203">
        <v>1</v>
      </c>
      <c r="U296" s="203">
        <v>1</v>
      </c>
      <c r="V296" s="203">
        <v>1</v>
      </c>
      <c r="W296" s="203">
        <v>1</v>
      </c>
      <c r="X296" s="203">
        <v>1</v>
      </c>
      <c r="Y296" s="203">
        <v>1</v>
      </c>
      <c r="Z296" s="203">
        <v>1</v>
      </c>
      <c r="AB296" s="202">
        <v>1.4499999999999904</v>
      </c>
      <c r="AC296" s="203">
        <v>1</v>
      </c>
      <c r="AD296" s="203">
        <v>1</v>
      </c>
      <c r="AE296" s="203">
        <v>1</v>
      </c>
      <c r="AF296" s="203">
        <v>1</v>
      </c>
      <c r="AG296" s="203">
        <v>1</v>
      </c>
      <c r="AH296" s="203">
        <v>1</v>
      </c>
      <c r="AI296" s="203">
        <v>1</v>
      </c>
      <c r="AJ296" s="203">
        <v>1</v>
      </c>
      <c r="AK296" s="203">
        <v>1</v>
      </c>
      <c r="AL296" s="203">
        <v>1</v>
      </c>
    </row>
    <row r="297" spans="4:38" x14ac:dyDescent="0.25">
      <c r="D297" s="202">
        <v>1.4549999999999903</v>
      </c>
      <c r="E297" s="203">
        <v>1</v>
      </c>
      <c r="F297" s="203">
        <v>1</v>
      </c>
      <c r="G297" s="203">
        <v>1</v>
      </c>
      <c r="H297" s="203">
        <v>1</v>
      </c>
      <c r="I297" s="203">
        <v>1</v>
      </c>
      <c r="J297" s="203">
        <v>1</v>
      </c>
      <c r="K297" s="203">
        <v>1</v>
      </c>
      <c r="L297" s="203">
        <v>1</v>
      </c>
      <c r="M297" s="203">
        <v>1</v>
      </c>
      <c r="N297" s="203">
        <v>1</v>
      </c>
      <c r="P297" s="202">
        <v>1.4549999999999903</v>
      </c>
      <c r="Q297" s="203">
        <v>1</v>
      </c>
      <c r="R297" s="203">
        <v>1</v>
      </c>
      <c r="S297" s="203">
        <v>1</v>
      </c>
      <c r="T297" s="203">
        <v>1</v>
      </c>
      <c r="U297" s="203">
        <v>1</v>
      </c>
      <c r="V297" s="203">
        <v>1</v>
      </c>
      <c r="W297" s="203">
        <v>1</v>
      </c>
      <c r="X297" s="203">
        <v>1</v>
      </c>
      <c r="Y297" s="203">
        <v>1</v>
      </c>
      <c r="Z297" s="203">
        <v>1</v>
      </c>
      <c r="AB297" s="202">
        <v>1.4549999999999903</v>
      </c>
      <c r="AC297" s="203">
        <v>1</v>
      </c>
      <c r="AD297" s="203">
        <v>1</v>
      </c>
      <c r="AE297" s="203">
        <v>1</v>
      </c>
      <c r="AF297" s="203">
        <v>1</v>
      </c>
      <c r="AG297" s="203">
        <v>1</v>
      </c>
      <c r="AH297" s="203">
        <v>1</v>
      </c>
      <c r="AI297" s="203">
        <v>1</v>
      </c>
      <c r="AJ297" s="203">
        <v>1</v>
      </c>
      <c r="AK297" s="203">
        <v>1</v>
      </c>
      <c r="AL297" s="203">
        <v>1</v>
      </c>
    </row>
    <row r="298" spans="4:38" x14ac:dyDescent="0.25">
      <c r="D298" s="202">
        <v>1.4599999999999902</v>
      </c>
      <c r="E298" s="203">
        <v>1</v>
      </c>
      <c r="F298" s="203">
        <v>1</v>
      </c>
      <c r="G298" s="203">
        <v>1</v>
      </c>
      <c r="H298" s="203">
        <v>1</v>
      </c>
      <c r="I298" s="203">
        <v>1</v>
      </c>
      <c r="J298" s="203">
        <v>1</v>
      </c>
      <c r="K298" s="203">
        <v>1</v>
      </c>
      <c r="L298" s="203">
        <v>1</v>
      </c>
      <c r="M298" s="203">
        <v>1</v>
      </c>
      <c r="N298" s="203">
        <v>1</v>
      </c>
      <c r="P298" s="202">
        <v>1.4599999999999902</v>
      </c>
      <c r="Q298" s="203">
        <v>1</v>
      </c>
      <c r="R298" s="203">
        <v>1</v>
      </c>
      <c r="S298" s="203">
        <v>1</v>
      </c>
      <c r="T298" s="203">
        <v>1</v>
      </c>
      <c r="U298" s="203">
        <v>1</v>
      </c>
      <c r="V298" s="203">
        <v>1</v>
      </c>
      <c r="W298" s="203">
        <v>1</v>
      </c>
      <c r="X298" s="203">
        <v>1</v>
      </c>
      <c r="Y298" s="203">
        <v>1</v>
      </c>
      <c r="Z298" s="203">
        <v>1</v>
      </c>
      <c r="AB298" s="202">
        <v>1.4599999999999902</v>
      </c>
      <c r="AC298" s="203">
        <v>1</v>
      </c>
      <c r="AD298" s="203">
        <v>1</v>
      </c>
      <c r="AE298" s="203">
        <v>1</v>
      </c>
      <c r="AF298" s="203">
        <v>1</v>
      </c>
      <c r="AG298" s="203">
        <v>1</v>
      </c>
      <c r="AH298" s="203">
        <v>1</v>
      </c>
      <c r="AI298" s="203">
        <v>1</v>
      </c>
      <c r="AJ298" s="203">
        <v>1</v>
      </c>
      <c r="AK298" s="203">
        <v>1</v>
      </c>
      <c r="AL298" s="203">
        <v>1</v>
      </c>
    </row>
    <row r="299" spans="4:38" x14ac:dyDescent="0.25">
      <c r="D299" s="202">
        <v>1.4649999999999901</v>
      </c>
      <c r="E299" s="203">
        <v>1</v>
      </c>
      <c r="F299" s="203">
        <v>1</v>
      </c>
      <c r="G299" s="203">
        <v>1</v>
      </c>
      <c r="H299" s="203">
        <v>1</v>
      </c>
      <c r="I299" s="203">
        <v>1</v>
      </c>
      <c r="J299" s="203">
        <v>1</v>
      </c>
      <c r="K299" s="203">
        <v>1</v>
      </c>
      <c r="L299" s="203">
        <v>1</v>
      </c>
      <c r="M299" s="203">
        <v>1</v>
      </c>
      <c r="N299" s="203">
        <v>1</v>
      </c>
      <c r="P299" s="202">
        <v>1.4649999999999901</v>
      </c>
      <c r="Q299" s="203">
        <v>1</v>
      </c>
      <c r="R299" s="203">
        <v>1</v>
      </c>
      <c r="S299" s="203">
        <v>1</v>
      </c>
      <c r="T299" s="203">
        <v>1</v>
      </c>
      <c r="U299" s="203">
        <v>1</v>
      </c>
      <c r="V299" s="203">
        <v>1</v>
      </c>
      <c r="W299" s="203">
        <v>1</v>
      </c>
      <c r="X299" s="203">
        <v>1</v>
      </c>
      <c r="Y299" s="203">
        <v>1</v>
      </c>
      <c r="Z299" s="203">
        <v>1</v>
      </c>
      <c r="AB299" s="202">
        <v>1.4649999999999901</v>
      </c>
      <c r="AC299" s="203">
        <v>1</v>
      </c>
      <c r="AD299" s="203">
        <v>1</v>
      </c>
      <c r="AE299" s="203">
        <v>1</v>
      </c>
      <c r="AF299" s="203">
        <v>1</v>
      </c>
      <c r="AG299" s="203">
        <v>1</v>
      </c>
      <c r="AH299" s="203">
        <v>1</v>
      </c>
      <c r="AI299" s="203">
        <v>1</v>
      </c>
      <c r="AJ299" s="203">
        <v>1</v>
      </c>
      <c r="AK299" s="203">
        <v>1</v>
      </c>
      <c r="AL299" s="203">
        <v>1</v>
      </c>
    </row>
    <row r="300" spans="4:38" x14ac:dyDescent="0.25">
      <c r="D300" s="202">
        <v>1.46999999999999</v>
      </c>
      <c r="E300" s="203">
        <v>1</v>
      </c>
      <c r="F300" s="203">
        <v>1</v>
      </c>
      <c r="G300" s="203">
        <v>1</v>
      </c>
      <c r="H300" s="203">
        <v>1</v>
      </c>
      <c r="I300" s="203">
        <v>1</v>
      </c>
      <c r="J300" s="203">
        <v>1</v>
      </c>
      <c r="K300" s="203">
        <v>1</v>
      </c>
      <c r="L300" s="203">
        <v>1</v>
      </c>
      <c r="M300" s="203">
        <v>1</v>
      </c>
      <c r="N300" s="203">
        <v>1</v>
      </c>
      <c r="P300" s="202">
        <v>1.46999999999999</v>
      </c>
      <c r="Q300" s="203">
        <v>1</v>
      </c>
      <c r="R300" s="203">
        <v>1</v>
      </c>
      <c r="S300" s="203">
        <v>1</v>
      </c>
      <c r="T300" s="203">
        <v>1</v>
      </c>
      <c r="U300" s="203">
        <v>1</v>
      </c>
      <c r="V300" s="203">
        <v>1</v>
      </c>
      <c r="W300" s="203">
        <v>1</v>
      </c>
      <c r="X300" s="203">
        <v>1</v>
      </c>
      <c r="Y300" s="203">
        <v>1</v>
      </c>
      <c r="Z300" s="203">
        <v>1</v>
      </c>
      <c r="AB300" s="202">
        <v>1.46999999999999</v>
      </c>
      <c r="AC300" s="203">
        <v>1</v>
      </c>
      <c r="AD300" s="203">
        <v>1</v>
      </c>
      <c r="AE300" s="203">
        <v>1</v>
      </c>
      <c r="AF300" s="203">
        <v>1</v>
      </c>
      <c r="AG300" s="203">
        <v>1</v>
      </c>
      <c r="AH300" s="203">
        <v>1</v>
      </c>
      <c r="AI300" s="203">
        <v>1</v>
      </c>
      <c r="AJ300" s="203">
        <v>1</v>
      </c>
      <c r="AK300" s="203">
        <v>1</v>
      </c>
      <c r="AL300" s="203">
        <v>1</v>
      </c>
    </row>
    <row r="301" spans="4:38" x14ac:dyDescent="0.25">
      <c r="D301" s="202">
        <v>1.4749999999999899</v>
      </c>
      <c r="E301" s="203">
        <v>1</v>
      </c>
      <c r="F301" s="203">
        <v>1</v>
      </c>
      <c r="G301" s="203">
        <v>1</v>
      </c>
      <c r="H301" s="203">
        <v>1</v>
      </c>
      <c r="I301" s="203">
        <v>1</v>
      </c>
      <c r="J301" s="203">
        <v>1</v>
      </c>
      <c r="K301" s="203">
        <v>1</v>
      </c>
      <c r="L301" s="203">
        <v>1</v>
      </c>
      <c r="M301" s="203">
        <v>1</v>
      </c>
      <c r="N301" s="203">
        <v>1</v>
      </c>
      <c r="P301" s="202">
        <v>1.4749999999999899</v>
      </c>
      <c r="Q301" s="203">
        <v>1</v>
      </c>
      <c r="R301" s="203">
        <v>1</v>
      </c>
      <c r="S301" s="203">
        <v>1</v>
      </c>
      <c r="T301" s="203">
        <v>1</v>
      </c>
      <c r="U301" s="203">
        <v>1</v>
      </c>
      <c r="V301" s="203">
        <v>1</v>
      </c>
      <c r="W301" s="203">
        <v>1</v>
      </c>
      <c r="X301" s="203">
        <v>1</v>
      </c>
      <c r="Y301" s="203">
        <v>1</v>
      </c>
      <c r="Z301" s="203">
        <v>1</v>
      </c>
      <c r="AB301" s="202">
        <v>1.4749999999999899</v>
      </c>
      <c r="AC301" s="203">
        <v>1</v>
      </c>
      <c r="AD301" s="203">
        <v>1</v>
      </c>
      <c r="AE301" s="203">
        <v>1</v>
      </c>
      <c r="AF301" s="203">
        <v>1</v>
      </c>
      <c r="AG301" s="203">
        <v>1</v>
      </c>
      <c r="AH301" s="203">
        <v>1</v>
      </c>
      <c r="AI301" s="203">
        <v>1</v>
      </c>
      <c r="AJ301" s="203">
        <v>1</v>
      </c>
      <c r="AK301" s="203">
        <v>1</v>
      </c>
      <c r="AL301" s="203">
        <v>1</v>
      </c>
    </row>
    <row r="302" spans="4:38" x14ac:dyDescent="0.25">
      <c r="D302" s="202">
        <v>1.4799999999999898</v>
      </c>
      <c r="E302" s="203">
        <v>1</v>
      </c>
      <c r="F302" s="203">
        <v>1</v>
      </c>
      <c r="G302" s="203">
        <v>1</v>
      </c>
      <c r="H302" s="203">
        <v>1</v>
      </c>
      <c r="I302" s="203">
        <v>1</v>
      </c>
      <c r="J302" s="203">
        <v>1</v>
      </c>
      <c r="K302" s="203">
        <v>1</v>
      </c>
      <c r="L302" s="203">
        <v>1</v>
      </c>
      <c r="M302" s="203">
        <v>1</v>
      </c>
      <c r="N302" s="203">
        <v>1</v>
      </c>
      <c r="P302" s="202">
        <v>1.4799999999999898</v>
      </c>
      <c r="Q302" s="203">
        <v>1</v>
      </c>
      <c r="R302" s="203">
        <v>1</v>
      </c>
      <c r="S302" s="203">
        <v>1</v>
      </c>
      <c r="T302" s="203">
        <v>1</v>
      </c>
      <c r="U302" s="203">
        <v>1</v>
      </c>
      <c r="V302" s="203">
        <v>1</v>
      </c>
      <c r="W302" s="203">
        <v>1</v>
      </c>
      <c r="X302" s="203">
        <v>1</v>
      </c>
      <c r="Y302" s="203">
        <v>1</v>
      </c>
      <c r="Z302" s="203">
        <v>1</v>
      </c>
      <c r="AB302" s="202">
        <v>1.4799999999999898</v>
      </c>
      <c r="AC302" s="203">
        <v>1</v>
      </c>
      <c r="AD302" s="203">
        <v>1</v>
      </c>
      <c r="AE302" s="203">
        <v>1</v>
      </c>
      <c r="AF302" s="203">
        <v>1</v>
      </c>
      <c r="AG302" s="203">
        <v>1</v>
      </c>
      <c r="AH302" s="203">
        <v>1</v>
      </c>
      <c r="AI302" s="203">
        <v>1</v>
      </c>
      <c r="AJ302" s="203">
        <v>1</v>
      </c>
      <c r="AK302" s="203">
        <v>1</v>
      </c>
      <c r="AL302" s="203">
        <v>1</v>
      </c>
    </row>
    <row r="303" spans="4:38" x14ac:dyDescent="0.25">
      <c r="D303" s="202">
        <v>1.4849999999999897</v>
      </c>
      <c r="E303" s="203">
        <v>1</v>
      </c>
      <c r="F303" s="203">
        <v>1</v>
      </c>
      <c r="G303" s="203">
        <v>1</v>
      </c>
      <c r="H303" s="203">
        <v>1</v>
      </c>
      <c r="I303" s="203">
        <v>1</v>
      </c>
      <c r="J303" s="203">
        <v>1</v>
      </c>
      <c r="K303" s="203">
        <v>1</v>
      </c>
      <c r="L303" s="203">
        <v>1</v>
      </c>
      <c r="M303" s="203">
        <v>1</v>
      </c>
      <c r="N303" s="203">
        <v>1</v>
      </c>
      <c r="P303" s="202">
        <v>1.4849999999999897</v>
      </c>
      <c r="Q303" s="203">
        <v>1</v>
      </c>
      <c r="R303" s="203">
        <v>1</v>
      </c>
      <c r="S303" s="203">
        <v>1</v>
      </c>
      <c r="T303" s="203">
        <v>1</v>
      </c>
      <c r="U303" s="203">
        <v>1</v>
      </c>
      <c r="V303" s="203">
        <v>1</v>
      </c>
      <c r="W303" s="203">
        <v>1</v>
      </c>
      <c r="X303" s="203">
        <v>1</v>
      </c>
      <c r="Y303" s="203">
        <v>1</v>
      </c>
      <c r="Z303" s="203">
        <v>1</v>
      </c>
      <c r="AB303" s="202">
        <v>1.4849999999999897</v>
      </c>
      <c r="AC303" s="203">
        <v>1</v>
      </c>
      <c r="AD303" s="203">
        <v>1</v>
      </c>
      <c r="AE303" s="203">
        <v>1</v>
      </c>
      <c r="AF303" s="203">
        <v>1</v>
      </c>
      <c r="AG303" s="203">
        <v>1</v>
      </c>
      <c r="AH303" s="203">
        <v>1</v>
      </c>
      <c r="AI303" s="203">
        <v>1</v>
      </c>
      <c r="AJ303" s="203">
        <v>1</v>
      </c>
      <c r="AK303" s="203">
        <v>1</v>
      </c>
      <c r="AL303" s="203">
        <v>1</v>
      </c>
    </row>
    <row r="304" spans="4:38" x14ac:dyDescent="0.25">
      <c r="D304" s="202">
        <v>1.4899999999999896</v>
      </c>
      <c r="E304" s="203">
        <v>1</v>
      </c>
      <c r="F304" s="203">
        <v>1</v>
      </c>
      <c r="G304" s="203">
        <v>1</v>
      </c>
      <c r="H304" s="203">
        <v>1</v>
      </c>
      <c r="I304" s="203">
        <v>1</v>
      </c>
      <c r="J304" s="203">
        <v>1</v>
      </c>
      <c r="K304" s="203">
        <v>1</v>
      </c>
      <c r="L304" s="203">
        <v>1</v>
      </c>
      <c r="M304" s="203">
        <v>1</v>
      </c>
      <c r="N304" s="203">
        <v>1</v>
      </c>
      <c r="P304" s="202">
        <v>1.4899999999999896</v>
      </c>
      <c r="Q304" s="203">
        <v>1</v>
      </c>
      <c r="R304" s="203">
        <v>1</v>
      </c>
      <c r="S304" s="203">
        <v>1</v>
      </c>
      <c r="T304" s="203">
        <v>1</v>
      </c>
      <c r="U304" s="203">
        <v>1</v>
      </c>
      <c r="V304" s="203">
        <v>1</v>
      </c>
      <c r="W304" s="203">
        <v>1</v>
      </c>
      <c r="X304" s="203">
        <v>1</v>
      </c>
      <c r="Y304" s="203">
        <v>1</v>
      </c>
      <c r="Z304" s="203">
        <v>1</v>
      </c>
      <c r="AB304" s="202">
        <v>1.4899999999999896</v>
      </c>
      <c r="AC304" s="203">
        <v>1</v>
      </c>
      <c r="AD304" s="203">
        <v>1</v>
      </c>
      <c r="AE304" s="203">
        <v>1</v>
      </c>
      <c r="AF304" s="203">
        <v>1</v>
      </c>
      <c r="AG304" s="203">
        <v>1</v>
      </c>
      <c r="AH304" s="203">
        <v>1</v>
      </c>
      <c r="AI304" s="203">
        <v>1</v>
      </c>
      <c r="AJ304" s="203">
        <v>1</v>
      </c>
      <c r="AK304" s="203">
        <v>1</v>
      </c>
      <c r="AL304" s="203">
        <v>1</v>
      </c>
    </row>
    <row r="305" spans="4:38" x14ac:dyDescent="0.25">
      <c r="D305" s="202">
        <v>1.4949999999999894</v>
      </c>
      <c r="E305" s="203">
        <v>1</v>
      </c>
      <c r="F305" s="203">
        <v>1</v>
      </c>
      <c r="G305" s="203">
        <v>1</v>
      </c>
      <c r="H305" s="203">
        <v>1</v>
      </c>
      <c r="I305" s="203">
        <v>1</v>
      </c>
      <c r="J305" s="203">
        <v>1</v>
      </c>
      <c r="K305" s="203">
        <v>1</v>
      </c>
      <c r="L305" s="203">
        <v>1</v>
      </c>
      <c r="M305" s="203">
        <v>1</v>
      </c>
      <c r="N305" s="203">
        <v>1</v>
      </c>
      <c r="P305" s="202">
        <v>1.4949999999999894</v>
      </c>
      <c r="Q305" s="203">
        <v>1</v>
      </c>
      <c r="R305" s="203">
        <v>1</v>
      </c>
      <c r="S305" s="203">
        <v>1</v>
      </c>
      <c r="T305" s="203">
        <v>1</v>
      </c>
      <c r="U305" s="203">
        <v>1</v>
      </c>
      <c r="V305" s="203">
        <v>1</v>
      </c>
      <c r="W305" s="203">
        <v>1</v>
      </c>
      <c r="X305" s="203">
        <v>1</v>
      </c>
      <c r="Y305" s="203">
        <v>1</v>
      </c>
      <c r="Z305" s="203">
        <v>1</v>
      </c>
      <c r="AB305" s="202">
        <v>1.4949999999999894</v>
      </c>
      <c r="AC305" s="203">
        <v>1</v>
      </c>
      <c r="AD305" s="203">
        <v>1</v>
      </c>
      <c r="AE305" s="203">
        <v>1</v>
      </c>
      <c r="AF305" s="203">
        <v>1</v>
      </c>
      <c r="AG305" s="203">
        <v>1</v>
      </c>
      <c r="AH305" s="203">
        <v>1</v>
      </c>
      <c r="AI305" s="203">
        <v>1</v>
      </c>
      <c r="AJ305" s="203">
        <v>1</v>
      </c>
      <c r="AK305" s="203">
        <v>1</v>
      </c>
      <c r="AL305" s="203">
        <v>1</v>
      </c>
    </row>
    <row r="306" spans="4:38" x14ac:dyDescent="0.25">
      <c r="D306" s="202">
        <v>1.4999999999999893</v>
      </c>
      <c r="E306" s="203">
        <v>1</v>
      </c>
      <c r="F306" s="203">
        <v>1</v>
      </c>
      <c r="G306" s="203">
        <v>1</v>
      </c>
      <c r="H306" s="203">
        <v>1</v>
      </c>
      <c r="I306" s="203">
        <v>1</v>
      </c>
      <c r="J306" s="203">
        <v>1</v>
      </c>
      <c r="K306" s="203">
        <v>1</v>
      </c>
      <c r="L306" s="203">
        <v>1</v>
      </c>
      <c r="M306" s="203">
        <v>1</v>
      </c>
      <c r="N306" s="203">
        <v>1</v>
      </c>
      <c r="P306" s="202">
        <v>1.4999999999999893</v>
      </c>
      <c r="Q306" s="203">
        <v>1</v>
      </c>
      <c r="R306" s="203">
        <v>1</v>
      </c>
      <c r="S306" s="203">
        <v>1</v>
      </c>
      <c r="T306" s="203">
        <v>1</v>
      </c>
      <c r="U306" s="203">
        <v>1</v>
      </c>
      <c r="V306" s="203">
        <v>1</v>
      </c>
      <c r="W306" s="203">
        <v>1</v>
      </c>
      <c r="X306" s="203">
        <v>1</v>
      </c>
      <c r="Y306" s="203">
        <v>1</v>
      </c>
      <c r="Z306" s="203">
        <v>1</v>
      </c>
      <c r="AB306" s="202">
        <v>1.4999999999999893</v>
      </c>
      <c r="AC306" s="203">
        <v>1</v>
      </c>
      <c r="AD306" s="203">
        <v>1</v>
      </c>
      <c r="AE306" s="203">
        <v>1</v>
      </c>
      <c r="AF306" s="203">
        <v>1</v>
      </c>
      <c r="AG306" s="203">
        <v>1</v>
      </c>
      <c r="AH306" s="203">
        <v>1</v>
      </c>
      <c r="AI306" s="203">
        <v>1</v>
      </c>
      <c r="AJ306" s="203">
        <v>1</v>
      </c>
      <c r="AK306" s="203">
        <v>1</v>
      </c>
      <c r="AL306" s="203">
        <v>1</v>
      </c>
    </row>
    <row r="307" spans="4:38" x14ac:dyDescent="0.25">
      <c r="D307" s="202">
        <v>1.5049999999999892</v>
      </c>
      <c r="E307" s="203">
        <v>1</v>
      </c>
      <c r="F307" s="203">
        <v>1</v>
      </c>
      <c r="G307" s="203">
        <v>1</v>
      </c>
      <c r="H307" s="203">
        <v>1</v>
      </c>
      <c r="I307" s="203">
        <v>1</v>
      </c>
      <c r="J307" s="203">
        <v>1</v>
      </c>
      <c r="K307" s="203">
        <v>1</v>
      </c>
      <c r="L307" s="203">
        <v>1</v>
      </c>
      <c r="M307" s="203">
        <v>1</v>
      </c>
      <c r="N307" s="203">
        <v>1</v>
      </c>
      <c r="P307" s="202">
        <v>1.5049999999999892</v>
      </c>
      <c r="Q307" s="203">
        <v>1</v>
      </c>
      <c r="R307" s="203">
        <v>1</v>
      </c>
      <c r="S307" s="203">
        <v>1</v>
      </c>
      <c r="T307" s="203">
        <v>1</v>
      </c>
      <c r="U307" s="203">
        <v>1</v>
      </c>
      <c r="V307" s="203">
        <v>1</v>
      </c>
      <c r="W307" s="203">
        <v>1</v>
      </c>
      <c r="X307" s="203">
        <v>1</v>
      </c>
      <c r="Y307" s="203">
        <v>1</v>
      </c>
      <c r="Z307" s="203">
        <v>1</v>
      </c>
      <c r="AB307" s="202">
        <v>1.5049999999999892</v>
      </c>
      <c r="AC307" s="203">
        <v>1</v>
      </c>
      <c r="AD307" s="203">
        <v>1</v>
      </c>
      <c r="AE307" s="203">
        <v>1</v>
      </c>
      <c r="AF307" s="203">
        <v>1</v>
      </c>
      <c r="AG307" s="203">
        <v>1</v>
      </c>
      <c r="AH307" s="203">
        <v>1</v>
      </c>
      <c r="AI307" s="203">
        <v>1</v>
      </c>
      <c r="AJ307" s="203">
        <v>1</v>
      </c>
      <c r="AK307" s="203">
        <v>1</v>
      </c>
      <c r="AL307" s="203">
        <v>1</v>
      </c>
    </row>
    <row r="308" spans="4:38" x14ac:dyDescent="0.25">
      <c r="D308" s="202">
        <v>1.5099999999999891</v>
      </c>
      <c r="E308" s="203">
        <v>1</v>
      </c>
      <c r="F308" s="203">
        <v>1</v>
      </c>
      <c r="G308" s="203">
        <v>1</v>
      </c>
      <c r="H308" s="203">
        <v>1</v>
      </c>
      <c r="I308" s="203">
        <v>1</v>
      </c>
      <c r="J308" s="203">
        <v>1</v>
      </c>
      <c r="K308" s="203">
        <v>1</v>
      </c>
      <c r="L308" s="203">
        <v>1</v>
      </c>
      <c r="M308" s="203">
        <v>1</v>
      </c>
      <c r="N308" s="203">
        <v>1</v>
      </c>
      <c r="P308" s="202">
        <v>1.5099999999999891</v>
      </c>
      <c r="Q308" s="203">
        <v>1</v>
      </c>
      <c r="R308" s="203">
        <v>1</v>
      </c>
      <c r="S308" s="203">
        <v>1</v>
      </c>
      <c r="T308" s="203">
        <v>1</v>
      </c>
      <c r="U308" s="203">
        <v>1</v>
      </c>
      <c r="V308" s="203">
        <v>1</v>
      </c>
      <c r="W308" s="203">
        <v>1</v>
      </c>
      <c r="X308" s="203">
        <v>1</v>
      </c>
      <c r="Y308" s="203">
        <v>1</v>
      </c>
      <c r="Z308" s="203">
        <v>1</v>
      </c>
      <c r="AB308" s="202">
        <v>1.5099999999999891</v>
      </c>
      <c r="AC308" s="203">
        <v>1</v>
      </c>
      <c r="AD308" s="203">
        <v>1</v>
      </c>
      <c r="AE308" s="203">
        <v>1</v>
      </c>
      <c r="AF308" s="203">
        <v>1</v>
      </c>
      <c r="AG308" s="203">
        <v>1</v>
      </c>
      <c r="AH308" s="203">
        <v>1</v>
      </c>
      <c r="AI308" s="203">
        <v>1</v>
      </c>
      <c r="AJ308" s="203">
        <v>1</v>
      </c>
      <c r="AK308" s="203">
        <v>1</v>
      </c>
      <c r="AL308" s="203">
        <v>1</v>
      </c>
    </row>
    <row r="309" spans="4:38" x14ac:dyDescent="0.25">
      <c r="D309" s="202">
        <v>1.514999999999989</v>
      </c>
      <c r="E309" s="203">
        <v>1</v>
      </c>
      <c r="F309" s="203">
        <v>1</v>
      </c>
      <c r="G309" s="203">
        <v>1</v>
      </c>
      <c r="H309" s="203">
        <v>1</v>
      </c>
      <c r="I309" s="203">
        <v>1</v>
      </c>
      <c r="J309" s="203">
        <v>1</v>
      </c>
      <c r="K309" s="203">
        <v>1</v>
      </c>
      <c r="L309" s="203">
        <v>1</v>
      </c>
      <c r="M309" s="203">
        <v>1</v>
      </c>
      <c r="N309" s="203">
        <v>1</v>
      </c>
      <c r="P309" s="202">
        <v>1.514999999999989</v>
      </c>
      <c r="Q309" s="203">
        <v>1</v>
      </c>
      <c r="R309" s="203">
        <v>1</v>
      </c>
      <c r="S309" s="203">
        <v>1</v>
      </c>
      <c r="T309" s="203">
        <v>1</v>
      </c>
      <c r="U309" s="203">
        <v>1</v>
      </c>
      <c r="V309" s="203">
        <v>1</v>
      </c>
      <c r="W309" s="203">
        <v>1</v>
      </c>
      <c r="X309" s="203">
        <v>1</v>
      </c>
      <c r="Y309" s="203">
        <v>1</v>
      </c>
      <c r="Z309" s="203">
        <v>1</v>
      </c>
      <c r="AB309" s="202">
        <v>1.514999999999989</v>
      </c>
      <c r="AC309" s="203">
        <v>1</v>
      </c>
      <c r="AD309" s="203">
        <v>1</v>
      </c>
      <c r="AE309" s="203">
        <v>1</v>
      </c>
      <c r="AF309" s="203">
        <v>1</v>
      </c>
      <c r="AG309" s="203">
        <v>1</v>
      </c>
      <c r="AH309" s="203">
        <v>1</v>
      </c>
      <c r="AI309" s="203">
        <v>1</v>
      </c>
      <c r="AJ309" s="203">
        <v>1</v>
      </c>
      <c r="AK309" s="203">
        <v>1</v>
      </c>
      <c r="AL309" s="203">
        <v>1</v>
      </c>
    </row>
    <row r="310" spans="4:38" x14ac:dyDescent="0.25">
      <c r="D310" s="202">
        <v>1.5199999999999889</v>
      </c>
      <c r="E310" s="203">
        <v>1</v>
      </c>
      <c r="F310" s="203">
        <v>1</v>
      </c>
      <c r="G310" s="203">
        <v>1</v>
      </c>
      <c r="H310" s="203">
        <v>1</v>
      </c>
      <c r="I310" s="203">
        <v>1</v>
      </c>
      <c r="J310" s="203">
        <v>1</v>
      </c>
      <c r="K310" s="203">
        <v>1</v>
      </c>
      <c r="L310" s="203">
        <v>1</v>
      </c>
      <c r="M310" s="203">
        <v>1</v>
      </c>
      <c r="N310" s="203">
        <v>1</v>
      </c>
      <c r="P310" s="202">
        <v>1.5199999999999889</v>
      </c>
      <c r="Q310" s="203">
        <v>1</v>
      </c>
      <c r="R310" s="203">
        <v>1</v>
      </c>
      <c r="S310" s="203">
        <v>1</v>
      </c>
      <c r="T310" s="203">
        <v>1</v>
      </c>
      <c r="U310" s="203">
        <v>1</v>
      </c>
      <c r="V310" s="203">
        <v>1</v>
      </c>
      <c r="W310" s="203">
        <v>1</v>
      </c>
      <c r="X310" s="203">
        <v>1</v>
      </c>
      <c r="Y310" s="203">
        <v>1</v>
      </c>
      <c r="Z310" s="203">
        <v>1</v>
      </c>
      <c r="AB310" s="202">
        <v>1.5199999999999889</v>
      </c>
      <c r="AC310" s="203">
        <v>1</v>
      </c>
      <c r="AD310" s="203">
        <v>1</v>
      </c>
      <c r="AE310" s="203">
        <v>1</v>
      </c>
      <c r="AF310" s="203">
        <v>1</v>
      </c>
      <c r="AG310" s="203">
        <v>1</v>
      </c>
      <c r="AH310" s="203">
        <v>1</v>
      </c>
      <c r="AI310" s="203">
        <v>1</v>
      </c>
      <c r="AJ310" s="203">
        <v>1</v>
      </c>
      <c r="AK310" s="203">
        <v>1</v>
      </c>
      <c r="AL310" s="203">
        <v>1</v>
      </c>
    </row>
    <row r="311" spans="4:38" x14ac:dyDescent="0.25">
      <c r="D311" s="202">
        <v>1.5249999999999888</v>
      </c>
      <c r="E311" s="203">
        <v>1</v>
      </c>
      <c r="F311" s="203">
        <v>1</v>
      </c>
      <c r="G311" s="203">
        <v>1</v>
      </c>
      <c r="H311" s="203">
        <v>1</v>
      </c>
      <c r="I311" s="203">
        <v>1</v>
      </c>
      <c r="J311" s="203">
        <v>1</v>
      </c>
      <c r="K311" s="203">
        <v>1</v>
      </c>
      <c r="L311" s="203">
        <v>1</v>
      </c>
      <c r="M311" s="203">
        <v>1</v>
      </c>
      <c r="N311" s="203">
        <v>1</v>
      </c>
      <c r="P311" s="202">
        <v>1.5249999999999888</v>
      </c>
      <c r="Q311" s="203">
        <v>1</v>
      </c>
      <c r="R311" s="203">
        <v>1</v>
      </c>
      <c r="S311" s="203">
        <v>1</v>
      </c>
      <c r="T311" s="203">
        <v>1</v>
      </c>
      <c r="U311" s="203">
        <v>1</v>
      </c>
      <c r="V311" s="203">
        <v>1</v>
      </c>
      <c r="W311" s="203">
        <v>1</v>
      </c>
      <c r="X311" s="203">
        <v>1</v>
      </c>
      <c r="Y311" s="203">
        <v>1</v>
      </c>
      <c r="Z311" s="203">
        <v>1</v>
      </c>
      <c r="AB311" s="202">
        <v>1.5249999999999888</v>
      </c>
      <c r="AC311" s="203">
        <v>1</v>
      </c>
      <c r="AD311" s="203">
        <v>1</v>
      </c>
      <c r="AE311" s="203">
        <v>1</v>
      </c>
      <c r="AF311" s="203">
        <v>1</v>
      </c>
      <c r="AG311" s="203">
        <v>1</v>
      </c>
      <c r="AH311" s="203">
        <v>1</v>
      </c>
      <c r="AI311" s="203">
        <v>1</v>
      </c>
      <c r="AJ311" s="203">
        <v>1</v>
      </c>
      <c r="AK311" s="203">
        <v>1</v>
      </c>
      <c r="AL311" s="203">
        <v>1</v>
      </c>
    </row>
    <row r="312" spans="4:38" x14ac:dyDescent="0.25">
      <c r="D312" s="202">
        <v>1.5299999999999887</v>
      </c>
      <c r="E312" s="203">
        <v>1</v>
      </c>
      <c r="F312" s="203">
        <v>1</v>
      </c>
      <c r="G312" s="203">
        <v>1</v>
      </c>
      <c r="H312" s="203">
        <v>1</v>
      </c>
      <c r="I312" s="203">
        <v>1</v>
      </c>
      <c r="J312" s="203">
        <v>1</v>
      </c>
      <c r="K312" s="203">
        <v>1</v>
      </c>
      <c r="L312" s="203">
        <v>1</v>
      </c>
      <c r="M312" s="203">
        <v>1</v>
      </c>
      <c r="N312" s="203">
        <v>1</v>
      </c>
      <c r="P312" s="202">
        <v>1.5299999999999887</v>
      </c>
      <c r="Q312" s="203">
        <v>1</v>
      </c>
      <c r="R312" s="203">
        <v>1</v>
      </c>
      <c r="S312" s="203">
        <v>1</v>
      </c>
      <c r="T312" s="203">
        <v>1</v>
      </c>
      <c r="U312" s="203">
        <v>1</v>
      </c>
      <c r="V312" s="203">
        <v>1</v>
      </c>
      <c r="W312" s="203">
        <v>1</v>
      </c>
      <c r="X312" s="203">
        <v>1</v>
      </c>
      <c r="Y312" s="203">
        <v>1</v>
      </c>
      <c r="Z312" s="203">
        <v>1</v>
      </c>
      <c r="AB312" s="202">
        <v>1.5299999999999887</v>
      </c>
      <c r="AC312" s="203">
        <v>1</v>
      </c>
      <c r="AD312" s="203">
        <v>1</v>
      </c>
      <c r="AE312" s="203">
        <v>1</v>
      </c>
      <c r="AF312" s="203">
        <v>1</v>
      </c>
      <c r="AG312" s="203">
        <v>1</v>
      </c>
      <c r="AH312" s="203">
        <v>1</v>
      </c>
      <c r="AI312" s="203">
        <v>1</v>
      </c>
      <c r="AJ312" s="203">
        <v>1</v>
      </c>
      <c r="AK312" s="203">
        <v>1</v>
      </c>
      <c r="AL312" s="203">
        <v>1</v>
      </c>
    </row>
    <row r="313" spans="4:38" x14ac:dyDescent="0.25">
      <c r="D313" s="202">
        <v>1.5349999999999886</v>
      </c>
      <c r="E313" s="203">
        <v>1</v>
      </c>
      <c r="F313" s="203">
        <v>1</v>
      </c>
      <c r="G313" s="203">
        <v>1</v>
      </c>
      <c r="H313" s="203">
        <v>1</v>
      </c>
      <c r="I313" s="203">
        <v>1</v>
      </c>
      <c r="J313" s="203">
        <v>1</v>
      </c>
      <c r="K313" s="203">
        <v>1</v>
      </c>
      <c r="L313" s="203">
        <v>1</v>
      </c>
      <c r="M313" s="203">
        <v>1</v>
      </c>
      <c r="N313" s="203">
        <v>1</v>
      </c>
      <c r="P313" s="202">
        <v>1.5349999999999886</v>
      </c>
      <c r="Q313" s="203">
        <v>1</v>
      </c>
      <c r="R313" s="203">
        <v>1</v>
      </c>
      <c r="S313" s="203">
        <v>1</v>
      </c>
      <c r="T313" s="203">
        <v>1</v>
      </c>
      <c r="U313" s="203">
        <v>1</v>
      </c>
      <c r="V313" s="203">
        <v>1</v>
      </c>
      <c r="W313" s="203">
        <v>1</v>
      </c>
      <c r="X313" s="203">
        <v>1</v>
      </c>
      <c r="Y313" s="203">
        <v>1</v>
      </c>
      <c r="Z313" s="203">
        <v>1</v>
      </c>
      <c r="AB313" s="202">
        <v>1.5349999999999886</v>
      </c>
      <c r="AC313" s="203">
        <v>1</v>
      </c>
      <c r="AD313" s="203">
        <v>1</v>
      </c>
      <c r="AE313" s="203">
        <v>1</v>
      </c>
      <c r="AF313" s="203">
        <v>1</v>
      </c>
      <c r="AG313" s="203">
        <v>1</v>
      </c>
      <c r="AH313" s="203">
        <v>1</v>
      </c>
      <c r="AI313" s="203">
        <v>1</v>
      </c>
      <c r="AJ313" s="203">
        <v>1</v>
      </c>
      <c r="AK313" s="203">
        <v>1</v>
      </c>
      <c r="AL313" s="203">
        <v>1</v>
      </c>
    </row>
    <row r="314" spans="4:38" x14ac:dyDescent="0.25">
      <c r="D314" s="202">
        <v>1.5399999999999885</v>
      </c>
      <c r="E314" s="203">
        <v>1</v>
      </c>
      <c r="F314" s="203">
        <v>1</v>
      </c>
      <c r="G314" s="203">
        <v>1</v>
      </c>
      <c r="H314" s="203">
        <v>1</v>
      </c>
      <c r="I314" s="203">
        <v>1</v>
      </c>
      <c r="J314" s="203">
        <v>1</v>
      </c>
      <c r="K314" s="203">
        <v>1</v>
      </c>
      <c r="L314" s="203">
        <v>1</v>
      </c>
      <c r="M314" s="203">
        <v>1</v>
      </c>
      <c r="N314" s="203">
        <v>1</v>
      </c>
      <c r="P314" s="202">
        <v>1.5399999999999885</v>
      </c>
      <c r="Q314" s="203">
        <v>1</v>
      </c>
      <c r="R314" s="203">
        <v>1</v>
      </c>
      <c r="S314" s="203">
        <v>1</v>
      </c>
      <c r="T314" s="203">
        <v>1</v>
      </c>
      <c r="U314" s="203">
        <v>1</v>
      </c>
      <c r="V314" s="203">
        <v>1</v>
      </c>
      <c r="W314" s="203">
        <v>1</v>
      </c>
      <c r="X314" s="203">
        <v>1</v>
      </c>
      <c r="Y314" s="203">
        <v>1</v>
      </c>
      <c r="Z314" s="203">
        <v>1</v>
      </c>
      <c r="AB314" s="202">
        <v>1.5399999999999885</v>
      </c>
      <c r="AC314" s="203">
        <v>1</v>
      </c>
      <c r="AD314" s="203">
        <v>1</v>
      </c>
      <c r="AE314" s="203">
        <v>1</v>
      </c>
      <c r="AF314" s="203">
        <v>1</v>
      </c>
      <c r="AG314" s="203">
        <v>1</v>
      </c>
      <c r="AH314" s="203">
        <v>1</v>
      </c>
      <c r="AI314" s="203">
        <v>1</v>
      </c>
      <c r="AJ314" s="203">
        <v>1</v>
      </c>
      <c r="AK314" s="203">
        <v>1</v>
      </c>
      <c r="AL314" s="203">
        <v>1</v>
      </c>
    </row>
    <row r="315" spans="4:38" x14ac:dyDescent="0.25">
      <c r="D315" s="202">
        <v>1.5449999999999884</v>
      </c>
      <c r="E315" s="203">
        <v>1</v>
      </c>
      <c r="F315" s="203">
        <v>1</v>
      </c>
      <c r="G315" s="203">
        <v>1</v>
      </c>
      <c r="H315" s="203">
        <v>1</v>
      </c>
      <c r="I315" s="203">
        <v>1</v>
      </c>
      <c r="J315" s="203">
        <v>1</v>
      </c>
      <c r="K315" s="203">
        <v>1</v>
      </c>
      <c r="L315" s="203">
        <v>1</v>
      </c>
      <c r="M315" s="203">
        <v>1</v>
      </c>
      <c r="N315" s="203">
        <v>1</v>
      </c>
      <c r="P315" s="202">
        <v>1.5449999999999884</v>
      </c>
      <c r="Q315" s="203">
        <v>1</v>
      </c>
      <c r="R315" s="203">
        <v>1</v>
      </c>
      <c r="S315" s="203">
        <v>1</v>
      </c>
      <c r="T315" s="203">
        <v>1</v>
      </c>
      <c r="U315" s="203">
        <v>1</v>
      </c>
      <c r="V315" s="203">
        <v>1</v>
      </c>
      <c r="W315" s="203">
        <v>1</v>
      </c>
      <c r="X315" s="203">
        <v>1</v>
      </c>
      <c r="Y315" s="203">
        <v>1</v>
      </c>
      <c r="Z315" s="203">
        <v>1</v>
      </c>
      <c r="AB315" s="202">
        <v>1.5449999999999884</v>
      </c>
      <c r="AC315" s="203">
        <v>1</v>
      </c>
      <c r="AD315" s="203">
        <v>1</v>
      </c>
      <c r="AE315" s="203">
        <v>1</v>
      </c>
      <c r="AF315" s="203">
        <v>1</v>
      </c>
      <c r="AG315" s="203">
        <v>1</v>
      </c>
      <c r="AH315" s="203">
        <v>1</v>
      </c>
      <c r="AI315" s="203">
        <v>1</v>
      </c>
      <c r="AJ315" s="203">
        <v>1</v>
      </c>
      <c r="AK315" s="203">
        <v>1</v>
      </c>
      <c r="AL315" s="203">
        <v>1</v>
      </c>
    </row>
    <row r="316" spans="4:38" x14ac:dyDescent="0.25">
      <c r="D316" s="202">
        <v>1.5499999999999883</v>
      </c>
      <c r="E316" s="203">
        <v>1</v>
      </c>
      <c r="F316" s="203">
        <v>1</v>
      </c>
      <c r="G316" s="203">
        <v>1</v>
      </c>
      <c r="H316" s="203">
        <v>1</v>
      </c>
      <c r="I316" s="203">
        <v>1</v>
      </c>
      <c r="J316" s="203">
        <v>1</v>
      </c>
      <c r="K316" s="203">
        <v>1</v>
      </c>
      <c r="L316" s="203">
        <v>1</v>
      </c>
      <c r="M316" s="203">
        <v>1</v>
      </c>
      <c r="N316" s="203">
        <v>1</v>
      </c>
      <c r="P316" s="202">
        <v>1.5499999999999883</v>
      </c>
      <c r="Q316" s="203">
        <v>1</v>
      </c>
      <c r="R316" s="203">
        <v>1</v>
      </c>
      <c r="S316" s="203">
        <v>1</v>
      </c>
      <c r="T316" s="203">
        <v>1</v>
      </c>
      <c r="U316" s="203">
        <v>1</v>
      </c>
      <c r="V316" s="203">
        <v>1</v>
      </c>
      <c r="W316" s="203">
        <v>1</v>
      </c>
      <c r="X316" s="203">
        <v>1</v>
      </c>
      <c r="Y316" s="203">
        <v>1</v>
      </c>
      <c r="Z316" s="203">
        <v>1</v>
      </c>
      <c r="AB316" s="202">
        <v>1.5499999999999883</v>
      </c>
      <c r="AC316" s="203">
        <v>1</v>
      </c>
      <c r="AD316" s="203">
        <v>1</v>
      </c>
      <c r="AE316" s="203">
        <v>1</v>
      </c>
      <c r="AF316" s="203">
        <v>1</v>
      </c>
      <c r="AG316" s="203">
        <v>1</v>
      </c>
      <c r="AH316" s="203">
        <v>1</v>
      </c>
      <c r="AI316" s="203">
        <v>1</v>
      </c>
      <c r="AJ316" s="203">
        <v>1</v>
      </c>
      <c r="AK316" s="203">
        <v>1</v>
      </c>
      <c r="AL316" s="203">
        <v>1</v>
      </c>
    </row>
    <row r="317" spans="4:38" x14ac:dyDescent="0.25">
      <c r="D317" s="202">
        <v>1.5549999999999882</v>
      </c>
      <c r="E317" s="203">
        <v>1</v>
      </c>
      <c r="F317" s="203">
        <v>1</v>
      </c>
      <c r="G317" s="203">
        <v>1</v>
      </c>
      <c r="H317" s="203">
        <v>1</v>
      </c>
      <c r="I317" s="203">
        <v>1</v>
      </c>
      <c r="J317" s="203">
        <v>1</v>
      </c>
      <c r="K317" s="203">
        <v>1</v>
      </c>
      <c r="L317" s="203">
        <v>1</v>
      </c>
      <c r="M317" s="203">
        <v>1</v>
      </c>
      <c r="N317" s="203">
        <v>1</v>
      </c>
      <c r="P317" s="202">
        <v>1.5549999999999882</v>
      </c>
      <c r="Q317" s="203">
        <v>1</v>
      </c>
      <c r="R317" s="203">
        <v>1</v>
      </c>
      <c r="S317" s="203">
        <v>1</v>
      </c>
      <c r="T317" s="203">
        <v>1</v>
      </c>
      <c r="U317" s="203">
        <v>1</v>
      </c>
      <c r="V317" s="203">
        <v>1</v>
      </c>
      <c r="W317" s="203">
        <v>1</v>
      </c>
      <c r="X317" s="203">
        <v>1</v>
      </c>
      <c r="Y317" s="203">
        <v>1</v>
      </c>
      <c r="Z317" s="203">
        <v>1</v>
      </c>
      <c r="AB317" s="202">
        <v>1.5549999999999882</v>
      </c>
      <c r="AC317" s="203">
        <v>1</v>
      </c>
      <c r="AD317" s="203">
        <v>1</v>
      </c>
      <c r="AE317" s="203">
        <v>1</v>
      </c>
      <c r="AF317" s="203">
        <v>1</v>
      </c>
      <c r="AG317" s="203">
        <v>1</v>
      </c>
      <c r="AH317" s="203">
        <v>1</v>
      </c>
      <c r="AI317" s="203">
        <v>1</v>
      </c>
      <c r="AJ317" s="203">
        <v>1</v>
      </c>
      <c r="AK317" s="203">
        <v>1</v>
      </c>
      <c r="AL317" s="203">
        <v>1</v>
      </c>
    </row>
    <row r="318" spans="4:38" x14ac:dyDescent="0.25">
      <c r="D318" s="202">
        <v>1.5599999999999881</v>
      </c>
      <c r="E318" s="203">
        <v>1</v>
      </c>
      <c r="F318" s="203">
        <v>1</v>
      </c>
      <c r="G318" s="203">
        <v>1</v>
      </c>
      <c r="H318" s="203">
        <v>1</v>
      </c>
      <c r="I318" s="203">
        <v>1</v>
      </c>
      <c r="J318" s="203">
        <v>1</v>
      </c>
      <c r="K318" s="203">
        <v>1</v>
      </c>
      <c r="L318" s="203">
        <v>1</v>
      </c>
      <c r="M318" s="203">
        <v>1</v>
      </c>
      <c r="N318" s="203">
        <v>1</v>
      </c>
      <c r="P318" s="202">
        <v>1.5599999999999881</v>
      </c>
      <c r="Q318" s="203">
        <v>1</v>
      </c>
      <c r="R318" s="203">
        <v>1</v>
      </c>
      <c r="S318" s="203">
        <v>1</v>
      </c>
      <c r="T318" s="203">
        <v>1</v>
      </c>
      <c r="U318" s="203">
        <v>1</v>
      </c>
      <c r="V318" s="203">
        <v>1</v>
      </c>
      <c r="W318" s="203">
        <v>1</v>
      </c>
      <c r="X318" s="203">
        <v>1</v>
      </c>
      <c r="Y318" s="203">
        <v>1</v>
      </c>
      <c r="Z318" s="203">
        <v>1</v>
      </c>
      <c r="AB318" s="202">
        <v>1.5599999999999881</v>
      </c>
      <c r="AC318" s="203">
        <v>1</v>
      </c>
      <c r="AD318" s="203">
        <v>1</v>
      </c>
      <c r="AE318" s="203">
        <v>1</v>
      </c>
      <c r="AF318" s="203">
        <v>1</v>
      </c>
      <c r="AG318" s="203">
        <v>1</v>
      </c>
      <c r="AH318" s="203">
        <v>1</v>
      </c>
      <c r="AI318" s="203">
        <v>1</v>
      </c>
      <c r="AJ318" s="203">
        <v>1</v>
      </c>
      <c r="AK318" s="203">
        <v>1</v>
      </c>
      <c r="AL318" s="203">
        <v>1</v>
      </c>
    </row>
    <row r="319" spans="4:38" x14ac:dyDescent="0.25">
      <c r="D319" s="202">
        <v>1.564999999999988</v>
      </c>
      <c r="E319" s="203">
        <v>1</v>
      </c>
      <c r="F319" s="203">
        <v>1</v>
      </c>
      <c r="G319" s="203">
        <v>1</v>
      </c>
      <c r="H319" s="203">
        <v>1</v>
      </c>
      <c r="I319" s="203">
        <v>1</v>
      </c>
      <c r="J319" s="203">
        <v>1</v>
      </c>
      <c r="K319" s="203">
        <v>1</v>
      </c>
      <c r="L319" s="203">
        <v>1</v>
      </c>
      <c r="M319" s="203">
        <v>1</v>
      </c>
      <c r="N319" s="203">
        <v>1</v>
      </c>
      <c r="P319" s="202">
        <v>1.564999999999988</v>
      </c>
      <c r="Q319" s="203">
        <v>1</v>
      </c>
      <c r="R319" s="203">
        <v>1</v>
      </c>
      <c r="S319" s="203">
        <v>1</v>
      </c>
      <c r="T319" s="203">
        <v>1</v>
      </c>
      <c r="U319" s="203">
        <v>1</v>
      </c>
      <c r="V319" s="203">
        <v>1</v>
      </c>
      <c r="W319" s="203">
        <v>1</v>
      </c>
      <c r="X319" s="203">
        <v>1</v>
      </c>
      <c r="Y319" s="203">
        <v>1</v>
      </c>
      <c r="Z319" s="203">
        <v>1</v>
      </c>
      <c r="AB319" s="202">
        <v>1.564999999999988</v>
      </c>
      <c r="AC319" s="203">
        <v>1</v>
      </c>
      <c r="AD319" s="203">
        <v>1</v>
      </c>
      <c r="AE319" s="203">
        <v>1</v>
      </c>
      <c r="AF319" s="203">
        <v>1</v>
      </c>
      <c r="AG319" s="203">
        <v>1</v>
      </c>
      <c r="AH319" s="203">
        <v>1</v>
      </c>
      <c r="AI319" s="203">
        <v>1</v>
      </c>
      <c r="AJ319" s="203">
        <v>1</v>
      </c>
      <c r="AK319" s="203">
        <v>1</v>
      </c>
      <c r="AL319" s="203">
        <v>1</v>
      </c>
    </row>
    <row r="320" spans="4:38" x14ac:dyDescent="0.25">
      <c r="D320" s="202">
        <v>1.5699999999999878</v>
      </c>
      <c r="E320" s="203">
        <v>1</v>
      </c>
      <c r="F320" s="203">
        <v>1</v>
      </c>
      <c r="G320" s="203">
        <v>1</v>
      </c>
      <c r="H320" s="203">
        <v>1</v>
      </c>
      <c r="I320" s="203">
        <v>1</v>
      </c>
      <c r="J320" s="203">
        <v>1</v>
      </c>
      <c r="K320" s="203">
        <v>1</v>
      </c>
      <c r="L320" s="203">
        <v>1</v>
      </c>
      <c r="M320" s="203">
        <v>1</v>
      </c>
      <c r="N320" s="203">
        <v>1</v>
      </c>
      <c r="P320" s="202">
        <v>1.5699999999999878</v>
      </c>
      <c r="Q320" s="203">
        <v>1</v>
      </c>
      <c r="R320" s="203">
        <v>1</v>
      </c>
      <c r="S320" s="203">
        <v>1</v>
      </c>
      <c r="T320" s="203">
        <v>1</v>
      </c>
      <c r="U320" s="203">
        <v>1</v>
      </c>
      <c r="V320" s="203">
        <v>1</v>
      </c>
      <c r="W320" s="203">
        <v>1</v>
      </c>
      <c r="X320" s="203">
        <v>1</v>
      </c>
      <c r="Y320" s="203">
        <v>1</v>
      </c>
      <c r="Z320" s="203">
        <v>1</v>
      </c>
      <c r="AB320" s="202">
        <v>1.5699999999999878</v>
      </c>
      <c r="AC320" s="203">
        <v>1</v>
      </c>
      <c r="AD320" s="203">
        <v>1</v>
      </c>
      <c r="AE320" s="203">
        <v>1</v>
      </c>
      <c r="AF320" s="203">
        <v>1</v>
      </c>
      <c r="AG320" s="203">
        <v>1</v>
      </c>
      <c r="AH320" s="203">
        <v>1</v>
      </c>
      <c r="AI320" s="203">
        <v>1</v>
      </c>
      <c r="AJ320" s="203">
        <v>1</v>
      </c>
      <c r="AK320" s="203">
        <v>1</v>
      </c>
      <c r="AL320" s="203">
        <v>1</v>
      </c>
    </row>
    <row r="321" spans="4:38" x14ac:dyDescent="0.25">
      <c r="D321" s="202">
        <v>1.5749999999999877</v>
      </c>
      <c r="E321" s="203">
        <v>1</v>
      </c>
      <c r="F321" s="203">
        <v>1</v>
      </c>
      <c r="G321" s="203">
        <v>1</v>
      </c>
      <c r="H321" s="203">
        <v>1</v>
      </c>
      <c r="I321" s="203">
        <v>1</v>
      </c>
      <c r="J321" s="203">
        <v>1</v>
      </c>
      <c r="K321" s="203">
        <v>1</v>
      </c>
      <c r="L321" s="203">
        <v>1</v>
      </c>
      <c r="M321" s="203">
        <v>1</v>
      </c>
      <c r="N321" s="203">
        <v>1</v>
      </c>
      <c r="P321" s="202">
        <v>1.5749999999999877</v>
      </c>
      <c r="Q321" s="203">
        <v>1</v>
      </c>
      <c r="R321" s="203">
        <v>1</v>
      </c>
      <c r="S321" s="203">
        <v>1</v>
      </c>
      <c r="T321" s="203">
        <v>1</v>
      </c>
      <c r="U321" s="203">
        <v>1</v>
      </c>
      <c r="V321" s="203">
        <v>1</v>
      </c>
      <c r="W321" s="203">
        <v>1</v>
      </c>
      <c r="X321" s="203">
        <v>1</v>
      </c>
      <c r="Y321" s="203">
        <v>1</v>
      </c>
      <c r="Z321" s="203">
        <v>1</v>
      </c>
      <c r="AB321" s="202">
        <v>1.5749999999999877</v>
      </c>
      <c r="AC321" s="203">
        <v>1</v>
      </c>
      <c r="AD321" s="203">
        <v>1</v>
      </c>
      <c r="AE321" s="203">
        <v>1</v>
      </c>
      <c r="AF321" s="203">
        <v>1</v>
      </c>
      <c r="AG321" s="203">
        <v>1</v>
      </c>
      <c r="AH321" s="203">
        <v>1</v>
      </c>
      <c r="AI321" s="203">
        <v>1</v>
      </c>
      <c r="AJ321" s="203">
        <v>1</v>
      </c>
      <c r="AK321" s="203">
        <v>1</v>
      </c>
      <c r="AL321" s="203">
        <v>1</v>
      </c>
    </row>
    <row r="322" spans="4:38" x14ac:dyDescent="0.25">
      <c r="D322" s="202">
        <v>1.5799999999999876</v>
      </c>
      <c r="E322" s="203">
        <v>1</v>
      </c>
      <c r="F322" s="203">
        <v>1</v>
      </c>
      <c r="G322" s="203">
        <v>1</v>
      </c>
      <c r="H322" s="203">
        <v>1</v>
      </c>
      <c r="I322" s="203">
        <v>1</v>
      </c>
      <c r="J322" s="203">
        <v>1</v>
      </c>
      <c r="K322" s="203">
        <v>1</v>
      </c>
      <c r="L322" s="203">
        <v>1</v>
      </c>
      <c r="M322" s="203">
        <v>1</v>
      </c>
      <c r="N322" s="203">
        <v>1</v>
      </c>
      <c r="P322" s="202">
        <v>1.5799999999999876</v>
      </c>
      <c r="Q322" s="203">
        <v>1</v>
      </c>
      <c r="R322" s="203">
        <v>1</v>
      </c>
      <c r="S322" s="203">
        <v>1</v>
      </c>
      <c r="T322" s="203">
        <v>1</v>
      </c>
      <c r="U322" s="203">
        <v>1</v>
      </c>
      <c r="V322" s="203">
        <v>1</v>
      </c>
      <c r="W322" s="203">
        <v>1</v>
      </c>
      <c r="X322" s="203">
        <v>1</v>
      </c>
      <c r="Y322" s="203">
        <v>1</v>
      </c>
      <c r="Z322" s="203">
        <v>1</v>
      </c>
      <c r="AB322" s="202">
        <v>1.5799999999999876</v>
      </c>
      <c r="AC322" s="203">
        <v>1</v>
      </c>
      <c r="AD322" s="203">
        <v>1</v>
      </c>
      <c r="AE322" s="203">
        <v>1</v>
      </c>
      <c r="AF322" s="203">
        <v>1</v>
      </c>
      <c r="AG322" s="203">
        <v>1</v>
      </c>
      <c r="AH322" s="203">
        <v>1</v>
      </c>
      <c r="AI322" s="203">
        <v>1</v>
      </c>
      <c r="AJ322" s="203">
        <v>1</v>
      </c>
      <c r="AK322" s="203">
        <v>1</v>
      </c>
      <c r="AL322" s="203">
        <v>1</v>
      </c>
    </row>
    <row r="323" spans="4:38" x14ac:dyDescent="0.25">
      <c r="D323" s="202">
        <v>1.5849999999999875</v>
      </c>
      <c r="E323" s="203">
        <v>1</v>
      </c>
      <c r="F323" s="203">
        <v>1</v>
      </c>
      <c r="G323" s="203">
        <v>1</v>
      </c>
      <c r="H323" s="203">
        <v>1</v>
      </c>
      <c r="I323" s="203">
        <v>1</v>
      </c>
      <c r="J323" s="203">
        <v>1</v>
      </c>
      <c r="K323" s="203">
        <v>1</v>
      </c>
      <c r="L323" s="203">
        <v>1</v>
      </c>
      <c r="M323" s="203">
        <v>1</v>
      </c>
      <c r="N323" s="203">
        <v>1</v>
      </c>
      <c r="P323" s="202">
        <v>1.5849999999999875</v>
      </c>
      <c r="Q323" s="203">
        <v>1</v>
      </c>
      <c r="R323" s="203">
        <v>1</v>
      </c>
      <c r="S323" s="203">
        <v>1</v>
      </c>
      <c r="T323" s="203">
        <v>1</v>
      </c>
      <c r="U323" s="203">
        <v>1</v>
      </c>
      <c r="V323" s="203">
        <v>1</v>
      </c>
      <c r="W323" s="203">
        <v>1</v>
      </c>
      <c r="X323" s="203">
        <v>1</v>
      </c>
      <c r="Y323" s="203">
        <v>1</v>
      </c>
      <c r="Z323" s="203">
        <v>1</v>
      </c>
      <c r="AB323" s="202">
        <v>1.5849999999999875</v>
      </c>
      <c r="AC323" s="203">
        <v>1</v>
      </c>
      <c r="AD323" s="203">
        <v>1</v>
      </c>
      <c r="AE323" s="203">
        <v>1</v>
      </c>
      <c r="AF323" s="203">
        <v>1</v>
      </c>
      <c r="AG323" s="203">
        <v>1</v>
      </c>
      <c r="AH323" s="203">
        <v>1</v>
      </c>
      <c r="AI323" s="203">
        <v>1</v>
      </c>
      <c r="AJ323" s="203">
        <v>1</v>
      </c>
      <c r="AK323" s="203">
        <v>1</v>
      </c>
      <c r="AL323" s="203">
        <v>1</v>
      </c>
    </row>
    <row r="324" spans="4:38" x14ac:dyDescent="0.25">
      <c r="D324" s="202">
        <v>1.5899999999999874</v>
      </c>
      <c r="E324" s="203">
        <v>1</v>
      </c>
      <c r="F324" s="203">
        <v>1</v>
      </c>
      <c r="G324" s="203">
        <v>1</v>
      </c>
      <c r="H324" s="203">
        <v>1</v>
      </c>
      <c r="I324" s="203">
        <v>1</v>
      </c>
      <c r="J324" s="203">
        <v>1</v>
      </c>
      <c r="K324" s="203">
        <v>1</v>
      </c>
      <c r="L324" s="203">
        <v>1</v>
      </c>
      <c r="M324" s="203">
        <v>1</v>
      </c>
      <c r="N324" s="203">
        <v>1</v>
      </c>
      <c r="P324" s="202">
        <v>1.5899999999999874</v>
      </c>
      <c r="Q324" s="203">
        <v>1</v>
      </c>
      <c r="R324" s="203">
        <v>1</v>
      </c>
      <c r="S324" s="203">
        <v>1</v>
      </c>
      <c r="T324" s="203">
        <v>1</v>
      </c>
      <c r="U324" s="203">
        <v>1</v>
      </c>
      <c r="V324" s="203">
        <v>1</v>
      </c>
      <c r="W324" s="203">
        <v>1</v>
      </c>
      <c r="X324" s="203">
        <v>1</v>
      </c>
      <c r="Y324" s="203">
        <v>1</v>
      </c>
      <c r="Z324" s="203">
        <v>1</v>
      </c>
      <c r="AB324" s="202">
        <v>1.5899999999999874</v>
      </c>
      <c r="AC324" s="203">
        <v>1</v>
      </c>
      <c r="AD324" s="203">
        <v>1</v>
      </c>
      <c r="AE324" s="203">
        <v>1</v>
      </c>
      <c r="AF324" s="203">
        <v>1</v>
      </c>
      <c r="AG324" s="203">
        <v>1</v>
      </c>
      <c r="AH324" s="203">
        <v>1</v>
      </c>
      <c r="AI324" s="203">
        <v>1</v>
      </c>
      <c r="AJ324" s="203">
        <v>1</v>
      </c>
      <c r="AK324" s="203">
        <v>1</v>
      </c>
      <c r="AL324" s="203">
        <v>1</v>
      </c>
    </row>
    <row r="325" spans="4:38" x14ac:dyDescent="0.25">
      <c r="D325" s="202">
        <v>1.5949999999999873</v>
      </c>
      <c r="E325" s="203">
        <v>1</v>
      </c>
      <c r="F325" s="203">
        <v>1</v>
      </c>
      <c r="G325" s="203">
        <v>1</v>
      </c>
      <c r="H325" s="203">
        <v>1</v>
      </c>
      <c r="I325" s="203">
        <v>1</v>
      </c>
      <c r="J325" s="203">
        <v>1</v>
      </c>
      <c r="K325" s="203">
        <v>1</v>
      </c>
      <c r="L325" s="203">
        <v>1</v>
      </c>
      <c r="M325" s="203">
        <v>1</v>
      </c>
      <c r="N325" s="203">
        <v>1</v>
      </c>
      <c r="P325" s="202">
        <v>1.5949999999999873</v>
      </c>
      <c r="Q325" s="203">
        <v>1</v>
      </c>
      <c r="R325" s="203">
        <v>1</v>
      </c>
      <c r="S325" s="203">
        <v>1</v>
      </c>
      <c r="T325" s="203">
        <v>1</v>
      </c>
      <c r="U325" s="203">
        <v>1</v>
      </c>
      <c r="V325" s="203">
        <v>1</v>
      </c>
      <c r="W325" s="203">
        <v>1</v>
      </c>
      <c r="X325" s="203">
        <v>1</v>
      </c>
      <c r="Y325" s="203">
        <v>1</v>
      </c>
      <c r="Z325" s="203">
        <v>1</v>
      </c>
      <c r="AB325" s="202">
        <v>1.5949999999999873</v>
      </c>
      <c r="AC325" s="203">
        <v>1</v>
      </c>
      <c r="AD325" s="203">
        <v>1</v>
      </c>
      <c r="AE325" s="203">
        <v>1</v>
      </c>
      <c r="AF325" s="203">
        <v>1</v>
      </c>
      <c r="AG325" s="203">
        <v>1</v>
      </c>
      <c r="AH325" s="203">
        <v>1</v>
      </c>
      <c r="AI325" s="203">
        <v>1</v>
      </c>
      <c r="AJ325" s="203">
        <v>1</v>
      </c>
      <c r="AK325" s="203">
        <v>1</v>
      </c>
      <c r="AL325" s="203">
        <v>1</v>
      </c>
    </row>
    <row r="326" spans="4:38" x14ac:dyDescent="0.25">
      <c r="D326" s="202">
        <v>1.5999999999999872</v>
      </c>
      <c r="E326" s="203">
        <v>1</v>
      </c>
      <c r="F326" s="203">
        <v>1</v>
      </c>
      <c r="G326" s="203">
        <v>1</v>
      </c>
      <c r="H326" s="203">
        <v>1</v>
      </c>
      <c r="I326" s="203">
        <v>1</v>
      </c>
      <c r="J326" s="203">
        <v>1</v>
      </c>
      <c r="K326" s="203">
        <v>1</v>
      </c>
      <c r="L326" s="203">
        <v>1</v>
      </c>
      <c r="M326" s="203">
        <v>1</v>
      </c>
      <c r="N326" s="203">
        <v>1</v>
      </c>
      <c r="P326" s="202">
        <v>1.5999999999999872</v>
      </c>
      <c r="Q326" s="203">
        <v>1</v>
      </c>
      <c r="R326" s="203">
        <v>1</v>
      </c>
      <c r="S326" s="203">
        <v>1</v>
      </c>
      <c r="T326" s="203">
        <v>1</v>
      </c>
      <c r="U326" s="203">
        <v>1</v>
      </c>
      <c r="V326" s="203">
        <v>1</v>
      </c>
      <c r="W326" s="203">
        <v>1</v>
      </c>
      <c r="X326" s="203">
        <v>1</v>
      </c>
      <c r="Y326" s="203">
        <v>1</v>
      </c>
      <c r="Z326" s="203">
        <v>1</v>
      </c>
      <c r="AB326" s="202">
        <v>1.5999999999999872</v>
      </c>
      <c r="AC326" s="203">
        <v>1</v>
      </c>
      <c r="AD326" s="203">
        <v>1</v>
      </c>
      <c r="AE326" s="203">
        <v>1</v>
      </c>
      <c r="AF326" s="203">
        <v>1</v>
      </c>
      <c r="AG326" s="203">
        <v>1</v>
      </c>
      <c r="AH326" s="203">
        <v>1</v>
      </c>
      <c r="AI326" s="203">
        <v>1</v>
      </c>
      <c r="AJ326" s="203">
        <v>1</v>
      </c>
      <c r="AK326" s="203">
        <v>1</v>
      </c>
      <c r="AL326" s="203">
        <v>1</v>
      </c>
    </row>
    <row r="327" spans="4:38" x14ac:dyDescent="0.25">
      <c r="D327" s="202">
        <v>1.6049999999999871</v>
      </c>
      <c r="E327" s="203">
        <v>1</v>
      </c>
      <c r="F327" s="203">
        <v>1</v>
      </c>
      <c r="G327" s="203">
        <v>1</v>
      </c>
      <c r="H327" s="203">
        <v>1</v>
      </c>
      <c r="I327" s="203">
        <v>1</v>
      </c>
      <c r="J327" s="203">
        <v>1</v>
      </c>
      <c r="K327" s="203">
        <v>1</v>
      </c>
      <c r="L327" s="203">
        <v>1</v>
      </c>
      <c r="M327" s="203">
        <v>1</v>
      </c>
      <c r="N327" s="203">
        <v>1</v>
      </c>
      <c r="P327" s="202">
        <v>1.6049999999999871</v>
      </c>
      <c r="Q327" s="203">
        <v>1</v>
      </c>
      <c r="R327" s="203">
        <v>1</v>
      </c>
      <c r="S327" s="203">
        <v>1</v>
      </c>
      <c r="T327" s="203">
        <v>1</v>
      </c>
      <c r="U327" s="203">
        <v>1</v>
      </c>
      <c r="V327" s="203">
        <v>1</v>
      </c>
      <c r="W327" s="203">
        <v>1</v>
      </c>
      <c r="X327" s="203">
        <v>1</v>
      </c>
      <c r="Y327" s="203">
        <v>1</v>
      </c>
      <c r="Z327" s="203">
        <v>1</v>
      </c>
      <c r="AB327" s="202">
        <v>1.6049999999999871</v>
      </c>
      <c r="AC327" s="203">
        <v>1</v>
      </c>
      <c r="AD327" s="203">
        <v>1</v>
      </c>
      <c r="AE327" s="203">
        <v>1</v>
      </c>
      <c r="AF327" s="203">
        <v>1</v>
      </c>
      <c r="AG327" s="203">
        <v>1</v>
      </c>
      <c r="AH327" s="203">
        <v>1</v>
      </c>
      <c r="AI327" s="203">
        <v>1</v>
      </c>
      <c r="AJ327" s="203">
        <v>1</v>
      </c>
      <c r="AK327" s="203">
        <v>1</v>
      </c>
      <c r="AL327" s="203">
        <v>1</v>
      </c>
    </row>
    <row r="328" spans="4:38" x14ac:dyDescent="0.25">
      <c r="D328" s="202">
        <v>1.609999999999987</v>
      </c>
      <c r="E328" s="203">
        <v>1</v>
      </c>
      <c r="F328" s="203">
        <v>1</v>
      </c>
      <c r="G328" s="203">
        <v>1</v>
      </c>
      <c r="H328" s="203">
        <v>1</v>
      </c>
      <c r="I328" s="203">
        <v>1</v>
      </c>
      <c r="J328" s="203">
        <v>1</v>
      </c>
      <c r="K328" s="203">
        <v>1</v>
      </c>
      <c r="L328" s="203">
        <v>1</v>
      </c>
      <c r="M328" s="203">
        <v>1</v>
      </c>
      <c r="N328" s="203">
        <v>1</v>
      </c>
      <c r="P328" s="202">
        <v>1.609999999999987</v>
      </c>
      <c r="Q328" s="203">
        <v>1</v>
      </c>
      <c r="R328" s="203">
        <v>1</v>
      </c>
      <c r="S328" s="203">
        <v>1</v>
      </c>
      <c r="T328" s="203">
        <v>1</v>
      </c>
      <c r="U328" s="203">
        <v>1</v>
      </c>
      <c r="V328" s="203">
        <v>1</v>
      </c>
      <c r="W328" s="203">
        <v>1</v>
      </c>
      <c r="X328" s="203">
        <v>1</v>
      </c>
      <c r="Y328" s="203">
        <v>1</v>
      </c>
      <c r="Z328" s="203">
        <v>1</v>
      </c>
      <c r="AB328" s="202">
        <v>1.609999999999987</v>
      </c>
      <c r="AC328" s="203">
        <v>1</v>
      </c>
      <c r="AD328" s="203">
        <v>1</v>
      </c>
      <c r="AE328" s="203">
        <v>1</v>
      </c>
      <c r="AF328" s="203">
        <v>1</v>
      </c>
      <c r="AG328" s="203">
        <v>1</v>
      </c>
      <c r="AH328" s="203">
        <v>1</v>
      </c>
      <c r="AI328" s="203">
        <v>1</v>
      </c>
      <c r="AJ328" s="203">
        <v>1</v>
      </c>
      <c r="AK328" s="203">
        <v>1</v>
      </c>
      <c r="AL328" s="203">
        <v>1</v>
      </c>
    </row>
    <row r="329" spans="4:38" x14ac:dyDescent="0.25">
      <c r="D329" s="202">
        <v>1.6149999999999869</v>
      </c>
      <c r="E329" s="203">
        <v>1</v>
      </c>
      <c r="F329" s="203">
        <v>1</v>
      </c>
      <c r="G329" s="203">
        <v>1</v>
      </c>
      <c r="H329" s="203">
        <v>1</v>
      </c>
      <c r="I329" s="203">
        <v>1</v>
      </c>
      <c r="J329" s="203">
        <v>1</v>
      </c>
      <c r="K329" s="203">
        <v>1</v>
      </c>
      <c r="L329" s="203">
        <v>1</v>
      </c>
      <c r="M329" s="203">
        <v>1</v>
      </c>
      <c r="N329" s="203">
        <v>1</v>
      </c>
      <c r="P329" s="202">
        <v>1.6149999999999869</v>
      </c>
      <c r="Q329" s="203">
        <v>1</v>
      </c>
      <c r="R329" s="203">
        <v>1</v>
      </c>
      <c r="S329" s="203">
        <v>1</v>
      </c>
      <c r="T329" s="203">
        <v>1</v>
      </c>
      <c r="U329" s="203">
        <v>1</v>
      </c>
      <c r="V329" s="203">
        <v>1</v>
      </c>
      <c r="W329" s="203">
        <v>1</v>
      </c>
      <c r="X329" s="203">
        <v>1</v>
      </c>
      <c r="Y329" s="203">
        <v>1</v>
      </c>
      <c r="Z329" s="203">
        <v>1</v>
      </c>
      <c r="AB329" s="202">
        <v>1.6149999999999869</v>
      </c>
      <c r="AC329" s="203">
        <v>1</v>
      </c>
      <c r="AD329" s="203">
        <v>1</v>
      </c>
      <c r="AE329" s="203">
        <v>1</v>
      </c>
      <c r="AF329" s="203">
        <v>1</v>
      </c>
      <c r="AG329" s="203">
        <v>1</v>
      </c>
      <c r="AH329" s="203">
        <v>1</v>
      </c>
      <c r="AI329" s="203">
        <v>1</v>
      </c>
      <c r="AJ329" s="203">
        <v>1</v>
      </c>
      <c r="AK329" s="203">
        <v>1</v>
      </c>
      <c r="AL329" s="203">
        <v>1</v>
      </c>
    </row>
    <row r="330" spans="4:38" x14ac:dyDescent="0.25">
      <c r="D330" s="202">
        <v>1.6199999999999868</v>
      </c>
      <c r="E330" s="203">
        <v>1</v>
      </c>
      <c r="F330" s="203">
        <v>1</v>
      </c>
      <c r="G330" s="203">
        <v>1</v>
      </c>
      <c r="H330" s="203">
        <v>1</v>
      </c>
      <c r="I330" s="203">
        <v>1</v>
      </c>
      <c r="J330" s="203">
        <v>1</v>
      </c>
      <c r="K330" s="203">
        <v>1</v>
      </c>
      <c r="L330" s="203">
        <v>1</v>
      </c>
      <c r="M330" s="203">
        <v>1</v>
      </c>
      <c r="N330" s="203">
        <v>1</v>
      </c>
      <c r="P330" s="202">
        <v>1.6199999999999868</v>
      </c>
      <c r="Q330" s="203">
        <v>1</v>
      </c>
      <c r="R330" s="203">
        <v>1</v>
      </c>
      <c r="S330" s="203">
        <v>1</v>
      </c>
      <c r="T330" s="203">
        <v>1</v>
      </c>
      <c r="U330" s="203">
        <v>1</v>
      </c>
      <c r="V330" s="203">
        <v>1</v>
      </c>
      <c r="W330" s="203">
        <v>1</v>
      </c>
      <c r="X330" s="203">
        <v>1</v>
      </c>
      <c r="Y330" s="203">
        <v>1</v>
      </c>
      <c r="Z330" s="203">
        <v>1</v>
      </c>
      <c r="AB330" s="202">
        <v>1.6199999999999868</v>
      </c>
      <c r="AC330" s="203">
        <v>1</v>
      </c>
      <c r="AD330" s="203">
        <v>1</v>
      </c>
      <c r="AE330" s="203">
        <v>1</v>
      </c>
      <c r="AF330" s="203">
        <v>1</v>
      </c>
      <c r="AG330" s="203">
        <v>1</v>
      </c>
      <c r="AH330" s="203">
        <v>1</v>
      </c>
      <c r="AI330" s="203">
        <v>1</v>
      </c>
      <c r="AJ330" s="203">
        <v>1</v>
      </c>
      <c r="AK330" s="203">
        <v>1</v>
      </c>
      <c r="AL330" s="203">
        <v>1</v>
      </c>
    </row>
    <row r="331" spans="4:38" x14ac:dyDescent="0.25">
      <c r="D331" s="202">
        <v>1.6249999999999867</v>
      </c>
      <c r="E331" s="203">
        <v>1</v>
      </c>
      <c r="F331" s="203">
        <v>1</v>
      </c>
      <c r="G331" s="203">
        <v>1</v>
      </c>
      <c r="H331" s="203">
        <v>1</v>
      </c>
      <c r="I331" s="203">
        <v>1</v>
      </c>
      <c r="J331" s="203">
        <v>1</v>
      </c>
      <c r="K331" s="203">
        <v>1</v>
      </c>
      <c r="L331" s="203">
        <v>1</v>
      </c>
      <c r="M331" s="203">
        <v>1</v>
      </c>
      <c r="N331" s="203">
        <v>1</v>
      </c>
      <c r="P331" s="202">
        <v>1.6249999999999867</v>
      </c>
      <c r="Q331" s="203">
        <v>1</v>
      </c>
      <c r="R331" s="203">
        <v>1</v>
      </c>
      <c r="S331" s="203">
        <v>1</v>
      </c>
      <c r="T331" s="203">
        <v>1</v>
      </c>
      <c r="U331" s="203">
        <v>1</v>
      </c>
      <c r="V331" s="203">
        <v>1</v>
      </c>
      <c r="W331" s="203">
        <v>1</v>
      </c>
      <c r="X331" s="203">
        <v>1</v>
      </c>
      <c r="Y331" s="203">
        <v>1</v>
      </c>
      <c r="Z331" s="203">
        <v>1</v>
      </c>
      <c r="AB331" s="202">
        <v>1.6249999999999867</v>
      </c>
      <c r="AC331" s="203">
        <v>1</v>
      </c>
      <c r="AD331" s="203">
        <v>1</v>
      </c>
      <c r="AE331" s="203">
        <v>1</v>
      </c>
      <c r="AF331" s="203">
        <v>1</v>
      </c>
      <c r="AG331" s="203">
        <v>1</v>
      </c>
      <c r="AH331" s="203">
        <v>1</v>
      </c>
      <c r="AI331" s="203">
        <v>1</v>
      </c>
      <c r="AJ331" s="203">
        <v>1</v>
      </c>
      <c r="AK331" s="203">
        <v>1</v>
      </c>
      <c r="AL331" s="203">
        <v>1</v>
      </c>
    </row>
    <row r="332" spans="4:38" x14ac:dyDescent="0.25">
      <c r="D332" s="202">
        <v>1.6299999999999866</v>
      </c>
      <c r="E332" s="203">
        <v>1</v>
      </c>
      <c r="F332" s="203">
        <v>1</v>
      </c>
      <c r="G332" s="203">
        <v>1</v>
      </c>
      <c r="H332" s="203">
        <v>1</v>
      </c>
      <c r="I332" s="203">
        <v>1</v>
      </c>
      <c r="J332" s="203">
        <v>1</v>
      </c>
      <c r="K332" s="203">
        <v>1</v>
      </c>
      <c r="L332" s="203">
        <v>1</v>
      </c>
      <c r="M332" s="203">
        <v>1</v>
      </c>
      <c r="N332" s="203">
        <v>1</v>
      </c>
      <c r="P332" s="202">
        <v>1.6299999999999866</v>
      </c>
      <c r="Q332" s="203">
        <v>1</v>
      </c>
      <c r="R332" s="203">
        <v>1</v>
      </c>
      <c r="S332" s="203">
        <v>1</v>
      </c>
      <c r="T332" s="203">
        <v>1</v>
      </c>
      <c r="U332" s="203">
        <v>1</v>
      </c>
      <c r="V332" s="203">
        <v>1</v>
      </c>
      <c r="W332" s="203">
        <v>1</v>
      </c>
      <c r="X332" s="203">
        <v>1</v>
      </c>
      <c r="Y332" s="203">
        <v>1</v>
      </c>
      <c r="Z332" s="203">
        <v>1</v>
      </c>
      <c r="AB332" s="202">
        <v>1.6299999999999866</v>
      </c>
      <c r="AC332" s="203">
        <v>1</v>
      </c>
      <c r="AD332" s="203">
        <v>1</v>
      </c>
      <c r="AE332" s="203">
        <v>1</v>
      </c>
      <c r="AF332" s="203">
        <v>1</v>
      </c>
      <c r="AG332" s="203">
        <v>1</v>
      </c>
      <c r="AH332" s="203">
        <v>1</v>
      </c>
      <c r="AI332" s="203">
        <v>1</v>
      </c>
      <c r="AJ332" s="203">
        <v>1</v>
      </c>
      <c r="AK332" s="203">
        <v>1</v>
      </c>
      <c r="AL332" s="203">
        <v>1</v>
      </c>
    </row>
    <row r="333" spans="4:38" x14ac:dyDescent="0.25">
      <c r="D333" s="202">
        <v>1.6349999999999865</v>
      </c>
      <c r="E333" s="203">
        <v>1</v>
      </c>
      <c r="F333" s="203">
        <v>1</v>
      </c>
      <c r="G333" s="203">
        <v>1</v>
      </c>
      <c r="H333" s="203">
        <v>1</v>
      </c>
      <c r="I333" s="203">
        <v>1</v>
      </c>
      <c r="J333" s="203">
        <v>1</v>
      </c>
      <c r="K333" s="203">
        <v>1</v>
      </c>
      <c r="L333" s="203">
        <v>1</v>
      </c>
      <c r="M333" s="203">
        <v>1</v>
      </c>
      <c r="N333" s="203">
        <v>1</v>
      </c>
      <c r="P333" s="202">
        <v>1.6349999999999865</v>
      </c>
      <c r="Q333" s="203">
        <v>1</v>
      </c>
      <c r="R333" s="203">
        <v>1</v>
      </c>
      <c r="S333" s="203">
        <v>1</v>
      </c>
      <c r="T333" s="203">
        <v>1</v>
      </c>
      <c r="U333" s="203">
        <v>1</v>
      </c>
      <c r="V333" s="203">
        <v>1</v>
      </c>
      <c r="W333" s="203">
        <v>1</v>
      </c>
      <c r="X333" s="203">
        <v>1</v>
      </c>
      <c r="Y333" s="203">
        <v>1</v>
      </c>
      <c r="Z333" s="203">
        <v>1</v>
      </c>
      <c r="AB333" s="202">
        <v>1.6349999999999865</v>
      </c>
      <c r="AC333" s="203">
        <v>1</v>
      </c>
      <c r="AD333" s="203">
        <v>1</v>
      </c>
      <c r="AE333" s="203">
        <v>1</v>
      </c>
      <c r="AF333" s="203">
        <v>1</v>
      </c>
      <c r="AG333" s="203">
        <v>1</v>
      </c>
      <c r="AH333" s="203">
        <v>1</v>
      </c>
      <c r="AI333" s="203">
        <v>1</v>
      </c>
      <c r="AJ333" s="203">
        <v>1</v>
      </c>
      <c r="AK333" s="203">
        <v>1</v>
      </c>
      <c r="AL333" s="203">
        <v>1</v>
      </c>
    </row>
    <row r="334" spans="4:38" x14ac:dyDescent="0.25">
      <c r="D334" s="202">
        <v>1.6399999999999864</v>
      </c>
      <c r="E334" s="203">
        <v>1</v>
      </c>
      <c r="F334" s="203">
        <v>1</v>
      </c>
      <c r="G334" s="203">
        <v>1</v>
      </c>
      <c r="H334" s="203">
        <v>1</v>
      </c>
      <c r="I334" s="203">
        <v>1</v>
      </c>
      <c r="J334" s="203">
        <v>1</v>
      </c>
      <c r="K334" s="203">
        <v>1</v>
      </c>
      <c r="L334" s="203">
        <v>1</v>
      </c>
      <c r="M334" s="203">
        <v>1</v>
      </c>
      <c r="N334" s="203">
        <v>1</v>
      </c>
      <c r="P334" s="202">
        <v>1.6399999999999864</v>
      </c>
      <c r="Q334" s="203">
        <v>1</v>
      </c>
      <c r="R334" s="203">
        <v>1</v>
      </c>
      <c r="S334" s="203">
        <v>1</v>
      </c>
      <c r="T334" s="203">
        <v>1</v>
      </c>
      <c r="U334" s="203">
        <v>1</v>
      </c>
      <c r="V334" s="203">
        <v>1</v>
      </c>
      <c r="W334" s="203">
        <v>1</v>
      </c>
      <c r="X334" s="203">
        <v>1</v>
      </c>
      <c r="Y334" s="203">
        <v>1</v>
      </c>
      <c r="Z334" s="203">
        <v>1</v>
      </c>
      <c r="AB334" s="202">
        <v>1.6399999999999864</v>
      </c>
      <c r="AC334" s="203">
        <v>1</v>
      </c>
      <c r="AD334" s="203">
        <v>1</v>
      </c>
      <c r="AE334" s="203">
        <v>1</v>
      </c>
      <c r="AF334" s="203">
        <v>1</v>
      </c>
      <c r="AG334" s="203">
        <v>1</v>
      </c>
      <c r="AH334" s="203">
        <v>1</v>
      </c>
      <c r="AI334" s="203">
        <v>1</v>
      </c>
      <c r="AJ334" s="203">
        <v>1</v>
      </c>
      <c r="AK334" s="203">
        <v>1</v>
      </c>
      <c r="AL334" s="203">
        <v>1</v>
      </c>
    </row>
    <row r="335" spans="4:38" x14ac:dyDescent="0.25">
      <c r="D335" s="202">
        <v>1.6449999999999863</v>
      </c>
      <c r="E335" s="203">
        <v>1</v>
      </c>
      <c r="F335" s="203">
        <v>1</v>
      </c>
      <c r="G335" s="203">
        <v>1</v>
      </c>
      <c r="H335" s="203">
        <v>1</v>
      </c>
      <c r="I335" s="203">
        <v>1</v>
      </c>
      <c r="J335" s="203">
        <v>1</v>
      </c>
      <c r="K335" s="203">
        <v>1</v>
      </c>
      <c r="L335" s="203">
        <v>1</v>
      </c>
      <c r="M335" s="203">
        <v>1</v>
      </c>
      <c r="N335" s="203">
        <v>1</v>
      </c>
      <c r="P335" s="202">
        <v>1.6449999999999863</v>
      </c>
      <c r="Q335" s="203">
        <v>1</v>
      </c>
      <c r="R335" s="203">
        <v>1</v>
      </c>
      <c r="S335" s="203">
        <v>1</v>
      </c>
      <c r="T335" s="203">
        <v>1</v>
      </c>
      <c r="U335" s="203">
        <v>1</v>
      </c>
      <c r="V335" s="203">
        <v>1</v>
      </c>
      <c r="W335" s="203">
        <v>1</v>
      </c>
      <c r="X335" s="203">
        <v>1</v>
      </c>
      <c r="Y335" s="203">
        <v>1</v>
      </c>
      <c r="Z335" s="203">
        <v>1</v>
      </c>
      <c r="AB335" s="202">
        <v>1.6449999999999863</v>
      </c>
      <c r="AC335" s="203">
        <v>1</v>
      </c>
      <c r="AD335" s="203">
        <v>1</v>
      </c>
      <c r="AE335" s="203">
        <v>1</v>
      </c>
      <c r="AF335" s="203">
        <v>1</v>
      </c>
      <c r="AG335" s="203">
        <v>1</v>
      </c>
      <c r="AH335" s="203">
        <v>1</v>
      </c>
      <c r="AI335" s="203">
        <v>1</v>
      </c>
      <c r="AJ335" s="203">
        <v>1</v>
      </c>
      <c r="AK335" s="203">
        <v>1</v>
      </c>
      <c r="AL335" s="203">
        <v>1</v>
      </c>
    </row>
    <row r="336" spans="4:38" x14ac:dyDescent="0.25">
      <c r="D336" s="202">
        <v>1.6499999999999861</v>
      </c>
      <c r="E336" s="203">
        <v>1</v>
      </c>
      <c r="F336" s="203">
        <v>1</v>
      </c>
      <c r="G336" s="203">
        <v>1</v>
      </c>
      <c r="H336" s="203">
        <v>1</v>
      </c>
      <c r="I336" s="203">
        <v>1</v>
      </c>
      <c r="J336" s="203">
        <v>1</v>
      </c>
      <c r="K336" s="203">
        <v>1</v>
      </c>
      <c r="L336" s="203">
        <v>1</v>
      </c>
      <c r="M336" s="203">
        <v>1</v>
      </c>
      <c r="N336" s="203">
        <v>1</v>
      </c>
      <c r="P336" s="202">
        <v>1.6499999999999861</v>
      </c>
      <c r="Q336" s="203">
        <v>1</v>
      </c>
      <c r="R336" s="203">
        <v>1</v>
      </c>
      <c r="S336" s="203">
        <v>1</v>
      </c>
      <c r="T336" s="203">
        <v>1</v>
      </c>
      <c r="U336" s="203">
        <v>1</v>
      </c>
      <c r="V336" s="203">
        <v>1</v>
      </c>
      <c r="W336" s="203">
        <v>1</v>
      </c>
      <c r="X336" s="203">
        <v>1</v>
      </c>
      <c r="Y336" s="203">
        <v>1</v>
      </c>
      <c r="Z336" s="203">
        <v>1</v>
      </c>
      <c r="AB336" s="202">
        <v>1.6499999999999861</v>
      </c>
      <c r="AC336" s="203">
        <v>1</v>
      </c>
      <c r="AD336" s="203">
        <v>1</v>
      </c>
      <c r="AE336" s="203">
        <v>1</v>
      </c>
      <c r="AF336" s="203">
        <v>1</v>
      </c>
      <c r="AG336" s="203">
        <v>1</v>
      </c>
      <c r="AH336" s="203">
        <v>1</v>
      </c>
      <c r="AI336" s="203">
        <v>1</v>
      </c>
      <c r="AJ336" s="203">
        <v>1</v>
      </c>
      <c r="AK336" s="203">
        <v>1</v>
      </c>
      <c r="AL336" s="203">
        <v>1</v>
      </c>
    </row>
    <row r="337" spans="4:38" x14ac:dyDescent="0.25">
      <c r="D337" s="202">
        <v>1.654999999999986</v>
      </c>
      <c r="E337" s="203">
        <v>1</v>
      </c>
      <c r="F337" s="203">
        <v>1</v>
      </c>
      <c r="G337" s="203">
        <v>1</v>
      </c>
      <c r="H337" s="203">
        <v>1</v>
      </c>
      <c r="I337" s="203">
        <v>1</v>
      </c>
      <c r="J337" s="203">
        <v>1</v>
      </c>
      <c r="K337" s="203">
        <v>1</v>
      </c>
      <c r="L337" s="203">
        <v>1</v>
      </c>
      <c r="M337" s="203">
        <v>1</v>
      </c>
      <c r="N337" s="203">
        <v>1</v>
      </c>
      <c r="P337" s="202">
        <v>1.654999999999986</v>
      </c>
      <c r="Q337" s="203">
        <v>1</v>
      </c>
      <c r="R337" s="203">
        <v>1</v>
      </c>
      <c r="S337" s="203">
        <v>1</v>
      </c>
      <c r="T337" s="203">
        <v>1</v>
      </c>
      <c r="U337" s="203">
        <v>1</v>
      </c>
      <c r="V337" s="203">
        <v>1</v>
      </c>
      <c r="W337" s="203">
        <v>1</v>
      </c>
      <c r="X337" s="203">
        <v>1</v>
      </c>
      <c r="Y337" s="203">
        <v>1</v>
      </c>
      <c r="Z337" s="203">
        <v>1</v>
      </c>
      <c r="AB337" s="202">
        <v>1.654999999999986</v>
      </c>
      <c r="AC337" s="203">
        <v>1</v>
      </c>
      <c r="AD337" s="203">
        <v>1</v>
      </c>
      <c r="AE337" s="203">
        <v>1</v>
      </c>
      <c r="AF337" s="203">
        <v>1</v>
      </c>
      <c r="AG337" s="203">
        <v>1</v>
      </c>
      <c r="AH337" s="203">
        <v>1</v>
      </c>
      <c r="AI337" s="203">
        <v>1</v>
      </c>
      <c r="AJ337" s="203">
        <v>1</v>
      </c>
      <c r="AK337" s="203">
        <v>1</v>
      </c>
      <c r="AL337" s="203">
        <v>1</v>
      </c>
    </row>
    <row r="338" spans="4:38" x14ac:dyDescent="0.25">
      <c r="D338" s="202">
        <v>1.6599999999999859</v>
      </c>
      <c r="E338" s="203">
        <v>1</v>
      </c>
      <c r="F338" s="203">
        <v>1</v>
      </c>
      <c r="G338" s="203">
        <v>1</v>
      </c>
      <c r="H338" s="203">
        <v>1</v>
      </c>
      <c r="I338" s="203">
        <v>1</v>
      </c>
      <c r="J338" s="203">
        <v>1</v>
      </c>
      <c r="K338" s="203">
        <v>1</v>
      </c>
      <c r="L338" s="203">
        <v>1</v>
      </c>
      <c r="M338" s="203">
        <v>1</v>
      </c>
      <c r="N338" s="203">
        <v>1</v>
      </c>
      <c r="P338" s="202">
        <v>1.6599999999999859</v>
      </c>
      <c r="Q338" s="203">
        <v>1</v>
      </c>
      <c r="R338" s="203">
        <v>1</v>
      </c>
      <c r="S338" s="203">
        <v>1</v>
      </c>
      <c r="T338" s="203">
        <v>1</v>
      </c>
      <c r="U338" s="203">
        <v>1</v>
      </c>
      <c r="V338" s="203">
        <v>1</v>
      </c>
      <c r="W338" s="203">
        <v>1</v>
      </c>
      <c r="X338" s="203">
        <v>1</v>
      </c>
      <c r="Y338" s="203">
        <v>1</v>
      </c>
      <c r="Z338" s="203">
        <v>1</v>
      </c>
      <c r="AB338" s="202">
        <v>1.6599999999999859</v>
      </c>
      <c r="AC338" s="203">
        <v>1</v>
      </c>
      <c r="AD338" s="203">
        <v>1</v>
      </c>
      <c r="AE338" s="203">
        <v>1</v>
      </c>
      <c r="AF338" s="203">
        <v>1</v>
      </c>
      <c r="AG338" s="203">
        <v>1</v>
      </c>
      <c r="AH338" s="203">
        <v>1</v>
      </c>
      <c r="AI338" s="203">
        <v>1</v>
      </c>
      <c r="AJ338" s="203">
        <v>1</v>
      </c>
      <c r="AK338" s="203">
        <v>1</v>
      </c>
      <c r="AL338" s="203">
        <v>1</v>
      </c>
    </row>
    <row r="339" spans="4:38" x14ac:dyDescent="0.25">
      <c r="D339" s="202">
        <v>1.6649999999999858</v>
      </c>
      <c r="E339" s="203">
        <v>1</v>
      </c>
      <c r="F339" s="203">
        <v>1</v>
      </c>
      <c r="G339" s="203">
        <v>1</v>
      </c>
      <c r="H339" s="203">
        <v>1</v>
      </c>
      <c r="I339" s="203">
        <v>1</v>
      </c>
      <c r="J339" s="203">
        <v>1</v>
      </c>
      <c r="K339" s="203">
        <v>1</v>
      </c>
      <c r="L339" s="203">
        <v>1</v>
      </c>
      <c r="M339" s="203">
        <v>1</v>
      </c>
      <c r="N339" s="203">
        <v>1</v>
      </c>
      <c r="P339" s="202">
        <v>1.6649999999999858</v>
      </c>
      <c r="Q339" s="203">
        <v>1</v>
      </c>
      <c r="R339" s="203">
        <v>1</v>
      </c>
      <c r="S339" s="203">
        <v>1</v>
      </c>
      <c r="T339" s="203">
        <v>1</v>
      </c>
      <c r="U339" s="203">
        <v>1</v>
      </c>
      <c r="V339" s="203">
        <v>1</v>
      </c>
      <c r="W339" s="203">
        <v>1</v>
      </c>
      <c r="X339" s="203">
        <v>1</v>
      </c>
      <c r="Y339" s="203">
        <v>1</v>
      </c>
      <c r="Z339" s="203">
        <v>1</v>
      </c>
      <c r="AB339" s="202">
        <v>1.6649999999999858</v>
      </c>
      <c r="AC339" s="203">
        <v>1</v>
      </c>
      <c r="AD339" s="203">
        <v>1</v>
      </c>
      <c r="AE339" s="203">
        <v>1</v>
      </c>
      <c r="AF339" s="203">
        <v>1</v>
      </c>
      <c r="AG339" s="203">
        <v>1</v>
      </c>
      <c r="AH339" s="203">
        <v>1</v>
      </c>
      <c r="AI339" s="203">
        <v>1</v>
      </c>
      <c r="AJ339" s="203">
        <v>1</v>
      </c>
      <c r="AK339" s="203">
        <v>1</v>
      </c>
      <c r="AL339" s="203">
        <v>1</v>
      </c>
    </row>
    <row r="340" spans="4:38" x14ac:dyDescent="0.25">
      <c r="D340" s="202">
        <v>1.6699999999999857</v>
      </c>
      <c r="E340" s="203">
        <v>1</v>
      </c>
      <c r="F340" s="203">
        <v>1</v>
      </c>
      <c r="G340" s="203">
        <v>1</v>
      </c>
      <c r="H340" s="203">
        <v>1</v>
      </c>
      <c r="I340" s="203">
        <v>1</v>
      </c>
      <c r="J340" s="203">
        <v>1</v>
      </c>
      <c r="K340" s="203">
        <v>1</v>
      </c>
      <c r="L340" s="203">
        <v>1</v>
      </c>
      <c r="M340" s="203">
        <v>1</v>
      </c>
      <c r="N340" s="203">
        <v>1</v>
      </c>
      <c r="P340" s="202">
        <v>1.6699999999999857</v>
      </c>
      <c r="Q340" s="203">
        <v>1</v>
      </c>
      <c r="R340" s="203">
        <v>1</v>
      </c>
      <c r="S340" s="203">
        <v>1</v>
      </c>
      <c r="T340" s="203">
        <v>1</v>
      </c>
      <c r="U340" s="203">
        <v>1</v>
      </c>
      <c r="V340" s="203">
        <v>1</v>
      </c>
      <c r="W340" s="203">
        <v>1</v>
      </c>
      <c r="X340" s="203">
        <v>1</v>
      </c>
      <c r="Y340" s="203">
        <v>1</v>
      </c>
      <c r="Z340" s="203">
        <v>1</v>
      </c>
      <c r="AB340" s="202">
        <v>1.6699999999999857</v>
      </c>
      <c r="AC340" s="203">
        <v>1</v>
      </c>
      <c r="AD340" s="203">
        <v>1</v>
      </c>
      <c r="AE340" s="203">
        <v>1</v>
      </c>
      <c r="AF340" s="203">
        <v>1</v>
      </c>
      <c r="AG340" s="203">
        <v>1</v>
      </c>
      <c r="AH340" s="203">
        <v>1</v>
      </c>
      <c r="AI340" s="203">
        <v>1</v>
      </c>
      <c r="AJ340" s="203">
        <v>1</v>
      </c>
      <c r="AK340" s="203">
        <v>1</v>
      </c>
      <c r="AL340" s="203">
        <v>1</v>
      </c>
    </row>
    <row r="341" spans="4:38" x14ac:dyDescent="0.25">
      <c r="D341" s="202">
        <v>1.6749999999999856</v>
      </c>
      <c r="E341" s="203">
        <v>1</v>
      </c>
      <c r="F341" s="203">
        <v>1</v>
      </c>
      <c r="G341" s="203">
        <v>1</v>
      </c>
      <c r="H341" s="203">
        <v>1</v>
      </c>
      <c r="I341" s="203">
        <v>1</v>
      </c>
      <c r="J341" s="203">
        <v>1</v>
      </c>
      <c r="K341" s="203">
        <v>1</v>
      </c>
      <c r="L341" s="203">
        <v>1</v>
      </c>
      <c r="M341" s="203">
        <v>1</v>
      </c>
      <c r="N341" s="203">
        <v>1</v>
      </c>
      <c r="P341" s="202">
        <v>1.6749999999999856</v>
      </c>
      <c r="Q341" s="203">
        <v>1</v>
      </c>
      <c r="R341" s="203">
        <v>1</v>
      </c>
      <c r="S341" s="203">
        <v>1</v>
      </c>
      <c r="T341" s="203">
        <v>1</v>
      </c>
      <c r="U341" s="203">
        <v>1</v>
      </c>
      <c r="V341" s="203">
        <v>1</v>
      </c>
      <c r="W341" s="203">
        <v>1</v>
      </c>
      <c r="X341" s="203">
        <v>1</v>
      </c>
      <c r="Y341" s="203">
        <v>1</v>
      </c>
      <c r="Z341" s="203">
        <v>1</v>
      </c>
      <c r="AB341" s="202">
        <v>1.6749999999999856</v>
      </c>
      <c r="AC341" s="203">
        <v>1</v>
      </c>
      <c r="AD341" s="203">
        <v>1</v>
      </c>
      <c r="AE341" s="203">
        <v>1</v>
      </c>
      <c r="AF341" s="203">
        <v>1</v>
      </c>
      <c r="AG341" s="203">
        <v>1</v>
      </c>
      <c r="AH341" s="203">
        <v>1</v>
      </c>
      <c r="AI341" s="203">
        <v>1</v>
      </c>
      <c r="AJ341" s="203">
        <v>1</v>
      </c>
      <c r="AK341" s="203">
        <v>1</v>
      </c>
      <c r="AL341" s="203">
        <v>1</v>
      </c>
    </row>
    <row r="342" spans="4:38" x14ac:dyDescent="0.25">
      <c r="D342" s="202">
        <v>1.6799999999999855</v>
      </c>
      <c r="E342" s="203">
        <v>1</v>
      </c>
      <c r="F342" s="203">
        <v>1</v>
      </c>
      <c r="G342" s="203">
        <v>1</v>
      </c>
      <c r="H342" s="203">
        <v>1</v>
      </c>
      <c r="I342" s="203">
        <v>1</v>
      </c>
      <c r="J342" s="203">
        <v>1</v>
      </c>
      <c r="K342" s="203">
        <v>1</v>
      </c>
      <c r="L342" s="203">
        <v>1</v>
      </c>
      <c r="M342" s="203">
        <v>1</v>
      </c>
      <c r="N342" s="203">
        <v>1</v>
      </c>
      <c r="P342" s="202">
        <v>1.6799999999999855</v>
      </c>
      <c r="Q342" s="203">
        <v>1</v>
      </c>
      <c r="R342" s="203">
        <v>1</v>
      </c>
      <c r="S342" s="203">
        <v>1</v>
      </c>
      <c r="T342" s="203">
        <v>1</v>
      </c>
      <c r="U342" s="203">
        <v>1</v>
      </c>
      <c r="V342" s="203">
        <v>1</v>
      </c>
      <c r="W342" s="203">
        <v>1</v>
      </c>
      <c r="X342" s="203">
        <v>1</v>
      </c>
      <c r="Y342" s="203">
        <v>1</v>
      </c>
      <c r="Z342" s="203">
        <v>1</v>
      </c>
      <c r="AB342" s="202">
        <v>1.6799999999999855</v>
      </c>
      <c r="AC342" s="203">
        <v>1</v>
      </c>
      <c r="AD342" s="203">
        <v>1</v>
      </c>
      <c r="AE342" s="203">
        <v>1</v>
      </c>
      <c r="AF342" s="203">
        <v>1</v>
      </c>
      <c r="AG342" s="203">
        <v>1</v>
      </c>
      <c r="AH342" s="203">
        <v>1</v>
      </c>
      <c r="AI342" s="203">
        <v>1</v>
      </c>
      <c r="AJ342" s="203">
        <v>1</v>
      </c>
      <c r="AK342" s="203">
        <v>1</v>
      </c>
      <c r="AL342" s="203">
        <v>1</v>
      </c>
    </row>
    <row r="343" spans="4:38" x14ac:dyDescent="0.25">
      <c r="D343" s="202">
        <v>1.6849999999999854</v>
      </c>
      <c r="E343" s="203">
        <v>1</v>
      </c>
      <c r="F343" s="203">
        <v>1</v>
      </c>
      <c r="G343" s="203">
        <v>1</v>
      </c>
      <c r="H343" s="203">
        <v>1</v>
      </c>
      <c r="I343" s="203">
        <v>1</v>
      </c>
      <c r="J343" s="203">
        <v>1</v>
      </c>
      <c r="K343" s="203">
        <v>1</v>
      </c>
      <c r="L343" s="203">
        <v>1</v>
      </c>
      <c r="M343" s="203">
        <v>1</v>
      </c>
      <c r="N343" s="203">
        <v>1</v>
      </c>
      <c r="P343" s="202">
        <v>1.6849999999999854</v>
      </c>
      <c r="Q343" s="203">
        <v>1</v>
      </c>
      <c r="R343" s="203">
        <v>1</v>
      </c>
      <c r="S343" s="203">
        <v>1</v>
      </c>
      <c r="T343" s="203">
        <v>1</v>
      </c>
      <c r="U343" s="203">
        <v>1</v>
      </c>
      <c r="V343" s="203">
        <v>1</v>
      </c>
      <c r="W343" s="203">
        <v>1</v>
      </c>
      <c r="X343" s="203">
        <v>1</v>
      </c>
      <c r="Y343" s="203">
        <v>1</v>
      </c>
      <c r="Z343" s="203">
        <v>1</v>
      </c>
      <c r="AB343" s="202">
        <v>1.6849999999999854</v>
      </c>
      <c r="AC343" s="203">
        <v>1</v>
      </c>
      <c r="AD343" s="203">
        <v>1</v>
      </c>
      <c r="AE343" s="203">
        <v>1</v>
      </c>
      <c r="AF343" s="203">
        <v>1</v>
      </c>
      <c r="AG343" s="203">
        <v>1</v>
      </c>
      <c r="AH343" s="203">
        <v>1</v>
      </c>
      <c r="AI343" s="203">
        <v>1</v>
      </c>
      <c r="AJ343" s="203">
        <v>1</v>
      </c>
      <c r="AK343" s="203">
        <v>1</v>
      </c>
      <c r="AL343" s="203">
        <v>1</v>
      </c>
    </row>
    <row r="344" spans="4:38" x14ac:dyDescent="0.25">
      <c r="D344" s="202">
        <v>1.6899999999999853</v>
      </c>
      <c r="E344" s="203">
        <v>1</v>
      </c>
      <c r="F344" s="203">
        <v>1</v>
      </c>
      <c r="G344" s="203">
        <v>1</v>
      </c>
      <c r="H344" s="203">
        <v>1</v>
      </c>
      <c r="I344" s="203">
        <v>1</v>
      </c>
      <c r="J344" s="203">
        <v>1</v>
      </c>
      <c r="K344" s="203">
        <v>1</v>
      </c>
      <c r="L344" s="203">
        <v>1</v>
      </c>
      <c r="M344" s="203">
        <v>1</v>
      </c>
      <c r="N344" s="203">
        <v>1</v>
      </c>
      <c r="P344" s="202">
        <v>1.6899999999999853</v>
      </c>
      <c r="Q344" s="203">
        <v>1</v>
      </c>
      <c r="R344" s="203">
        <v>1</v>
      </c>
      <c r="S344" s="203">
        <v>1</v>
      </c>
      <c r="T344" s="203">
        <v>1</v>
      </c>
      <c r="U344" s="203">
        <v>1</v>
      </c>
      <c r="V344" s="203">
        <v>1</v>
      </c>
      <c r="W344" s="203">
        <v>1</v>
      </c>
      <c r="X344" s="203">
        <v>1</v>
      </c>
      <c r="Y344" s="203">
        <v>1</v>
      </c>
      <c r="Z344" s="203">
        <v>1</v>
      </c>
      <c r="AB344" s="202">
        <v>1.6899999999999853</v>
      </c>
      <c r="AC344" s="203">
        <v>1</v>
      </c>
      <c r="AD344" s="203">
        <v>1</v>
      </c>
      <c r="AE344" s="203">
        <v>1</v>
      </c>
      <c r="AF344" s="203">
        <v>1</v>
      </c>
      <c r="AG344" s="203">
        <v>1</v>
      </c>
      <c r="AH344" s="203">
        <v>1</v>
      </c>
      <c r="AI344" s="203">
        <v>1</v>
      </c>
      <c r="AJ344" s="203">
        <v>1</v>
      </c>
      <c r="AK344" s="203">
        <v>1</v>
      </c>
      <c r="AL344" s="203">
        <v>1</v>
      </c>
    </row>
    <row r="345" spans="4:38" x14ac:dyDescent="0.25">
      <c r="D345" s="202">
        <v>1.6949999999999852</v>
      </c>
      <c r="E345" s="203">
        <v>1</v>
      </c>
      <c r="F345" s="203">
        <v>1</v>
      </c>
      <c r="G345" s="203">
        <v>1</v>
      </c>
      <c r="H345" s="203">
        <v>1</v>
      </c>
      <c r="I345" s="203">
        <v>1</v>
      </c>
      <c r="J345" s="203">
        <v>1</v>
      </c>
      <c r="K345" s="203">
        <v>1</v>
      </c>
      <c r="L345" s="203">
        <v>1</v>
      </c>
      <c r="M345" s="203">
        <v>1</v>
      </c>
      <c r="N345" s="203">
        <v>1</v>
      </c>
      <c r="P345" s="202">
        <v>1.6949999999999852</v>
      </c>
      <c r="Q345" s="203">
        <v>1</v>
      </c>
      <c r="R345" s="203">
        <v>1</v>
      </c>
      <c r="S345" s="203">
        <v>1</v>
      </c>
      <c r="T345" s="203">
        <v>1</v>
      </c>
      <c r="U345" s="203">
        <v>1</v>
      </c>
      <c r="V345" s="203">
        <v>1</v>
      </c>
      <c r="W345" s="203">
        <v>1</v>
      </c>
      <c r="X345" s="203">
        <v>1</v>
      </c>
      <c r="Y345" s="203">
        <v>1</v>
      </c>
      <c r="Z345" s="203">
        <v>1</v>
      </c>
      <c r="AB345" s="202">
        <v>1.6949999999999852</v>
      </c>
      <c r="AC345" s="203">
        <v>1</v>
      </c>
      <c r="AD345" s="203">
        <v>1</v>
      </c>
      <c r="AE345" s="203">
        <v>1</v>
      </c>
      <c r="AF345" s="203">
        <v>1</v>
      </c>
      <c r="AG345" s="203">
        <v>1</v>
      </c>
      <c r="AH345" s="203">
        <v>1</v>
      </c>
      <c r="AI345" s="203">
        <v>1</v>
      </c>
      <c r="AJ345" s="203">
        <v>1</v>
      </c>
      <c r="AK345" s="203">
        <v>1</v>
      </c>
      <c r="AL345" s="203">
        <v>1</v>
      </c>
    </row>
    <row r="346" spans="4:38" x14ac:dyDescent="0.25">
      <c r="D346" s="202">
        <v>1.6999999999999851</v>
      </c>
      <c r="E346" s="203">
        <v>1</v>
      </c>
      <c r="F346" s="203">
        <v>1</v>
      </c>
      <c r="G346" s="203">
        <v>1</v>
      </c>
      <c r="H346" s="203">
        <v>1</v>
      </c>
      <c r="I346" s="203">
        <v>1</v>
      </c>
      <c r="J346" s="203">
        <v>1</v>
      </c>
      <c r="K346" s="203">
        <v>1</v>
      </c>
      <c r="L346" s="203">
        <v>1</v>
      </c>
      <c r="M346" s="203">
        <v>1</v>
      </c>
      <c r="N346" s="203">
        <v>1</v>
      </c>
      <c r="P346" s="202">
        <v>1.6999999999999851</v>
      </c>
      <c r="Q346" s="203">
        <v>1</v>
      </c>
      <c r="R346" s="203">
        <v>1</v>
      </c>
      <c r="S346" s="203">
        <v>1</v>
      </c>
      <c r="T346" s="203">
        <v>1</v>
      </c>
      <c r="U346" s="203">
        <v>1</v>
      </c>
      <c r="V346" s="203">
        <v>1</v>
      </c>
      <c r="W346" s="203">
        <v>1</v>
      </c>
      <c r="X346" s="203">
        <v>1</v>
      </c>
      <c r="Y346" s="203">
        <v>1</v>
      </c>
      <c r="Z346" s="203">
        <v>1</v>
      </c>
      <c r="AB346" s="202">
        <v>1.6999999999999851</v>
      </c>
      <c r="AC346" s="203">
        <v>1</v>
      </c>
      <c r="AD346" s="203">
        <v>1</v>
      </c>
      <c r="AE346" s="203">
        <v>1</v>
      </c>
      <c r="AF346" s="203">
        <v>1</v>
      </c>
      <c r="AG346" s="203">
        <v>1</v>
      </c>
      <c r="AH346" s="203">
        <v>1</v>
      </c>
      <c r="AI346" s="203">
        <v>1</v>
      </c>
      <c r="AJ346" s="203">
        <v>1</v>
      </c>
      <c r="AK346" s="203">
        <v>1</v>
      </c>
      <c r="AL346" s="203">
        <v>1</v>
      </c>
    </row>
    <row r="347" spans="4:38" x14ac:dyDescent="0.25">
      <c r="D347" s="202">
        <v>1.704999999999985</v>
      </c>
      <c r="E347" s="203">
        <v>1</v>
      </c>
      <c r="F347" s="203">
        <v>1</v>
      </c>
      <c r="G347" s="203">
        <v>1</v>
      </c>
      <c r="H347" s="203">
        <v>1</v>
      </c>
      <c r="I347" s="203">
        <v>1</v>
      </c>
      <c r="J347" s="203">
        <v>1</v>
      </c>
      <c r="K347" s="203">
        <v>1</v>
      </c>
      <c r="L347" s="203">
        <v>1</v>
      </c>
      <c r="M347" s="203">
        <v>1</v>
      </c>
      <c r="N347" s="203">
        <v>1</v>
      </c>
      <c r="P347" s="202">
        <v>1.704999999999985</v>
      </c>
      <c r="Q347" s="203">
        <v>1</v>
      </c>
      <c r="R347" s="203">
        <v>1</v>
      </c>
      <c r="S347" s="203">
        <v>1</v>
      </c>
      <c r="T347" s="203">
        <v>1</v>
      </c>
      <c r="U347" s="203">
        <v>1</v>
      </c>
      <c r="V347" s="203">
        <v>1</v>
      </c>
      <c r="W347" s="203">
        <v>1</v>
      </c>
      <c r="X347" s="203">
        <v>1</v>
      </c>
      <c r="Y347" s="203">
        <v>1</v>
      </c>
      <c r="Z347" s="203">
        <v>1</v>
      </c>
      <c r="AB347" s="202">
        <v>1.704999999999985</v>
      </c>
      <c r="AC347" s="203">
        <v>1</v>
      </c>
      <c r="AD347" s="203">
        <v>1</v>
      </c>
      <c r="AE347" s="203">
        <v>1</v>
      </c>
      <c r="AF347" s="203">
        <v>1</v>
      </c>
      <c r="AG347" s="203">
        <v>1</v>
      </c>
      <c r="AH347" s="203">
        <v>1</v>
      </c>
      <c r="AI347" s="203">
        <v>1</v>
      </c>
      <c r="AJ347" s="203">
        <v>1</v>
      </c>
      <c r="AK347" s="203">
        <v>1</v>
      </c>
      <c r="AL347" s="203">
        <v>1</v>
      </c>
    </row>
    <row r="348" spans="4:38" x14ac:dyDescent="0.25">
      <c r="D348" s="202">
        <v>1.7099999999999849</v>
      </c>
      <c r="E348" s="203">
        <v>1</v>
      </c>
      <c r="F348" s="203">
        <v>1</v>
      </c>
      <c r="G348" s="203">
        <v>1</v>
      </c>
      <c r="H348" s="203">
        <v>1</v>
      </c>
      <c r="I348" s="203">
        <v>1</v>
      </c>
      <c r="J348" s="203">
        <v>1</v>
      </c>
      <c r="K348" s="203">
        <v>1</v>
      </c>
      <c r="L348" s="203">
        <v>1</v>
      </c>
      <c r="M348" s="203">
        <v>1</v>
      </c>
      <c r="N348" s="203">
        <v>1</v>
      </c>
      <c r="P348" s="202">
        <v>1.7099999999999849</v>
      </c>
      <c r="Q348" s="203">
        <v>1</v>
      </c>
      <c r="R348" s="203">
        <v>1</v>
      </c>
      <c r="S348" s="203">
        <v>1</v>
      </c>
      <c r="T348" s="203">
        <v>1</v>
      </c>
      <c r="U348" s="203">
        <v>1</v>
      </c>
      <c r="V348" s="203">
        <v>1</v>
      </c>
      <c r="W348" s="203">
        <v>1</v>
      </c>
      <c r="X348" s="203">
        <v>1</v>
      </c>
      <c r="Y348" s="203">
        <v>1</v>
      </c>
      <c r="Z348" s="203">
        <v>1</v>
      </c>
      <c r="AB348" s="202">
        <v>1.7099999999999849</v>
      </c>
      <c r="AC348" s="203">
        <v>1</v>
      </c>
      <c r="AD348" s="203">
        <v>1</v>
      </c>
      <c r="AE348" s="203">
        <v>1</v>
      </c>
      <c r="AF348" s="203">
        <v>1</v>
      </c>
      <c r="AG348" s="203">
        <v>1</v>
      </c>
      <c r="AH348" s="203">
        <v>1</v>
      </c>
      <c r="AI348" s="203">
        <v>1</v>
      </c>
      <c r="AJ348" s="203">
        <v>1</v>
      </c>
      <c r="AK348" s="203">
        <v>1</v>
      </c>
      <c r="AL348" s="203">
        <v>1</v>
      </c>
    </row>
    <row r="349" spans="4:38" x14ac:dyDescent="0.25">
      <c r="D349" s="202">
        <v>1.7149999999999848</v>
      </c>
      <c r="E349" s="203">
        <v>1</v>
      </c>
      <c r="F349" s="203">
        <v>1</v>
      </c>
      <c r="G349" s="203">
        <v>1</v>
      </c>
      <c r="H349" s="203">
        <v>1</v>
      </c>
      <c r="I349" s="203">
        <v>1</v>
      </c>
      <c r="J349" s="203">
        <v>1</v>
      </c>
      <c r="K349" s="203">
        <v>1</v>
      </c>
      <c r="L349" s="203">
        <v>1</v>
      </c>
      <c r="M349" s="203">
        <v>1</v>
      </c>
      <c r="N349" s="203">
        <v>1</v>
      </c>
      <c r="P349" s="202">
        <v>1.7149999999999848</v>
      </c>
      <c r="Q349" s="203">
        <v>1</v>
      </c>
      <c r="R349" s="203">
        <v>1</v>
      </c>
      <c r="S349" s="203">
        <v>1</v>
      </c>
      <c r="T349" s="203">
        <v>1</v>
      </c>
      <c r="U349" s="203">
        <v>1</v>
      </c>
      <c r="V349" s="203">
        <v>1</v>
      </c>
      <c r="W349" s="203">
        <v>1</v>
      </c>
      <c r="X349" s="203">
        <v>1</v>
      </c>
      <c r="Y349" s="203">
        <v>1</v>
      </c>
      <c r="Z349" s="203">
        <v>1</v>
      </c>
      <c r="AB349" s="202">
        <v>1.7149999999999848</v>
      </c>
      <c r="AC349" s="203">
        <v>1</v>
      </c>
      <c r="AD349" s="203">
        <v>1</v>
      </c>
      <c r="AE349" s="203">
        <v>1</v>
      </c>
      <c r="AF349" s="203">
        <v>1</v>
      </c>
      <c r="AG349" s="203">
        <v>1</v>
      </c>
      <c r="AH349" s="203">
        <v>1</v>
      </c>
      <c r="AI349" s="203">
        <v>1</v>
      </c>
      <c r="AJ349" s="203">
        <v>1</v>
      </c>
      <c r="AK349" s="203">
        <v>1</v>
      </c>
      <c r="AL349" s="203">
        <v>1</v>
      </c>
    </row>
    <row r="350" spans="4:38" x14ac:dyDescent="0.25">
      <c r="D350" s="202">
        <v>1.7199999999999847</v>
      </c>
      <c r="E350" s="203">
        <v>1</v>
      </c>
      <c r="F350" s="203">
        <v>1</v>
      </c>
      <c r="G350" s="203">
        <v>1</v>
      </c>
      <c r="H350" s="203">
        <v>1</v>
      </c>
      <c r="I350" s="203">
        <v>1</v>
      </c>
      <c r="J350" s="203">
        <v>1</v>
      </c>
      <c r="K350" s="203">
        <v>1</v>
      </c>
      <c r="L350" s="203">
        <v>1</v>
      </c>
      <c r="M350" s="203">
        <v>1</v>
      </c>
      <c r="N350" s="203">
        <v>1</v>
      </c>
      <c r="P350" s="202">
        <v>1.7199999999999847</v>
      </c>
      <c r="Q350" s="203">
        <v>1</v>
      </c>
      <c r="R350" s="203">
        <v>1</v>
      </c>
      <c r="S350" s="203">
        <v>1</v>
      </c>
      <c r="T350" s="203">
        <v>1</v>
      </c>
      <c r="U350" s="203">
        <v>1</v>
      </c>
      <c r="V350" s="203">
        <v>1</v>
      </c>
      <c r="W350" s="203">
        <v>1</v>
      </c>
      <c r="X350" s="203">
        <v>1</v>
      </c>
      <c r="Y350" s="203">
        <v>1</v>
      </c>
      <c r="Z350" s="203">
        <v>1</v>
      </c>
      <c r="AB350" s="202">
        <v>1.7199999999999847</v>
      </c>
      <c r="AC350" s="203">
        <v>1</v>
      </c>
      <c r="AD350" s="203">
        <v>1</v>
      </c>
      <c r="AE350" s="203">
        <v>1</v>
      </c>
      <c r="AF350" s="203">
        <v>1</v>
      </c>
      <c r="AG350" s="203">
        <v>1</v>
      </c>
      <c r="AH350" s="203">
        <v>1</v>
      </c>
      <c r="AI350" s="203">
        <v>1</v>
      </c>
      <c r="AJ350" s="203">
        <v>1</v>
      </c>
      <c r="AK350" s="203">
        <v>1</v>
      </c>
      <c r="AL350" s="203">
        <v>1</v>
      </c>
    </row>
    <row r="351" spans="4:38" x14ac:dyDescent="0.25">
      <c r="D351" s="202">
        <v>1.7249999999999845</v>
      </c>
      <c r="E351" s="203">
        <v>1</v>
      </c>
      <c r="F351" s="203">
        <v>1</v>
      </c>
      <c r="G351" s="203">
        <v>1</v>
      </c>
      <c r="H351" s="203">
        <v>1</v>
      </c>
      <c r="I351" s="203">
        <v>1</v>
      </c>
      <c r="J351" s="203">
        <v>1</v>
      </c>
      <c r="K351" s="203">
        <v>1</v>
      </c>
      <c r="L351" s="203">
        <v>1</v>
      </c>
      <c r="M351" s="203">
        <v>1</v>
      </c>
      <c r="N351" s="203">
        <v>1</v>
      </c>
      <c r="P351" s="202">
        <v>1.7249999999999845</v>
      </c>
      <c r="Q351" s="203">
        <v>1</v>
      </c>
      <c r="R351" s="203">
        <v>1</v>
      </c>
      <c r="S351" s="203">
        <v>1</v>
      </c>
      <c r="T351" s="203">
        <v>1</v>
      </c>
      <c r="U351" s="203">
        <v>1</v>
      </c>
      <c r="V351" s="203">
        <v>1</v>
      </c>
      <c r="W351" s="203">
        <v>1</v>
      </c>
      <c r="X351" s="203">
        <v>1</v>
      </c>
      <c r="Y351" s="203">
        <v>1</v>
      </c>
      <c r="Z351" s="203">
        <v>1</v>
      </c>
      <c r="AB351" s="202">
        <v>1.7249999999999845</v>
      </c>
      <c r="AC351" s="203">
        <v>1</v>
      </c>
      <c r="AD351" s="203">
        <v>1</v>
      </c>
      <c r="AE351" s="203">
        <v>1</v>
      </c>
      <c r="AF351" s="203">
        <v>1</v>
      </c>
      <c r="AG351" s="203">
        <v>1</v>
      </c>
      <c r="AH351" s="203">
        <v>1</v>
      </c>
      <c r="AI351" s="203">
        <v>1</v>
      </c>
      <c r="AJ351" s="203">
        <v>1</v>
      </c>
      <c r="AK351" s="203">
        <v>1</v>
      </c>
      <c r="AL351" s="203">
        <v>1</v>
      </c>
    </row>
    <row r="352" spans="4:38" x14ac:dyDescent="0.25">
      <c r="D352" s="202">
        <v>1.7299999999999844</v>
      </c>
      <c r="E352" s="203">
        <v>1</v>
      </c>
      <c r="F352" s="203">
        <v>1</v>
      </c>
      <c r="G352" s="203">
        <v>1</v>
      </c>
      <c r="H352" s="203">
        <v>1</v>
      </c>
      <c r="I352" s="203">
        <v>1</v>
      </c>
      <c r="J352" s="203">
        <v>1</v>
      </c>
      <c r="K352" s="203">
        <v>1</v>
      </c>
      <c r="L352" s="203">
        <v>1</v>
      </c>
      <c r="M352" s="203">
        <v>1</v>
      </c>
      <c r="N352" s="203">
        <v>1</v>
      </c>
      <c r="P352" s="202">
        <v>1.7299999999999844</v>
      </c>
      <c r="Q352" s="203">
        <v>1</v>
      </c>
      <c r="R352" s="203">
        <v>1</v>
      </c>
      <c r="S352" s="203">
        <v>1</v>
      </c>
      <c r="T352" s="203">
        <v>1</v>
      </c>
      <c r="U352" s="203">
        <v>1</v>
      </c>
      <c r="V352" s="203">
        <v>1</v>
      </c>
      <c r="W352" s="203">
        <v>1</v>
      </c>
      <c r="X352" s="203">
        <v>1</v>
      </c>
      <c r="Y352" s="203">
        <v>1</v>
      </c>
      <c r="Z352" s="203">
        <v>1</v>
      </c>
      <c r="AB352" s="202">
        <v>1.7299999999999844</v>
      </c>
      <c r="AC352" s="203">
        <v>1</v>
      </c>
      <c r="AD352" s="203">
        <v>1</v>
      </c>
      <c r="AE352" s="203">
        <v>1</v>
      </c>
      <c r="AF352" s="203">
        <v>1</v>
      </c>
      <c r="AG352" s="203">
        <v>1</v>
      </c>
      <c r="AH352" s="203">
        <v>1</v>
      </c>
      <c r="AI352" s="203">
        <v>1</v>
      </c>
      <c r="AJ352" s="203">
        <v>1</v>
      </c>
      <c r="AK352" s="203">
        <v>1</v>
      </c>
      <c r="AL352" s="203">
        <v>1</v>
      </c>
    </row>
    <row r="353" spans="4:38" x14ac:dyDescent="0.25">
      <c r="D353" s="202">
        <v>1.7349999999999843</v>
      </c>
      <c r="E353" s="203">
        <v>1</v>
      </c>
      <c r="F353" s="203">
        <v>1</v>
      </c>
      <c r="G353" s="203">
        <v>1</v>
      </c>
      <c r="H353" s="203">
        <v>1</v>
      </c>
      <c r="I353" s="203">
        <v>1</v>
      </c>
      <c r="J353" s="203">
        <v>1</v>
      </c>
      <c r="K353" s="203">
        <v>1</v>
      </c>
      <c r="L353" s="203">
        <v>1</v>
      </c>
      <c r="M353" s="203">
        <v>1</v>
      </c>
      <c r="N353" s="203">
        <v>1</v>
      </c>
      <c r="P353" s="202">
        <v>1.7349999999999843</v>
      </c>
      <c r="Q353" s="203">
        <v>1</v>
      </c>
      <c r="R353" s="203">
        <v>1</v>
      </c>
      <c r="S353" s="203">
        <v>1</v>
      </c>
      <c r="T353" s="203">
        <v>1</v>
      </c>
      <c r="U353" s="203">
        <v>1</v>
      </c>
      <c r="V353" s="203">
        <v>1</v>
      </c>
      <c r="W353" s="203">
        <v>1</v>
      </c>
      <c r="X353" s="203">
        <v>1</v>
      </c>
      <c r="Y353" s="203">
        <v>1</v>
      </c>
      <c r="Z353" s="203">
        <v>1</v>
      </c>
      <c r="AB353" s="202">
        <v>1.7349999999999843</v>
      </c>
      <c r="AC353" s="203">
        <v>1</v>
      </c>
      <c r="AD353" s="203">
        <v>1</v>
      </c>
      <c r="AE353" s="203">
        <v>1</v>
      </c>
      <c r="AF353" s="203">
        <v>1</v>
      </c>
      <c r="AG353" s="203">
        <v>1</v>
      </c>
      <c r="AH353" s="203">
        <v>1</v>
      </c>
      <c r="AI353" s="203">
        <v>1</v>
      </c>
      <c r="AJ353" s="203">
        <v>1</v>
      </c>
      <c r="AK353" s="203">
        <v>1</v>
      </c>
      <c r="AL353" s="203">
        <v>1</v>
      </c>
    </row>
    <row r="354" spans="4:38" x14ac:dyDescent="0.25">
      <c r="D354" s="202">
        <v>1.7399999999999842</v>
      </c>
      <c r="E354" s="203">
        <v>1</v>
      </c>
      <c r="F354" s="203">
        <v>1</v>
      </c>
      <c r="G354" s="203">
        <v>1</v>
      </c>
      <c r="H354" s="203">
        <v>1</v>
      </c>
      <c r="I354" s="203">
        <v>1</v>
      </c>
      <c r="J354" s="203">
        <v>1</v>
      </c>
      <c r="K354" s="203">
        <v>1</v>
      </c>
      <c r="L354" s="203">
        <v>1</v>
      </c>
      <c r="M354" s="203">
        <v>1</v>
      </c>
      <c r="N354" s="203">
        <v>1</v>
      </c>
      <c r="P354" s="202">
        <v>1.7399999999999842</v>
      </c>
      <c r="Q354" s="203">
        <v>1</v>
      </c>
      <c r="R354" s="203">
        <v>1</v>
      </c>
      <c r="S354" s="203">
        <v>1</v>
      </c>
      <c r="T354" s="203">
        <v>1</v>
      </c>
      <c r="U354" s="203">
        <v>1</v>
      </c>
      <c r="V354" s="203">
        <v>1</v>
      </c>
      <c r="W354" s="203">
        <v>1</v>
      </c>
      <c r="X354" s="203">
        <v>1</v>
      </c>
      <c r="Y354" s="203">
        <v>1</v>
      </c>
      <c r="Z354" s="203">
        <v>1</v>
      </c>
      <c r="AB354" s="202">
        <v>1.7399999999999842</v>
      </c>
      <c r="AC354" s="203">
        <v>1</v>
      </c>
      <c r="AD354" s="203">
        <v>1</v>
      </c>
      <c r="AE354" s="203">
        <v>1</v>
      </c>
      <c r="AF354" s="203">
        <v>1</v>
      </c>
      <c r="AG354" s="203">
        <v>1</v>
      </c>
      <c r="AH354" s="203">
        <v>1</v>
      </c>
      <c r="AI354" s="203">
        <v>1</v>
      </c>
      <c r="AJ354" s="203">
        <v>1</v>
      </c>
      <c r="AK354" s="203">
        <v>1</v>
      </c>
      <c r="AL354" s="203">
        <v>1</v>
      </c>
    </row>
    <row r="355" spans="4:38" x14ac:dyDescent="0.25">
      <c r="D355" s="202">
        <v>1.7449999999999841</v>
      </c>
      <c r="E355" s="203">
        <v>1</v>
      </c>
      <c r="F355" s="203">
        <v>1</v>
      </c>
      <c r="G355" s="203">
        <v>1</v>
      </c>
      <c r="H355" s="203">
        <v>1</v>
      </c>
      <c r="I355" s="203">
        <v>1</v>
      </c>
      <c r="J355" s="203">
        <v>1</v>
      </c>
      <c r="K355" s="203">
        <v>1</v>
      </c>
      <c r="L355" s="203">
        <v>1</v>
      </c>
      <c r="M355" s="203">
        <v>1</v>
      </c>
      <c r="N355" s="203">
        <v>1</v>
      </c>
      <c r="P355" s="202">
        <v>1.7449999999999841</v>
      </c>
      <c r="Q355" s="203">
        <v>1</v>
      </c>
      <c r="R355" s="203">
        <v>1</v>
      </c>
      <c r="S355" s="203">
        <v>1</v>
      </c>
      <c r="T355" s="203">
        <v>1</v>
      </c>
      <c r="U355" s="203">
        <v>1</v>
      </c>
      <c r="V355" s="203">
        <v>1</v>
      </c>
      <c r="W355" s="203">
        <v>1</v>
      </c>
      <c r="X355" s="203">
        <v>1</v>
      </c>
      <c r="Y355" s="203">
        <v>1</v>
      </c>
      <c r="Z355" s="203">
        <v>1</v>
      </c>
      <c r="AB355" s="202">
        <v>1.7449999999999841</v>
      </c>
      <c r="AC355" s="203">
        <v>1</v>
      </c>
      <c r="AD355" s="203">
        <v>1</v>
      </c>
      <c r="AE355" s="203">
        <v>1</v>
      </c>
      <c r="AF355" s="203">
        <v>1</v>
      </c>
      <c r="AG355" s="203">
        <v>1</v>
      </c>
      <c r="AH355" s="203">
        <v>1</v>
      </c>
      <c r="AI355" s="203">
        <v>1</v>
      </c>
      <c r="AJ355" s="203">
        <v>1</v>
      </c>
      <c r="AK355" s="203">
        <v>1</v>
      </c>
      <c r="AL355" s="203">
        <v>1</v>
      </c>
    </row>
    <row r="356" spans="4:38" x14ac:dyDescent="0.25">
      <c r="D356" s="202">
        <v>1.749999999999984</v>
      </c>
      <c r="E356" s="203">
        <v>1</v>
      </c>
      <c r="F356" s="203">
        <v>1</v>
      </c>
      <c r="G356" s="203">
        <v>1</v>
      </c>
      <c r="H356" s="203">
        <v>1</v>
      </c>
      <c r="I356" s="203">
        <v>1</v>
      </c>
      <c r="J356" s="203">
        <v>1</v>
      </c>
      <c r="K356" s="203">
        <v>1</v>
      </c>
      <c r="L356" s="203">
        <v>1</v>
      </c>
      <c r="M356" s="203">
        <v>1</v>
      </c>
      <c r="N356" s="203">
        <v>1</v>
      </c>
      <c r="P356" s="202">
        <v>1.749999999999984</v>
      </c>
      <c r="Q356" s="203">
        <v>1</v>
      </c>
      <c r="R356" s="203">
        <v>1</v>
      </c>
      <c r="S356" s="203">
        <v>1</v>
      </c>
      <c r="T356" s="203">
        <v>1</v>
      </c>
      <c r="U356" s="203">
        <v>1</v>
      </c>
      <c r="V356" s="203">
        <v>1</v>
      </c>
      <c r="W356" s="203">
        <v>1</v>
      </c>
      <c r="X356" s="203">
        <v>1</v>
      </c>
      <c r="Y356" s="203">
        <v>1</v>
      </c>
      <c r="Z356" s="203">
        <v>1</v>
      </c>
      <c r="AB356" s="202">
        <v>1.749999999999984</v>
      </c>
      <c r="AC356" s="203">
        <v>1</v>
      </c>
      <c r="AD356" s="203">
        <v>1</v>
      </c>
      <c r="AE356" s="203">
        <v>1</v>
      </c>
      <c r="AF356" s="203">
        <v>1</v>
      </c>
      <c r="AG356" s="203">
        <v>1</v>
      </c>
      <c r="AH356" s="203">
        <v>1</v>
      </c>
      <c r="AI356" s="203">
        <v>1</v>
      </c>
      <c r="AJ356" s="203">
        <v>1</v>
      </c>
      <c r="AK356" s="203">
        <v>1</v>
      </c>
      <c r="AL356" s="203">
        <v>1</v>
      </c>
    </row>
    <row r="357" spans="4:38" x14ac:dyDescent="0.25">
      <c r="D357" s="202">
        <v>1.7549999999999839</v>
      </c>
      <c r="E357" s="203">
        <v>1</v>
      </c>
      <c r="F357" s="203">
        <v>1</v>
      </c>
      <c r="G357" s="203">
        <v>1</v>
      </c>
      <c r="H357" s="203">
        <v>1</v>
      </c>
      <c r="I357" s="203">
        <v>1</v>
      </c>
      <c r="J357" s="203">
        <v>1</v>
      </c>
      <c r="K357" s="203">
        <v>1</v>
      </c>
      <c r="L357" s="203">
        <v>1</v>
      </c>
      <c r="M357" s="203">
        <v>1</v>
      </c>
      <c r="N357" s="203">
        <v>1</v>
      </c>
      <c r="P357" s="202">
        <v>1.7549999999999839</v>
      </c>
      <c r="Q357" s="203">
        <v>1</v>
      </c>
      <c r="R357" s="203">
        <v>1</v>
      </c>
      <c r="S357" s="203">
        <v>1</v>
      </c>
      <c r="T357" s="203">
        <v>1</v>
      </c>
      <c r="U357" s="203">
        <v>1</v>
      </c>
      <c r="V357" s="203">
        <v>1</v>
      </c>
      <c r="W357" s="203">
        <v>1</v>
      </c>
      <c r="X357" s="203">
        <v>1</v>
      </c>
      <c r="Y357" s="203">
        <v>1</v>
      </c>
      <c r="Z357" s="203">
        <v>1</v>
      </c>
      <c r="AB357" s="202">
        <v>1.7549999999999839</v>
      </c>
      <c r="AC357" s="203">
        <v>1</v>
      </c>
      <c r="AD357" s="203">
        <v>1</v>
      </c>
      <c r="AE357" s="203">
        <v>1</v>
      </c>
      <c r="AF357" s="203">
        <v>1</v>
      </c>
      <c r="AG357" s="203">
        <v>1</v>
      </c>
      <c r="AH357" s="203">
        <v>1</v>
      </c>
      <c r="AI357" s="203">
        <v>1</v>
      </c>
      <c r="AJ357" s="203">
        <v>1</v>
      </c>
      <c r="AK357" s="203">
        <v>1</v>
      </c>
      <c r="AL357" s="203">
        <v>1</v>
      </c>
    </row>
    <row r="358" spans="4:38" x14ac:dyDescent="0.25">
      <c r="D358" s="202">
        <v>1.7599999999999838</v>
      </c>
      <c r="E358" s="203">
        <v>1</v>
      </c>
      <c r="F358" s="203">
        <v>1</v>
      </c>
      <c r="G358" s="203">
        <v>1</v>
      </c>
      <c r="H358" s="203">
        <v>1</v>
      </c>
      <c r="I358" s="203">
        <v>1</v>
      </c>
      <c r="J358" s="203">
        <v>1</v>
      </c>
      <c r="K358" s="203">
        <v>1</v>
      </c>
      <c r="L358" s="203">
        <v>1</v>
      </c>
      <c r="M358" s="203">
        <v>1</v>
      </c>
      <c r="N358" s="203">
        <v>1</v>
      </c>
      <c r="P358" s="202">
        <v>1.7599999999999838</v>
      </c>
      <c r="Q358" s="203">
        <v>1</v>
      </c>
      <c r="R358" s="203">
        <v>1</v>
      </c>
      <c r="S358" s="203">
        <v>1</v>
      </c>
      <c r="T358" s="203">
        <v>1</v>
      </c>
      <c r="U358" s="203">
        <v>1</v>
      </c>
      <c r="V358" s="203">
        <v>1</v>
      </c>
      <c r="W358" s="203">
        <v>1</v>
      </c>
      <c r="X358" s="203">
        <v>1</v>
      </c>
      <c r="Y358" s="203">
        <v>1</v>
      </c>
      <c r="Z358" s="203">
        <v>1</v>
      </c>
      <c r="AB358" s="202">
        <v>1.7599999999999838</v>
      </c>
      <c r="AC358" s="203">
        <v>1</v>
      </c>
      <c r="AD358" s="203">
        <v>1</v>
      </c>
      <c r="AE358" s="203">
        <v>1</v>
      </c>
      <c r="AF358" s="203">
        <v>1</v>
      </c>
      <c r="AG358" s="203">
        <v>1</v>
      </c>
      <c r="AH358" s="203">
        <v>1</v>
      </c>
      <c r="AI358" s="203">
        <v>1</v>
      </c>
      <c r="AJ358" s="203">
        <v>1</v>
      </c>
      <c r="AK358" s="203">
        <v>1</v>
      </c>
      <c r="AL358" s="203">
        <v>1</v>
      </c>
    </row>
    <row r="359" spans="4:38" x14ac:dyDescent="0.25">
      <c r="D359" s="202">
        <v>1.7649999999999837</v>
      </c>
      <c r="E359" s="203">
        <v>1</v>
      </c>
      <c r="F359" s="203">
        <v>1</v>
      </c>
      <c r="G359" s="203">
        <v>1</v>
      </c>
      <c r="H359" s="203">
        <v>1</v>
      </c>
      <c r="I359" s="203">
        <v>1</v>
      </c>
      <c r="J359" s="203">
        <v>1</v>
      </c>
      <c r="K359" s="203">
        <v>1</v>
      </c>
      <c r="L359" s="203">
        <v>1</v>
      </c>
      <c r="M359" s="203">
        <v>1</v>
      </c>
      <c r="N359" s="203">
        <v>1</v>
      </c>
      <c r="P359" s="202">
        <v>1.7649999999999837</v>
      </c>
      <c r="Q359" s="203">
        <v>1</v>
      </c>
      <c r="R359" s="203">
        <v>1</v>
      </c>
      <c r="S359" s="203">
        <v>1</v>
      </c>
      <c r="T359" s="203">
        <v>1</v>
      </c>
      <c r="U359" s="203">
        <v>1</v>
      </c>
      <c r="V359" s="203">
        <v>1</v>
      </c>
      <c r="W359" s="203">
        <v>1</v>
      </c>
      <c r="X359" s="203">
        <v>1</v>
      </c>
      <c r="Y359" s="203">
        <v>1</v>
      </c>
      <c r="Z359" s="203">
        <v>1</v>
      </c>
      <c r="AB359" s="202">
        <v>1.7649999999999837</v>
      </c>
      <c r="AC359" s="203">
        <v>1</v>
      </c>
      <c r="AD359" s="203">
        <v>1</v>
      </c>
      <c r="AE359" s="203">
        <v>1</v>
      </c>
      <c r="AF359" s="203">
        <v>1</v>
      </c>
      <c r="AG359" s="203">
        <v>1</v>
      </c>
      <c r="AH359" s="203">
        <v>1</v>
      </c>
      <c r="AI359" s="203">
        <v>1</v>
      </c>
      <c r="AJ359" s="203">
        <v>1</v>
      </c>
      <c r="AK359" s="203">
        <v>1</v>
      </c>
      <c r="AL359" s="203">
        <v>1</v>
      </c>
    </row>
    <row r="360" spans="4:38" x14ac:dyDescent="0.25">
      <c r="D360" s="202">
        <v>1.7699999999999836</v>
      </c>
      <c r="E360" s="203">
        <v>1</v>
      </c>
      <c r="F360" s="203">
        <v>1</v>
      </c>
      <c r="G360" s="203">
        <v>1</v>
      </c>
      <c r="H360" s="203">
        <v>1</v>
      </c>
      <c r="I360" s="203">
        <v>1</v>
      </c>
      <c r="J360" s="203">
        <v>1</v>
      </c>
      <c r="K360" s="203">
        <v>1</v>
      </c>
      <c r="L360" s="203">
        <v>1</v>
      </c>
      <c r="M360" s="203">
        <v>1</v>
      </c>
      <c r="N360" s="203">
        <v>1</v>
      </c>
      <c r="P360" s="202">
        <v>1.7699999999999836</v>
      </c>
      <c r="Q360" s="203">
        <v>1</v>
      </c>
      <c r="R360" s="203">
        <v>1</v>
      </c>
      <c r="S360" s="203">
        <v>1</v>
      </c>
      <c r="T360" s="203">
        <v>1</v>
      </c>
      <c r="U360" s="203">
        <v>1</v>
      </c>
      <c r="V360" s="203">
        <v>1</v>
      </c>
      <c r="W360" s="203">
        <v>1</v>
      </c>
      <c r="X360" s="203">
        <v>1</v>
      </c>
      <c r="Y360" s="203">
        <v>1</v>
      </c>
      <c r="Z360" s="203">
        <v>1</v>
      </c>
      <c r="AB360" s="202">
        <v>1.7699999999999836</v>
      </c>
      <c r="AC360" s="203">
        <v>1</v>
      </c>
      <c r="AD360" s="203">
        <v>1</v>
      </c>
      <c r="AE360" s="203">
        <v>1</v>
      </c>
      <c r="AF360" s="203">
        <v>1</v>
      </c>
      <c r="AG360" s="203">
        <v>1</v>
      </c>
      <c r="AH360" s="203">
        <v>1</v>
      </c>
      <c r="AI360" s="203">
        <v>1</v>
      </c>
      <c r="AJ360" s="203">
        <v>1</v>
      </c>
      <c r="AK360" s="203">
        <v>1</v>
      </c>
      <c r="AL360" s="203">
        <v>1</v>
      </c>
    </row>
    <row r="361" spans="4:38" x14ac:dyDescent="0.25">
      <c r="D361" s="202">
        <v>1.7749999999999835</v>
      </c>
      <c r="E361" s="203">
        <v>1</v>
      </c>
      <c r="F361" s="203">
        <v>1</v>
      </c>
      <c r="G361" s="203">
        <v>1</v>
      </c>
      <c r="H361" s="203">
        <v>1</v>
      </c>
      <c r="I361" s="203">
        <v>1</v>
      </c>
      <c r="J361" s="203">
        <v>1</v>
      </c>
      <c r="K361" s="203">
        <v>1</v>
      </c>
      <c r="L361" s="203">
        <v>1</v>
      </c>
      <c r="M361" s="203">
        <v>1</v>
      </c>
      <c r="N361" s="203">
        <v>1</v>
      </c>
      <c r="P361" s="202">
        <v>1.7749999999999835</v>
      </c>
      <c r="Q361" s="203">
        <v>1</v>
      </c>
      <c r="R361" s="203">
        <v>1</v>
      </c>
      <c r="S361" s="203">
        <v>1</v>
      </c>
      <c r="T361" s="203">
        <v>1</v>
      </c>
      <c r="U361" s="203">
        <v>1</v>
      </c>
      <c r="V361" s="203">
        <v>1</v>
      </c>
      <c r="W361" s="203">
        <v>1</v>
      </c>
      <c r="X361" s="203">
        <v>1</v>
      </c>
      <c r="Y361" s="203">
        <v>1</v>
      </c>
      <c r="Z361" s="203">
        <v>1</v>
      </c>
      <c r="AB361" s="202">
        <v>1.7749999999999835</v>
      </c>
      <c r="AC361" s="203">
        <v>1</v>
      </c>
      <c r="AD361" s="203">
        <v>1</v>
      </c>
      <c r="AE361" s="203">
        <v>1</v>
      </c>
      <c r="AF361" s="203">
        <v>1</v>
      </c>
      <c r="AG361" s="203">
        <v>1</v>
      </c>
      <c r="AH361" s="203">
        <v>1</v>
      </c>
      <c r="AI361" s="203">
        <v>1</v>
      </c>
      <c r="AJ361" s="203">
        <v>1</v>
      </c>
      <c r="AK361" s="203">
        <v>1</v>
      </c>
      <c r="AL361" s="203">
        <v>1</v>
      </c>
    </row>
    <row r="362" spans="4:38" x14ac:dyDescent="0.25">
      <c r="D362" s="202">
        <v>1.7799999999999834</v>
      </c>
      <c r="E362" s="203">
        <v>1</v>
      </c>
      <c r="F362" s="203">
        <v>1</v>
      </c>
      <c r="G362" s="203">
        <v>1</v>
      </c>
      <c r="H362" s="203">
        <v>1</v>
      </c>
      <c r="I362" s="203">
        <v>1</v>
      </c>
      <c r="J362" s="203">
        <v>1</v>
      </c>
      <c r="K362" s="203">
        <v>1</v>
      </c>
      <c r="L362" s="203">
        <v>1</v>
      </c>
      <c r="M362" s="203">
        <v>1</v>
      </c>
      <c r="N362" s="203">
        <v>1</v>
      </c>
      <c r="P362" s="202">
        <v>1.7799999999999834</v>
      </c>
      <c r="Q362" s="203">
        <v>1</v>
      </c>
      <c r="R362" s="203">
        <v>1</v>
      </c>
      <c r="S362" s="203">
        <v>1</v>
      </c>
      <c r="T362" s="203">
        <v>1</v>
      </c>
      <c r="U362" s="203">
        <v>1</v>
      </c>
      <c r="V362" s="203">
        <v>1</v>
      </c>
      <c r="W362" s="203">
        <v>1</v>
      </c>
      <c r="X362" s="203">
        <v>1</v>
      </c>
      <c r="Y362" s="203">
        <v>1</v>
      </c>
      <c r="Z362" s="203">
        <v>1</v>
      </c>
      <c r="AB362" s="202">
        <v>1.7799999999999834</v>
      </c>
      <c r="AC362" s="203">
        <v>1</v>
      </c>
      <c r="AD362" s="203">
        <v>1</v>
      </c>
      <c r="AE362" s="203">
        <v>1</v>
      </c>
      <c r="AF362" s="203">
        <v>1</v>
      </c>
      <c r="AG362" s="203">
        <v>1</v>
      </c>
      <c r="AH362" s="203">
        <v>1</v>
      </c>
      <c r="AI362" s="203">
        <v>1</v>
      </c>
      <c r="AJ362" s="203">
        <v>1</v>
      </c>
      <c r="AK362" s="203">
        <v>1</v>
      </c>
      <c r="AL362" s="203">
        <v>1</v>
      </c>
    </row>
    <row r="363" spans="4:38" x14ac:dyDescent="0.25">
      <c r="D363" s="202">
        <v>1.7849999999999833</v>
      </c>
      <c r="E363" s="203">
        <v>1</v>
      </c>
      <c r="F363" s="203">
        <v>1</v>
      </c>
      <c r="G363" s="203">
        <v>1</v>
      </c>
      <c r="H363" s="203">
        <v>1</v>
      </c>
      <c r="I363" s="203">
        <v>1</v>
      </c>
      <c r="J363" s="203">
        <v>1</v>
      </c>
      <c r="K363" s="203">
        <v>1</v>
      </c>
      <c r="L363" s="203">
        <v>1</v>
      </c>
      <c r="M363" s="203">
        <v>1</v>
      </c>
      <c r="N363" s="203">
        <v>1</v>
      </c>
      <c r="P363" s="202">
        <v>1.7849999999999833</v>
      </c>
      <c r="Q363" s="203">
        <v>1</v>
      </c>
      <c r="R363" s="203">
        <v>1</v>
      </c>
      <c r="S363" s="203">
        <v>1</v>
      </c>
      <c r="T363" s="203">
        <v>1</v>
      </c>
      <c r="U363" s="203">
        <v>1</v>
      </c>
      <c r="V363" s="203">
        <v>1</v>
      </c>
      <c r="W363" s="203">
        <v>1</v>
      </c>
      <c r="X363" s="203">
        <v>1</v>
      </c>
      <c r="Y363" s="203">
        <v>1</v>
      </c>
      <c r="Z363" s="203">
        <v>1</v>
      </c>
      <c r="AB363" s="202">
        <v>1.7849999999999833</v>
      </c>
      <c r="AC363" s="203">
        <v>1</v>
      </c>
      <c r="AD363" s="203">
        <v>1</v>
      </c>
      <c r="AE363" s="203">
        <v>1</v>
      </c>
      <c r="AF363" s="203">
        <v>1</v>
      </c>
      <c r="AG363" s="203">
        <v>1</v>
      </c>
      <c r="AH363" s="203">
        <v>1</v>
      </c>
      <c r="AI363" s="203">
        <v>1</v>
      </c>
      <c r="AJ363" s="203">
        <v>1</v>
      </c>
      <c r="AK363" s="203">
        <v>1</v>
      </c>
      <c r="AL363" s="203">
        <v>1</v>
      </c>
    </row>
    <row r="364" spans="4:38" x14ac:dyDescent="0.25">
      <c r="D364" s="202">
        <v>1.7899999999999832</v>
      </c>
      <c r="E364" s="203">
        <v>1</v>
      </c>
      <c r="F364" s="203">
        <v>1</v>
      </c>
      <c r="G364" s="203">
        <v>1</v>
      </c>
      <c r="H364" s="203">
        <v>1</v>
      </c>
      <c r="I364" s="203">
        <v>1</v>
      </c>
      <c r="J364" s="203">
        <v>1</v>
      </c>
      <c r="K364" s="203">
        <v>1</v>
      </c>
      <c r="L364" s="203">
        <v>1</v>
      </c>
      <c r="M364" s="203">
        <v>1</v>
      </c>
      <c r="N364" s="203">
        <v>1</v>
      </c>
      <c r="P364" s="202">
        <v>1.7899999999999832</v>
      </c>
      <c r="Q364" s="203">
        <v>1</v>
      </c>
      <c r="R364" s="203">
        <v>1</v>
      </c>
      <c r="S364" s="203">
        <v>1</v>
      </c>
      <c r="T364" s="203">
        <v>1</v>
      </c>
      <c r="U364" s="203">
        <v>1</v>
      </c>
      <c r="V364" s="203">
        <v>1</v>
      </c>
      <c r="W364" s="203">
        <v>1</v>
      </c>
      <c r="X364" s="203">
        <v>1</v>
      </c>
      <c r="Y364" s="203">
        <v>1</v>
      </c>
      <c r="Z364" s="203">
        <v>1</v>
      </c>
      <c r="AB364" s="202">
        <v>1.7899999999999832</v>
      </c>
      <c r="AC364" s="203">
        <v>1</v>
      </c>
      <c r="AD364" s="203">
        <v>1</v>
      </c>
      <c r="AE364" s="203">
        <v>1</v>
      </c>
      <c r="AF364" s="203">
        <v>1</v>
      </c>
      <c r="AG364" s="203">
        <v>1</v>
      </c>
      <c r="AH364" s="203">
        <v>1</v>
      </c>
      <c r="AI364" s="203">
        <v>1</v>
      </c>
      <c r="AJ364" s="203">
        <v>1</v>
      </c>
      <c r="AK364" s="203">
        <v>1</v>
      </c>
      <c r="AL364" s="203">
        <v>1</v>
      </c>
    </row>
    <row r="365" spans="4:38" x14ac:dyDescent="0.25">
      <c r="D365" s="202">
        <v>1.7949999999999831</v>
      </c>
      <c r="E365" s="203">
        <v>1</v>
      </c>
      <c r="F365" s="203">
        <v>1</v>
      </c>
      <c r="G365" s="203">
        <v>1</v>
      </c>
      <c r="H365" s="203">
        <v>1</v>
      </c>
      <c r="I365" s="203">
        <v>1</v>
      </c>
      <c r="J365" s="203">
        <v>1</v>
      </c>
      <c r="K365" s="203">
        <v>1</v>
      </c>
      <c r="L365" s="203">
        <v>1</v>
      </c>
      <c r="M365" s="203">
        <v>1</v>
      </c>
      <c r="N365" s="203">
        <v>1</v>
      </c>
      <c r="P365" s="202">
        <v>1.7949999999999831</v>
      </c>
      <c r="Q365" s="203">
        <v>1</v>
      </c>
      <c r="R365" s="203">
        <v>1</v>
      </c>
      <c r="S365" s="203">
        <v>1</v>
      </c>
      <c r="T365" s="203">
        <v>1</v>
      </c>
      <c r="U365" s="203">
        <v>1</v>
      </c>
      <c r="V365" s="203">
        <v>1</v>
      </c>
      <c r="W365" s="203">
        <v>1</v>
      </c>
      <c r="X365" s="203">
        <v>1</v>
      </c>
      <c r="Y365" s="203">
        <v>1</v>
      </c>
      <c r="Z365" s="203">
        <v>1</v>
      </c>
      <c r="AB365" s="202">
        <v>1.7949999999999831</v>
      </c>
      <c r="AC365" s="203">
        <v>1</v>
      </c>
      <c r="AD365" s="203">
        <v>1</v>
      </c>
      <c r="AE365" s="203">
        <v>1</v>
      </c>
      <c r="AF365" s="203">
        <v>1</v>
      </c>
      <c r="AG365" s="203">
        <v>1</v>
      </c>
      <c r="AH365" s="203">
        <v>1</v>
      </c>
      <c r="AI365" s="203">
        <v>1</v>
      </c>
      <c r="AJ365" s="203">
        <v>1</v>
      </c>
      <c r="AK365" s="203">
        <v>1</v>
      </c>
      <c r="AL365" s="203">
        <v>1</v>
      </c>
    </row>
    <row r="366" spans="4:38" x14ac:dyDescent="0.25">
      <c r="D366" s="202">
        <v>1.7999999999999829</v>
      </c>
      <c r="E366" s="203">
        <v>1</v>
      </c>
      <c r="F366" s="203">
        <v>1</v>
      </c>
      <c r="G366" s="203">
        <v>1</v>
      </c>
      <c r="H366" s="203">
        <v>1</v>
      </c>
      <c r="I366" s="203">
        <v>1</v>
      </c>
      <c r="J366" s="203">
        <v>1</v>
      </c>
      <c r="K366" s="203">
        <v>1</v>
      </c>
      <c r="L366" s="203">
        <v>1</v>
      </c>
      <c r="M366" s="203">
        <v>1</v>
      </c>
      <c r="N366" s="203">
        <v>1</v>
      </c>
      <c r="P366" s="202">
        <v>1.7999999999999829</v>
      </c>
      <c r="Q366" s="203">
        <v>1</v>
      </c>
      <c r="R366" s="203">
        <v>1</v>
      </c>
      <c r="S366" s="203">
        <v>1</v>
      </c>
      <c r="T366" s="203">
        <v>1</v>
      </c>
      <c r="U366" s="203">
        <v>1</v>
      </c>
      <c r="V366" s="203">
        <v>1</v>
      </c>
      <c r="W366" s="203">
        <v>1</v>
      </c>
      <c r="X366" s="203">
        <v>1</v>
      </c>
      <c r="Y366" s="203">
        <v>1</v>
      </c>
      <c r="Z366" s="203">
        <v>1</v>
      </c>
      <c r="AB366" s="202">
        <v>1.7999999999999829</v>
      </c>
      <c r="AC366" s="203">
        <v>1</v>
      </c>
      <c r="AD366" s="203">
        <v>1</v>
      </c>
      <c r="AE366" s="203">
        <v>1</v>
      </c>
      <c r="AF366" s="203">
        <v>1</v>
      </c>
      <c r="AG366" s="203">
        <v>1</v>
      </c>
      <c r="AH366" s="203">
        <v>1</v>
      </c>
      <c r="AI366" s="203">
        <v>1</v>
      </c>
      <c r="AJ366" s="203">
        <v>1</v>
      </c>
      <c r="AK366" s="203">
        <v>1</v>
      </c>
      <c r="AL366" s="203">
        <v>1</v>
      </c>
    </row>
    <row r="367" spans="4:38" x14ac:dyDescent="0.25">
      <c r="D367" s="202">
        <v>1.8049999999999828</v>
      </c>
      <c r="E367" s="203">
        <v>1</v>
      </c>
      <c r="F367" s="203">
        <v>1</v>
      </c>
      <c r="G367" s="203">
        <v>1</v>
      </c>
      <c r="H367" s="203">
        <v>1</v>
      </c>
      <c r="I367" s="203">
        <v>1</v>
      </c>
      <c r="J367" s="203">
        <v>1</v>
      </c>
      <c r="K367" s="203">
        <v>1</v>
      </c>
      <c r="L367" s="203">
        <v>1</v>
      </c>
      <c r="M367" s="203">
        <v>1</v>
      </c>
      <c r="N367" s="203">
        <v>1</v>
      </c>
      <c r="P367" s="202">
        <v>1.8049999999999828</v>
      </c>
      <c r="Q367" s="203">
        <v>1</v>
      </c>
      <c r="R367" s="203">
        <v>1</v>
      </c>
      <c r="S367" s="203">
        <v>1</v>
      </c>
      <c r="T367" s="203">
        <v>1</v>
      </c>
      <c r="U367" s="203">
        <v>1</v>
      </c>
      <c r="V367" s="203">
        <v>1</v>
      </c>
      <c r="W367" s="203">
        <v>1</v>
      </c>
      <c r="X367" s="203">
        <v>1</v>
      </c>
      <c r="Y367" s="203">
        <v>1</v>
      </c>
      <c r="Z367" s="203">
        <v>1</v>
      </c>
      <c r="AB367" s="202">
        <v>1.8049999999999828</v>
      </c>
      <c r="AC367" s="203">
        <v>1</v>
      </c>
      <c r="AD367" s="203">
        <v>1</v>
      </c>
      <c r="AE367" s="203">
        <v>1</v>
      </c>
      <c r="AF367" s="203">
        <v>1</v>
      </c>
      <c r="AG367" s="203">
        <v>1</v>
      </c>
      <c r="AH367" s="203">
        <v>1</v>
      </c>
      <c r="AI367" s="203">
        <v>1</v>
      </c>
      <c r="AJ367" s="203">
        <v>1</v>
      </c>
      <c r="AK367" s="203">
        <v>1</v>
      </c>
      <c r="AL367" s="203">
        <v>1</v>
      </c>
    </row>
    <row r="368" spans="4:38" x14ac:dyDescent="0.25">
      <c r="D368" s="202">
        <v>1.8099999999999827</v>
      </c>
      <c r="E368" s="203">
        <v>1</v>
      </c>
      <c r="F368" s="203">
        <v>1</v>
      </c>
      <c r="G368" s="203">
        <v>1</v>
      </c>
      <c r="H368" s="203">
        <v>1</v>
      </c>
      <c r="I368" s="203">
        <v>1</v>
      </c>
      <c r="J368" s="203">
        <v>1</v>
      </c>
      <c r="K368" s="203">
        <v>1</v>
      </c>
      <c r="L368" s="203">
        <v>1</v>
      </c>
      <c r="M368" s="203">
        <v>1</v>
      </c>
      <c r="N368" s="203">
        <v>1</v>
      </c>
      <c r="P368" s="202">
        <v>1.8099999999999827</v>
      </c>
      <c r="Q368" s="203">
        <v>1</v>
      </c>
      <c r="R368" s="203">
        <v>1</v>
      </c>
      <c r="S368" s="203">
        <v>1</v>
      </c>
      <c r="T368" s="203">
        <v>1</v>
      </c>
      <c r="U368" s="203">
        <v>1</v>
      </c>
      <c r="V368" s="203">
        <v>1</v>
      </c>
      <c r="W368" s="203">
        <v>1</v>
      </c>
      <c r="X368" s="203">
        <v>1</v>
      </c>
      <c r="Y368" s="203">
        <v>1</v>
      </c>
      <c r="Z368" s="203">
        <v>1</v>
      </c>
      <c r="AB368" s="202">
        <v>1.8099999999999827</v>
      </c>
      <c r="AC368" s="203">
        <v>1</v>
      </c>
      <c r="AD368" s="203">
        <v>1</v>
      </c>
      <c r="AE368" s="203">
        <v>1</v>
      </c>
      <c r="AF368" s="203">
        <v>1</v>
      </c>
      <c r="AG368" s="203">
        <v>1</v>
      </c>
      <c r="AH368" s="203">
        <v>1</v>
      </c>
      <c r="AI368" s="203">
        <v>1</v>
      </c>
      <c r="AJ368" s="203">
        <v>1</v>
      </c>
      <c r="AK368" s="203">
        <v>1</v>
      </c>
      <c r="AL368" s="203">
        <v>1</v>
      </c>
    </row>
    <row r="369" spans="4:38" x14ac:dyDescent="0.25">
      <c r="D369" s="202">
        <v>1.8149999999999826</v>
      </c>
      <c r="E369" s="203">
        <v>1</v>
      </c>
      <c r="F369" s="203">
        <v>1</v>
      </c>
      <c r="G369" s="203">
        <v>1</v>
      </c>
      <c r="H369" s="203">
        <v>1</v>
      </c>
      <c r="I369" s="203">
        <v>1</v>
      </c>
      <c r="J369" s="203">
        <v>1</v>
      </c>
      <c r="K369" s="203">
        <v>1</v>
      </c>
      <c r="L369" s="203">
        <v>1</v>
      </c>
      <c r="M369" s="203">
        <v>1</v>
      </c>
      <c r="N369" s="203">
        <v>1</v>
      </c>
      <c r="P369" s="202">
        <v>1.8149999999999826</v>
      </c>
      <c r="Q369" s="203">
        <v>1</v>
      </c>
      <c r="R369" s="203">
        <v>1</v>
      </c>
      <c r="S369" s="203">
        <v>1</v>
      </c>
      <c r="T369" s="203">
        <v>1</v>
      </c>
      <c r="U369" s="203">
        <v>1</v>
      </c>
      <c r="V369" s="203">
        <v>1</v>
      </c>
      <c r="W369" s="203">
        <v>1</v>
      </c>
      <c r="X369" s="203">
        <v>1</v>
      </c>
      <c r="Y369" s="203">
        <v>1</v>
      </c>
      <c r="Z369" s="203">
        <v>1</v>
      </c>
      <c r="AB369" s="202">
        <v>1.8149999999999826</v>
      </c>
      <c r="AC369" s="203">
        <v>1</v>
      </c>
      <c r="AD369" s="203">
        <v>1</v>
      </c>
      <c r="AE369" s="203">
        <v>1</v>
      </c>
      <c r="AF369" s="203">
        <v>1</v>
      </c>
      <c r="AG369" s="203">
        <v>1</v>
      </c>
      <c r="AH369" s="203">
        <v>1</v>
      </c>
      <c r="AI369" s="203">
        <v>1</v>
      </c>
      <c r="AJ369" s="203">
        <v>1</v>
      </c>
      <c r="AK369" s="203">
        <v>1</v>
      </c>
      <c r="AL369" s="203">
        <v>1</v>
      </c>
    </row>
    <row r="370" spans="4:38" x14ac:dyDescent="0.25">
      <c r="D370" s="202">
        <v>1.8199999999999825</v>
      </c>
      <c r="E370" s="203">
        <v>1</v>
      </c>
      <c r="F370" s="203">
        <v>1</v>
      </c>
      <c r="G370" s="203">
        <v>1</v>
      </c>
      <c r="H370" s="203">
        <v>1</v>
      </c>
      <c r="I370" s="203">
        <v>1</v>
      </c>
      <c r="J370" s="203">
        <v>1</v>
      </c>
      <c r="K370" s="203">
        <v>1</v>
      </c>
      <c r="L370" s="203">
        <v>1</v>
      </c>
      <c r="M370" s="203">
        <v>1</v>
      </c>
      <c r="N370" s="203">
        <v>1</v>
      </c>
      <c r="P370" s="202">
        <v>1.8199999999999825</v>
      </c>
      <c r="Q370" s="203">
        <v>1</v>
      </c>
      <c r="R370" s="203">
        <v>1</v>
      </c>
      <c r="S370" s="203">
        <v>1</v>
      </c>
      <c r="T370" s="203">
        <v>1</v>
      </c>
      <c r="U370" s="203">
        <v>1</v>
      </c>
      <c r="V370" s="203">
        <v>1</v>
      </c>
      <c r="W370" s="203">
        <v>1</v>
      </c>
      <c r="X370" s="203">
        <v>1</v>
      </c>
      <c r="Y370" s="203">
        <v>1</v>
      </c>
      <c r="Z370" s="203">
        <v>1</v>
      </c>
      <c r="AB370" s="202">
        <v>1.8199999999999825</v>
      </c>
      <c r="AC370" s="203">
        <v>1</v>
      </c>
      <c r="AD370" s="203">
        <v>1</v>
      </c>
      <c r="AE370" s="203">
        <v>1</v>
      </c>
      <c r="AF370" s="203">
        <v>1</v>
      </c>
      <c r="AG370" s="203">
        <v>1</v>
      </c>
      <c r="AH370" s="203">
        <v>1</v>
      </c>
      <c r="AI370" s="203">
        <v>1</v>
      </c>
      <c r="AJ370" s="203">
        <v>1</v>
      </c>
      <c r="AK370" s="203">
        <v>1</v>
      </c>
      <c r="AL370" s="203">
        <v>1</v>
      </c>
    </row>
    <row r="371" spans="4:38" x14ac:dyDescent="0.25">
      <c r="D371" s="202">
        <v>1.8249999999999824</v>
      </c>
      <c r="E371" s="203">
        <v>1</v>
      </c>
      <c r="F371" s="203">
        <v>1</v>
      </c>
      <c r="G371" s="203">
        <v>1</v>
      </c>
      <c r="H371" s="203">
        <v>1</v>
      </c>
      <c r="I371" s="203">
        <v>1</v>
      </c>
      <c r="J371" s="203">
        <v>1</v>
      </c>
      <c r="K371" s="203">
        <v>1</v>
      </c>
      <c r="L371" s="203">
        <v>1</v>
      </c>
      <c r="M371" s="203">
        <v>1</v>
      </c>
      <c r="N371" s="203">
        <v>1</v>
      </c>
      <c r="P371" s="202">
        <v>1.8249999999999824</v>
      </c>
      <c r="Q371" s="203">
        <v>1</v>
      </c>
      <c r="R371" s="203">
        <v>1</v>
      </c>
      <c r="S371" s="203">
        <v>1</v>
      </c>
      <c r="T371" s="203">
        <v>1</v>
      </c>
      <c r="U371" s="203">
        <v>1</v>
      </c>
      <c r="V371" s="203">
        <v>1</v>
      </c>
      <c r="W371" s="203">
        <v>1</v>
      </c>
      <c r="X371" s="203">
        <v>1</v>
      </c>
      <c r="Y371" s="203">
        <v>1</v>
      </c>
      <c r="Z371" s="203">
        <v>1</v>
      </c>
      <c r="AB371" s="202">
        <v>1.8249999999999824</v>
      </c>
      <c r="AC371" s="203">
        <v>1</v>
      </c>
      <c r="AD371" s="203">
        <v>1</v>
      </c>
      <c r="AE371" s="203">
        <v>1</v>
      </c>
      <c r="AF371" s="203">
        <v>1</v>
      </c>
      <c r="AG371" s="203">
        <v>1</v>
      </c>
      <c r="AH371" s="203">
        <v>1</v>
      </c>
      <c r="AI371" s="203">
        <v>1</v>
      </c>
      <c r="AJ371" s="203">
        <v>1</v>
      </c>
      <c r="AK371" s="203">
        <v>1</v>
      </c>
      <c r="AL371" s="203">
        <v>1</v>
      </c>
    </row>
    <row r="372" spans="4:38" x14ac:dyDescent="0.25">
      <c r="D372" s="202">
        <v>1.8299999999999823</v>
      </c>
      <c r="E372" s="203">
        <v>1</v>
      </c>
      <c r="F372" s="203">
        <v>1</v>
      </c>
      <c r="G372" s="203">
        <v>1</v>
      </c>
      <c r="H372" s="203">
        <v>1</v>
      </c>
      <c r="I372" s="203">
        <v>1</v>
      </c>
      <c r="J372" s="203">
        <v>1</v>
      </c>
      <c r="K372" s="203">
        <v>1</v>
      </c>
      <c r="L372" s="203">
        <v>1</v>
      </c>
      <c r="M372" s="203">
        <v>1</v>
      </c>
      <c r="N372" s="203">
        <v>1</v>
      </c>
      <c r="P372" s="202">
        <v>1.8299999999999823</v>
      </c>
      <c r="Q372" s="203">
        <v>1</v>
      </c>
      <c r="R372" s="203">
        <v>1</v>
      </c>
      <c r="S372" s="203">
        <v>1</v>
      </c>
      <c r="T372" s="203">
        <v>1</v>
      </c>
      <c r="U372" s="203">
        <v>1</v>
      </c>
      <c r="V372" s="203">
        <v>1</v>
      </c>
      <c r="W372" s="203">
        <v>1</v>
      </c>
      <c r="X372" s="203">
        <v>1</v>
      </c>
      <c r="Y372" s="203">
        <v>1</v>
      </c>
      <c r="Z372" s="203">
        <v>1</v>
      </c>
      <c r="AB372" s="202">
        <v>1.8299999999999823</v>
      </c>
      <c r="AC372" s="203">
        <v>1</v>
      </c>
      <c r="AD372" s="203">
        <v>1</v>
      </c>
      <c r="AE372" s="203">
        <v>1</v>
      </c>
      <c r="AF372" s="203">
        <v>1</v>
      </c>
      <c r="AG372" s="203">
        <v>1</v>
      </c>
      <c r="AH372" s="203">
        <v>1</v>
      </c>
      <c r="AI372" s="203">
        <v>1</v>
      </c>
      <c r="AJ372" s="203">
        <v>1</v>
      </c>
      <c r="AK372" s="203">
        <v>1</v>
      </c>
      <c r="AL372" s="203">
        <v>1</v>
      </c>
    </row>
    <row r="373" spans="4:38" x14ac:dyDescent="0.25">
      <c r="D373" s="202">
        <v>1.8349999999999822</v>
      </c>
      <c r="E373" s="203">
        <v>1</v>
      </c>
      <c r="F373" s="203">
        <v>1</v>
      </c>
      <c r="G373" s="203">
        <v>1</v>
      </c>
      <c r="H373" s="203">
        <v>1</v>
      </c>
      <c r="I373" s="203">
        <v>1</v>
      </c>
      <c r="J373" s="203">
        <v>1</v>
      </c>
      <c r="K373" s="203">
        <v>1</v>
      </c>
      <c r="L373" s="203">
        <v>1</v>
      </c>
      <c r="M373" s="203">
        <v>1</v>
      </c>
      <c r="N373" s="203">
        <v>1</v>
      </c>
      <c r="P373" s="202">
        <v>1.8349999999999822</v>
      </c>
      <c r="Q373" s="203">
        <v>1</v>
      </c>
      <c r="R373" s="203">
        <v>1</v>
      </c>
      <c r="S373" s="203">
        <v>1</v>
      </c>
      <c r="T373" s="203">
        <v>1</v>
      </c>
      <c r="U373" s="203">
        <v>1</v>
      </c>
      <c r="V373" s="203">
        <v>1</v>
      </c>
      <c r="W373" s="203">
        <v>1</v>
      </c>
      <c r="X373" s="203">
        <v>1</v>
      </c>
      <c r="Y373" s="203">
        <v>1</v>
      </c>
      <c r="Z373" s="203">
        <v>1</v>
      </c>
      <c r="AB373" s="202">
        <v>1.8349999999999822</v>
      </c>
      <c r="AC373" s="203">
        <v>1</v>
      </c>
      <c r="AD373" s="203">
        <v>1</v>
      </c>
      <c r="AE373" s="203">
        <v>1</v>
      </c>
      <c r="AF373" s="203">
        <v>1</v>
      </c>
      <c r="AG373" s="203">
        <v>1</v>
      </c>
      <c r="AH373" s="203">
        <v>1</v>
      </c>
      <c r="AI373" s="203">
        <v>1</v>
      </c>
      <c r="AJ373" s="203">
        <v>1</v>
      </c>
      <c r="AK373" s="203">
        <v>1</v>
      </c>
      <c r="AL373" s="203">
        <v>1</v>
      </c>
    </row>
    <row r="374" spans="4:38" x14ac:dyDescent="0.25">
      <c r="D374" s="202">
        <v>1.8399999999999821</v>
      </c>
      <c r="E374" s="203">
        <v>1</v>
      </c>
      <c r="F374" s="203">
        <v>1</v>
      </c>
      <c r="G374" s="203">
        <v>1</v>
      </c>
      <c r="H374" s="203">
        <v>1</v>
      </c>
      <c r="I374" s="203">
        <v>1</v>
      </c>
      <c r="J374" s="203">
        <v>1</v>
      </c>
      <c r="K374" s="203">
        <v>1</v>
      </c>
      <c r="L374" s="203">
        <v>1</v>
      </c>
      <c r="M374" s="203">
        <v>1</v>
      </c>
      <c r="N374" s="203">
        <v>1</v>
      </c>
      <c r="P374" s="202">
        <v>1.8399999999999821</v>
      </c>
      <c r="Q374" s="203">
        <v>1</v>
      </c>
      <c r="R374" s="203">
        <v>1</v>
      </c>
      <c r="S374" s="203">
        <v>1</v>
      </c>
      <c r="T374" s="203">
        <v>1</v>
      </c>
      <c r="U374" s="203">
        <v>1</v>
      </c>
      <c r="V374" s="203">
        <v>1</v>
      </c>
      <c r="W374" s="203">
        <v>1</v>
      </c>
      <c r="X374" s="203">
        <v>1</v>
      </c>
      <c r="Y374" s="203">
        <v>1</v>
      </c>
      <c r="Z374" s="203">
        <v>1</v>
      </c>
      <c r="AB374" s="202">
        <v>1.8399999999999821</v>
      </c>
      <c r="AC374" s="203">
        <v>1</v>
      </c>
      <c r="AD374" s="203">
        <v>1</v>
      </c>
      <c r="AE374" s="203">
        <v>1</v>
      </c>
      <c r="AF374" s="203">
        <v>1</v>
      </c>
      <c r="AG374" s="203">
        <v>1</v>
      </c>
      <c r="AH374" s="203">
        <v>1</v>
      </c>
      <c r="AI374" s="203">
        <v>1</v>
      </c>
      <c r="AJ374" s="203">
        <v>1</v>
      </c>
      <c r="AK374" s="203">
        <v>1</v>
      </c>
      <c r="AL374" s="203">
        <v>1</v>
      </c>
    </row>
    <row r="375" spans="4:38" x14ac:dyDescent="0.25">
      <c r="D375" s="202">
        <v>1.844999999999982</v>
      </c>
      <c r="E375" s="203">
        <v>1</v>
      </c>
      <c r="F375" s="203">
        <v>1</v>
      </c>
      <c r="G375" s="203">
        <v>1</v>
      </c>
      <c r="H375" s="203">
        <v>1</v>
      </c>
      <c r="I375" s="203">
        <v>1</v>
      </c>
      <c r="J375" s="203">
        <v>1</v>
      </c>
      <c r="K375" s="203">
        <v>1</v>
      </c>
      <c r="L375" s="203">
        <v>1</v>
      </c>
      <c r="M375" s="203">
        <v>1</v>
      </c>
      <c r="N375" s="203">
        <v>1</v>
      </c>
      <c r="P375" s="202">
        <v>1.844999999999982</v>
      </c>
      <c r="Q375" s="203">
        <v>1</v>
      </c>
      <c r="R375" s="203">
        <v>1</v>
      </c>
      <c r="S375" s="203">
        <v>1</v>
      </c>
      <c r="T375" s="203">
        <v>1</v>
      </c>
      <c r="U375" s="203">
        <v>1</v>
      </c>
      <c r="V375" s="203">
        <v>1</v>
      </c>
      <c r="W375" s="203">
        <v>1</v>
      </c>
      <c r="X375" s="203">
        <v>1</v>
      </c>
      <c r="Y375" s="203">
        <v>1</v>
      </c>
      <c r="Z375" s="203">
        <v>1</v>
      </c>
      <c r="AB375" s="202">
        <v>1.844999999999982</v>
      </c>
      <c r="AC375" s="203">
        <v>1</v>
      </c>
      <c r="AD375" s="203">
        <v>1</v>
      </c>
      <c r="AE375" s="203">
        <v>1</v>
      </c>
      <c r="AF375" s="203">
        <v>1</v>
      </c>
      <c r="AG375" s="203">
        <v>1</v>
      </c>
      <c r="AH375" s="203">
        <v>1</v>
      </c>
      <c r="AI375" s="203">
        <v>1</v>
      </c>
      <c r="AJ375" s="203">
        <v>1</v>
      </c>
      <c r="AK375" s="203">
        <v>1</v>
      </c>
      <c r="AL375" s="203">
        <v>1</v>
      </c>
    </row>
    <row r="376" spans="4:38" x14ac:dyDescent="0.25">
      <c r="D376" s="202">
        <v>1.8499999999999819</v>
      </c>
      <c r="E376" s="203">
        <v>1</v>
      </c>
      <c r="F376" s="203">
        <v>1</v>
      </c>
      <c r="G376" s="203">
        <v>1</v>
      </c>
      <c r="H376" s="203">
        <v>1</v>
      </c>
      <c r="I376" s="203">
        <v>1</v>
      </c>
      <c r="J376" s="203">
        <v>1</v>
      </c>
      <c r="K376" s="203">
        <v>1</v>
      </c>
      <c r="L376" s="203">
        <v>1</v>
      </c>
      <c r="M376" s="203">
        <v>1</v>
      </c>
      <c r="N376" s="203">
        <v>1</v>
      </c>
      <c r="P376" s="202">
        <v>1.8499999999999819</v>
      </c>
      <c r="Q376" s="203">
        <v>1</v>
      </c>
      <c r="R376" s="203">
        <v>1</v>
      </c>
      <c r="S376" s="203">
        <v>1</v>
      </c>
      <c r="T376" s="203">
        <v>1</v>
      </c>
      <c r="U376" s="203">
        <v>1</v>
      </c>
      <c r="V376" s="203">
        <v>1</v>
      </c>
      <c r="W376" s="203">
        <v>1</v>
      </c>
      <c r="X376" s="203">
        <v>1</v>
      </c>
      <c r="Y376" s="203">
        <v>1</v>
      </c>
      <c r="Z376" s="203">
        <v>1</v>
      </c>
      <c r="AB376" s="202">
        <v>1.8499999999999819</v>
      </c>
      <c r="AC376" s="203">
        <v>1</v>
      </c>
      <c r="AD376" s="203">
        <v>1</v>
      </c>
      <c r="AE376" s="203">
        <v>1</v>
      </c>
      <c r="AF376" s="203">
        <v>1</v>
      </c>
      <c r="AG376" s="203">
        <v>1</v>
      </c>
      <c r="AH376" s="203">
        <v>1</v>
      </c>
      <c r="AI376" s="203">
        <v>1</v>
      </c>
      <c r="AJ376" s="203">
        <v>1</v>
      </c>
      <c r="AK376" s="203">
        <v>1</v>
      </c>
      <c r="AL376" s="203">
        <v>1</v>
      </c>
    </row>
    <row r="377" spans="4:38" x14ac:dyDescent="0.25">
      <c r="D377" s="202">
        <v>1.8549999999999818</v>
      </c>
      <c r="E377" s="203">
        <v>1</v>
      </c>
      <c r="F377" s="203">
        <v>1</v>
      </c>
      <c r="G377" s="203">
        <v>1</v>
      </c>
      <c r="H377" s="203">
        <v>1</v>
      </c>
      <c r="I377" s="203">
        <v>1</v>
      </c>
      <c r="J377" s="203">
        <v>1</v>
      </c>
      <c r="K377" s="203">
        <v>1</v>
      </c>
      <c r="L377" s="203">
        <v>1</v>
      </c>
      <c r="M377" s="203">
        <v>1</v>
      </c>
      <c r="N377" s="203">
        <v>1</v>
      </c>
      <c r="P377" s="202">
        <v>1.8549999999999818</v>
      </c>
      <c r="Q377" s="203">
        <v>1</v>
      </c>
      <c r="R377" s="203">
        <v>1</v>
      </c>
      <c r="S377" s="203">
        <v>1</v>
      </c>
      <c r="T377" s="203">
        <v>1</v>
      </c>
      <c r="U377" s="203">
        <v>1</v>
      </c>
      <c r="V377" s="203">
        <v>1</v>
      </c>
      <c r="W377" s="203">
        <v>1</v>
      </c>
      <c r="X377" s="203">
        <v>1</v>
      </c>
      <c r="Y377" s="203">
        <v>1</v>
      </c>
      <c r="Z377" s="203">
        <v>1</v>
      </c>
      <c r="AB377" s="202">
        <v>1.8549999999999818</v>
      </c>
      <c r="AC377" s="203">
        <v>1</v>
      </c>
      <c r="AD377" s="203">
        <v>1</v>
      </c>
      <c r="AE377" s="203">
        <v>1</v>
      </c>
      <c r="AF377" s="203">
        <v>1</v>
      </c>
      <c r="AG377" s="203">
        <v>1</v>
      </c>
      <c r="AH377" s="203">
        <v>1</v>
      </c>
      <c r="AI377" s="203">
        <v>1</v>
      </c>
      <c r="AJ377" s="203">
        <v>1</v>
      </c>
      <c r="AK377" s="203">
        <v>1</v>
      </c>
      <c r="AL377" s="203">
        <v>1</v>
      </c>
    </row>
    <row r="378" spans="4:38" x14ac:dyDescent="0.25">
      <c r="D378" s="202">
        <v>1.8599999999999817</v>
      </c>
      <c r="E378" s="203">
        <v>1</v>
      </c>
      <c r="F378" s="203">
        <v>1</v>
      </c>
      <c r="G378" s="203">
        <v>1</v>
      </c>
      <c r="H378" s="203">
        <v>1</v>
      </c>
      <c r="I378" s="203">
        <v>1</v>
      </c>
      <c r="J378" s="203">
        <v>1</v>
      </c>
      <c r="K378" s="203">
        <v>1</v>
      </c>
      <c r="L378" s="203">
        <v>1</v>
      </c>
      <c r="M378" s="203">
        <v>1</v>
      </c>
      <c r="N378" s="203">
        <v>1</v>
      </c>
      <c r="P378" s="202">
        <v>1.8599999999999817</v>
      </c>
      <c r="Q378" s="203">
        <v>1</v>
      </c>
      <c r="R378" s="203">
        <v>1</v>
      </c>
      <c r="S378" s="203">
        <v>1</v>
      </c>
      <c r="T378" s="203">
        <v>1</v>
      </c>
      <c r="U378" s="203">
        <v>1</v>
      </c>
      <c r="V378" s="203">
        <v>1</v>
      </c>
      <c r="W378" s="203">
        <v>1</v>
      </c>
      <c r="X378" s="203">
        <v>1</v>
      </c>
      <c r="Y378" s="203">
        <v>1</v>
      </c>
      <c r="Z378" s="203">
        <v>1</v>
      </c>
      <c r="AB378" s="202">
        <v>1.8599999999999817</v>
      </c>
      <c r="AC378" s="203">
        <v>1</v>
      </c>
      <c r="AD378" s="203">
        <v>1</v>
      </c>
      <c r="AE378" s="203">
        <v>1</v>
      </c>
      <c r="AF378" s="203">
        <v>1</v>
      </c>
      <c r="AG378" s="203">
        <v>1</v>
      </c>
      <c r="AH378" s="203">
        <v>1</v>
      </c>
      <c r="AI378" s="203">
        <v>1</v>
      </c>
      <c r="AJ378" s="203">
        <v>1</v>
      </c>
      <c r="AK378" s="203">
        <v>1</v>
      </c>
      <c r="AL378" s="203">
        <v>1</v>
      </c>
    </row>
    <row r="379" spans="4:38" x14ac:dyDescent="0.25">
      <c r="D379" s="202">
        <v>1.8649999999999816</v>
      </c>
      <c r="E379" s="203">
        <v>1</v>
      </c>
      <c r="F379" s="203">
        <v>1</v>
      </c>
      <c r="G379" s="203">
        <v>1</v>
      </c>
      <c r="H379" s="203">
        <v>1</v>
      </c>
      <c r="I379" s="203">
        <v>1</v>
      </c>
      <c r="J379" s="203">
        <v>1</v>
      </c>
      <c r="K379" s="203">
        <v>1</v>
      </c>
      <c r="L379" s="203">
        <v>1</v>
      </c>
      <c r="M379" s="203">
        <v>1</v>
      </c>
      <c r="N379" s="203">
        <v>1</v>
      </c>
      <c r="P379" s="202">
        <v>1.8649999999999816</v>
      </c>
      <c r="Q379" s="203">
        <v>1</v>
      </c>
      <c r="R379" s="203">
        <v>1</v>
      </c>
      <c r="S379" s="203">
        <v>1</v>
      </c>
      <c r="T379" s="203">
        <v>1</v>
      </c>
      <c r="U379" s="203">
        <v>1</v>
      </c>
      <c r="V379" s="203">
        <v>1</v>
      </c>
      <c r="W379" s="203">
        <v>1</v>
      </c>
      <c r="X379" s="203">
        <v>1</v>
      </c>
      <c r="Y379" s="203">
        <v>1</v>
      </c>
      <c r="Z379" s="203">
        <v>1</v>
      </c>
      <c r="AB379" s="202">
        <v>1.8649999999999816</v>
      </c>
      <c r="AC379" s="203">
        <v>1</v>
      </c>
      <c r="AD379" s="203">
        <v>1</v>
      </c>
      <c r="AE379" s="203">
        <v>1</v>
      </c>
      <c r="AF379" s="203">
        <v>1</v>
      </c>
      <c r="AG379" s="203">
        <v>1</v>
      </c>
      <c r="AH379" s="203">
        <v>1</v>
      </c>
      <c r="AI379" s="203">
        <v>1</v>
      </c>
      <c r="AJ379" s="203">
        <v>1</v>
      </c>
      <c r="AK379" s="203">
        <v>1</v>
      </c>
      <c r="AL379" s="203">
        <v>1</v>
      </c>
    </row>
    <row r="380" spans="4:38" x14ac:dyDescent="0.25">
      <c r="D380" s="202">
        <v>1.8699999999999815</v>
      </c>
      <c r="E380" s="203">
        <v>1</v>
      </c>
      <c r="F380" s="203">
        <v>1</v>
      </c>
      <c r="G380" s="203">
        <v>1</v>
      </c>
      <c r="H380" s="203">
        <v>1</v>
      </c>
      <c r="I380" s="203">
        <v>1</v>
      </c>
      <c r="J380" s="203">
        <v>1</v>
      </c>
      <c r="K380" s="203">
        <v>1</v>
      </c>
      <c r="L380" s="203">
        <v>1</v>
      </c>
      <c r="M380" s="203">
        <v>1</v>
      </c>
      <c r="N380" s="203">
        <v>1</v>
      </c>
      <c r="P380" s="202">
        <v>1.8699999999999815</v>
      </c>
      <c r="Q380" s="203">
        <v>1</v>
      </c>
      <c r="R380" s="203">
        <v>1</v>
      </c>
      <c r="S380" s="203">
        <v>1</v>
      </c>
      <c r="T380" s="203">
        <v>1</v>
      </c>
      <c r="U380" s="203">
        <v>1</v>
      </c>
      <c r="V380" s="203">
        <v>1</v>
      </c>
      <c r="W380" s="203">
        <v>1</v>
      </c>
      <c r="X380" s="203">
        <v>1</v>
      </c>
      <c r="Y380" s="203">
        <v>1</v>
      </c>
      <c r="Z380" s="203">
        <v>1</v>
      </c>
      <c r="AB380" s="202">
        <v>1.8699999999999815</v>
      </c>
      <c r="AC380" s="203">
        <v>1</v>
      </c>
      <c r="AD380" s="203">
        <v>1</v>
      </c>
      <c r="AE380" s="203">
        <v>1</v>
      </c>
      <c r="AF380" s="203">
        <v>1</v>
      </c>
      <c r="AG380" s="203">
        <v>1</v>
      </c>
      <c r="AH380" s="203">
        <v>1</v>
      </c>
      <c r="AI380" s="203">
        <v>1</v>
      </c>
      <c r="AJ380" s="203">
        <v>1</v>
      </c>
      <c r="AK380" s="203">
        <v>1</v>
      </c>
      <c r="AL380" s="203">
        <v>1</v>
      </c>
    </row>
    <row r="381" spans="4:38" x14ac:dyDescent="0.25">
      <c r="D381" s="202">
        <v>1.8749999999999813</v>
      </c>
      <c r="E381" s="203">
        <v>1</v>
      </c>
      <c r="F381" s="203">
        <v>1</v>
      </c>
      <c r="G381" s="203">
        <v>1</v>
      </c>
      <c r="H381" s="203">
        <v>1</v>
      </c>
      <c r="I381" s="203">
        <v>1</v>
      </c>
      <c r="J381" s="203">
        <v>1</v>
      </c>
      <c r="K381" s="203">
        <v>1</v>
      </c>
      <c r="L381" s="203">
        <v>1</v>
      </c>
      <c r="M381" s="203">
        <v>1</v>
      </c>
      <c r="N381" s="203">
        <v>1</v>
      </c>
      <c r="P381" s="202">
        <v>1.8749999999999813</v>
      </c>
      <c r="Q381" s="203">
        <v>1</v>
      </c>
      <c r="R381" s="203">
        <v>1</v>
      </c>
      <c r="S381" s="203">
        <v>1</v>
      </c>
      <c r="T381" s="203">
        <v>1</v>
      </c>
      <c r="U381" s="203">
        <v>1</v>
      </c>
      <c r="V381" s="203">
        <v>1</v>
      </c>
      <c r="W381" s="203">
        <v>1</v>
      </c>
      <c r="X381" s="203">
        <v>1</v>
      </c>
      <c r="Y381" s="203">
        <v>1</v>
      </c>
      <c r="Z381" s="203">
        <v>1</v>
      </c>
      <c r="AB381" s="202">
        <v>1.8749999999999813</v>
      </c>
      <c r="AC381" s="203">
        <v>1</v>
      </c>
      <c r="AD381" s="203">
        <v>1</v>
      </c>
      <c r="AE381" s="203">
        <v>1</v>
      </c>
      <c r="AF381" s="203">
        <v>1</v>
      </c>
      <c r="AG381" s="203">
        <v>1</v>
      </c>
      <c r="AH381" s="203">
        <v>1</v>
      </c>
      <c r="AI381" s="203">
        <v>1</v>
      </c>
      <c r="AJ381" s="203">
        <v>1</v>
      </c>
      <c r="AK381" s="203">
        <v>1</v>
      </c>
      <c r="AL381" s="203">
        <v>1</v>
      </c>
    </row>
    <row r="382" spans="4:38" x14ac:dyDescent="0.25">
      <c r="D382" s="202">
        <v>1.8799999999999812</v>
      </c>
      <c r="E382" s="203">
        <v>1</v>
      </c>
      <c r="F382" s="203">
        <v>1</v>
      </c>
      <c r="G382" s="203">
        <v>1</v>
      </c>
      <c r="H382" s="203">
        <v>1</v>
      </c>
      <c r="I382" s="203">
        <v>1</v>
      </c>
      <c r="J382" s="203">
        <v>1</v>
      </c>
      <c r="K382" s="203">
        <v>1</v>
      </c>
      <c r="L382" s="203">
        <v>1</v>
      </c>
      <c r="M382" s="203">
        <v>1</v>
      </c>
      <c r="N382" s="203">
        <v>1</v>
      </c>
      <c r="P382" s="202">
        <v>1.8799999999999812</v>
      </c>
      <c r="Q382" s="203">
        <v>1</v>
      </c>
      <c r="R382" s="203">
        <v>1</v>
      </c>
      <c r="S382" s="203">
        <v>1</v>
      </c>
      <c r="T382" s="203">
        <v>1</v>
      </c>
      <c r="U382" s="203">
        <v>1</v>
      </c>
      <c r="V382" s="203">
        <v>1</v>
      </c>
      <c r="W382" s="203">
        <v>1</v>
      </c>
      <c r="X382" s="203">
        <v>1</v>
      </c>
      <c r="Y382" s="203">
        <v>1</v>
      </c>
      <c r="Z382" s="203">
        <v>1</v>
      </c>
      <c r="AB382" s="202">
        <v>1.8799999999999812</v>
      </c>
      <c r="AC382" s="203">
        <v>1</v>
      </c>
      <c r="AD382" s="203">
        <v>1</v>
      </c>
      <c r="AE382" s="203">
        <v>1</v>
      </c>
      <c r="AF382" s="203">
        <v>1</v>
      </c>
      <c r="AG382" s="203">
        <v>1</v>
      </c>
      <c r="AH382" s="203">
        <v>1</v>
      </c>
      <c r="AI382" s="203">
        <v>1</v>
      </c>
      <c r="AJ382" s="203">
        <v>1</v>
      </c>
      <c r="AK382" s="203">
        <v>1</v>
      </c>
      <c r="AL382" s="203">
        <v>1</v>
      </c>
    </row>
    <row r="383" spans="4:38" x14ac:dyDescent="0.25">
      <c r="D383" s="202">
        <v>1.8849999999999811</v>
      </c>
      <c r="E383" s="203">
        <v>1</v>
      </c>
      <c r="F383" s="203">
        <v>1</v>
      </c>
      <c r="G383" s="203">
        <v>1</v>
      </c>
      <c r="H383" s="203">
        <v>1</v>
      </c>
      <c r="I383" s="203">
        <v>1</v>
      </c>
      <c r="J383" s="203">
        <v>1</v>
      </c>
      <c r="K383" s="203">
        <v>1</v>
      </c>
      <c r="L383" s="203">
        <v>1</v>
      </c>
      <c r="M383" s="203">
        <v>1</v>
      </c>
      <c r="N383" s="203">
        <v>1</v>
      </c>
      <c r="P383" s="202">
        <v>1.8849999999999811</v>
      </c>
      <c r="Q383" s="203">
        <v>1</v>
      </c>
      <c r="R383" s="203">
        <v>1</v>
      </c>
      <c r="S383" s="203">
        <v>1</v>
      </c>
      <c r="T383" s="203">
        <v>1</v>
      </c>
      <c r="U383" s="203">
        <v>1</v>
      </c>
      <c r="V383" s="203">
        <v>1</v>
      </c>
      <c r="W383" s="203">
        <v>1</v>
      </c>
      <c r="X383" s="203">
        <v>1</v>
      </c>
      <c r="Y383" s="203">
        <v>1</v>
      </c>
      <c r="Z383" s="203">
        <v>1</v>
      </c>
      <c r="AB383" s="202">
        <v>1.8849999999999811</v>
      </c>
      <c r="AC383" s="203">
        <v>1</v>
      </c>
      <c r="AD383" s="203">
        <v>1</v>
      </c>
      <c r="AE383" s="203">
        <v>1</v>
      </c>
      <c r="AF383" s="203">
        <v>1</v>
      </c>
      <c r="AG383" s="203">
        <v>1</v>
      </c>
      <c r="AH383" s="203">
        <v>1</v>
      </c>
      <c r="AI383" s="203">
        <v>1</v>
      </c>
      <c r="AJ383" s="203">
        <v>1</v>
      </c>
      <c r="AK383" s="203">
        <v>1</v>
      </c>
      <c r="AL383" s="203">
        <v>1</v>
      </c>
    </row>
    <row r="384" spans="4:38" x14ac:dyDescent="0.25">
      <c r="D384" s="202">
        <v>1.889999999999981</v>
      </c>
      <c r="E384" s="203">
        <v>1</v>
      </c>
      <c r="F384" s="203">
        <v>1</v>
      </c>
      <c r="G384" s="203">
        <v>1</v>
      </c>
      <c r="H384" s="203">
        <v>1</v>
      </c>
      <c r="I384" s="203">
        <v>1</v>
      </c>
      <c r="J384" s="203">
        <v>1</v>
      </c>
      <c r="K384" s="203">
        <v>1</v>
      </c>
      <c r="L384" s="203">
        <v>1</v>
      </c>
      <c r="M384" s="203">
        <v>1</v>
      </c>
      <c r="N384" s="203">
        <v>1</v>
      </c>
      <c r="P384" s="202">
        <v>1.889999999999981</v>
      </c>
      <c r="Q384" s="203">
        <v>1</v>
      </c>
      <c r="R384" s="203">
        <v>1</v>
      </c>
      <c r="S384" s="203">
        <v>1</v>
      </c>
      <c r="T384" s="203">
        <v>1</v>
      </c>
      <c r="U384" s="203">
        <v>1</v>
      </c>
      <c r="V384" s="203">
        <v>1</v>
      </c>
      <c r="W384" s="203">
        <v>1</v>
      </c>
      <c r="X384" s="203">
        <v>1</v>
      </c>
      <c r="Y384" s="203">
        <v>1</v>
      </c>
      <c r="Z384" s="203">
        <v>1</v>
      </c>
      <c r="AB384" s="202">
        <v>1.889999999999981</v>
      </c>
      <c r="AC384" s="203">
        <v>1</v>
      </c>
      <c r="AD384" s="203">
        <v>1</v>
      </c>
      <c r="AE384" s="203">
        <v>1</v>
      </c>
      <c r="AF384" s="203">
        <v>1</v>
      </c>
      <c r="AG384" s="203">
        <v>1</v>
      </c>
      <c r="AH384" s="203">
        <v>1</v>
      </c>
      <c r="AI384" s="203">
        <v>1</v>
      </c>
      <c r="AJ384" s="203">
        <v>1</v>
      </c>
      <c r="AK384" s="203">
        <v>1</v>
      </c>
      <c r="AL384" s="203">
        <v>1</v>
      </c>
    </row>
    <row r="385" spans="4:38" x14ac:dyDescent="0.25">
      <c r="D385" s="202">
        <v>1.8949999999999809</v>
      </c>
      <c r="E385" s="203">
        <v>1</v>
      </c>
      <c r="F385" s="203">
        <v>1</v>
      </c>
      <c r="G385" s="203">
        <v>1</v>
      </c>
      <c r="H385" s="203">
        <v>1</v>
      </c>
      <c r="I385" s="203">
        <v>1</v>
      </c>
      <c r="J385" s="203">
        <v>1</v>
      </c>
      <c r="K385" s="203">
        <v>1</v>
      </c>
      <c r="L385" s="203">
        <v>1</v>
      </c>
      <c r="M385" s="203">
        <v>1</v>
      </c>
      <c r="N385" s="203">
        <v>1</v>
      </c>
      <c r="P385" s="202">
        <v>1.8949999999999809</v>
      </c>
      <c r="Q385" s="203">
        <v>1</v>
      </c>
      <c r="R385" s="203">
        <v>1</v>
      </c>
      <c r="S385" s="203">
        <v>1</v>
      </c>
      <c r="T385" s="203">
        <v>1</v>
      </c>
      <c r="U385" s="203">
        <v>1</v>
      </c>
      <c r="V385" s="203">
        <v>1</v>
      </c>
      <c r="W385" s="203">
        <v>1</v>
      </c>
      <c r="X385" s="203">
        <v>1</v>
      </c>
      <c r="Y385" s="203">
        <v>1</v>
      </c>
      <c r="Z385" s="203">
        <v>1</v>
      </c>
      <c r="AB385" s="202">
        <v>1.8949999999999809</v>
      </c>
      <c r="AC385" s="203">
        <v>1</v>
      </c>
      <c r="AD385" s="203">
        <v>1</v>
      </c>
      <c r="AE385" s="203">
        <v>1</v>
      </c>
      <c r="AF385" s="203">
        <v>1</v>
      </c>
      <c r="AG385" s="203">
        <v>1</v>
      </c>
      <c r="AH385" s="203">
        <v>1</v>
      </c>
      <c r="AI385" s="203">
        <v>1</v>
      </c>
      <c r="AJ385" s="203">
        <v>1</v>
      </c>
      <c r="AK385" s="203">
        <v>1</v>
      </c>
      <c r="AL385" s="203">
        <v>1</v>
      </c>
    </row>
    <row r="386" spans="4:38" x14ac:dyDescent="0.25">
      <c r="D386" s="202">
        <v>1.8999999999999808</v>
      </c>
      <c r="E386" s="203">
        <v>1</v>
      </c>
      <c r="F386" s="203">
        <v>1</v>
      </c>
      <c r="G386" s="203">
        <v>1</v>
      </c>
      <c r="H386" s="203">
        <v>1</v>
      </c>
      <c r="I386" s="203">
        <v>1</v>
      </c>
      <c r="J386" s="203">
        <v>1</v>
      </c>
      <c r="K386" s="203">
        <v>1</v>
      </c>
      <c r="L386" s="203">
        <v>1</v>
      </c>
      <c r="M386" s="203">
        <v>1</v>
      </c>
      <c r="N386" s="203">
        <v>1</v>
      </c>
      <c r="P386" s="202">
        <v>1.8999999999999808</v>
      </c>
      <c r="Q386" s="203">
        <v>1</v>
      </c>
      <c r="R386" s="203">
        <v>1</v>
      </c>
      <c r="S386" s="203">
        <v>1</v>
      </c>
      <c r="T386" s="203">
        <v>1</v>
      </c>
      <c r="U386" s="203">
        <v>1</v>
      </c>
      <c r="V386" s="203">
        <v>1</v>
      </c>
      <c r="W386" s="203">
        <v>1</v>
      </c>
      <c r="X386" s="203">
        <v>1</v>
      </c>
      <c r="Y386" s="203">
        <v>1</v>
      </c>
      <c r="Z386" s="203">
        <v>1</v>
      </c>
      <c r="AB386" s="202">
        <v>1.8999999999999808</v>
      </c>
      <c r="AC386" s="203">
        <v>1</v>
      </c>
      <c r="AD386" s="203">
        <v>1</v>
      </c>
      <c r="AE386" s="203">
        <v>1</v>
      </c>
      <c r="AF386" s="203">
        <v>1</v>
      </c>
      <c r="AG386" s="203">
        <v>1</v>
      </c>
      <c r="AH386" s="203">
        <v>1</v>
      </c>
      <c r="AI386" s="203">
        <v>1</v>
      </c>
      <c r="AJ386" s="203">
        <v>1</v>
      </c>
      <c r="AK386" s="203">
        <v>1</v>
      </c>
      <c r="AL386" s="203">
        <v>1</v>
      </c>
    </row>
    <row r="387" spans="4:38" x14ac:dyDescent="0.25">
      <c r="D387" s="202">
        <v>1.9049999999999807</v>
      </c>
      <c r="E387" s="203">
        <v>1</v>
      </c>
      <c r="F387" s="203">
        <v>1</v>
      </c>
      <c r="G387" s="203">
        <v>1</v>
      </c>
      <c r="H387" s="203">
        <v>1</v>
      </c>
      <c r="I387" s="203">
        <v>1</v>
      </c>
      <c r="J387" s="203">
        <v>1</v>
      </c>
      <c r="K387" s="203">
        <v>1</v>
      </c>
      <c r="L387" s="203">
        <v>1</v>
      </c>
      <c r="M387" s="203">
        <v>1</v>
      </c>
      <c r="N387" s="203">
        <v>1</v>
      </c>
      <c r="P387" s="202">
        <v>1.9049999999999807</v>
      </c>
      <c r="Q387" s="203">
        <v>1</v>
      </c>
      <c r="R387" s="203">
        <v>1</v>
      </c>
      <c r="S387" s="203">
        <v>1</v>
      </c>
      <c r="T387" s="203">
        <v>1</v>
      </c>
      <c r="U387" s="203">
        <v>1</v>
      </c>
      <c r="V387" s="203">
        <v>1</v>
      </c>
      <c r="W387" s="203">
        <v>1</v>
      </c>
      <c r="X387" s="203">
        <v>1</v>
      </c>
      <c r="Y387" s="203">
        <v>1</v>
      </c>
      <c r="Z387" s="203">
        <v>1</v>
      </c>
      <c r="AB387" s="202">
        <v>1.9049999999999807</v>
      </c>
      <c r="AC387" s="203">
        <v>1</v>
      </c>
      <c r="AD387" s="203">
        <v>1</v>
      </c>
      <c r="AE387" s="203">
        <v>1</v>
      </c>
      <c r="AF387" s="203">
        <v>1</v>
      </c>
      <c r="AG387" s="203">
        <v>1</v>
      </c>
      <c r="AH387" s="203">
        <v>1</v>
      </c>
      <c r="AI387" s="203">
        <v>1</v>
      </c>
      <c r="AJ387" s="203">
        <v>1</v>
      </c>
      <c r="AK387" s="203">
        <v>1</v>
      </c>
      <c r="AL387" s="203">
        <v>1</v>
      </c>
    </row>
    <row r="388" spans="4:38" x14ac:dyDescent="0.25">
      <c r="D388" s="202">
        <v>1.9099999999999806</v>
      </c>
      <c r="E388" s="203">
        <v>1</v>
      </c>
      <c r="F388" s="203">
        <v>1</v>
      </c>
      <c r="G388" s="203">
        <v>1</v>
      </c>
      <c r="H388" s="203">
        <v>1</v>
      </c>
      <c r="I388" s="203">
        <v>1</v>
      </c>
      <c r="J388" s="203">
        <v>1</v>
      </c>
      <c r="K388" s="203">
        <v>1</v>
      </c>
      <c r="L388" s="203">
        <v>1</v>
      </c>
      <c r="M388" s="203">
        <v>1</v>
      </c>
      <c r="N388" s="203">
        <v>1</v>
      </c>
      <c r="P388" s="202">
        <v>1.9099999999999806</v>
      </c>
      <c r="Q388" s="203">
        <v>1</v>
      </c>
      <c r="R388" s="203">
        <v>1</v>
      </c>
      <c r="S388" s="203">
        <v>1</v>
      </c>
      <c r="T388" s="203">
        <v>1</v>
      </c>
      <c r="U388" s="203">
        <v>1</v>
      </c>
      <c r="V388" s="203">
        <v>1</v>
      </c>
      <c r="W388" s="203">
        <v>1</v>
      </c>
      <c r="X388" s="203">
        <v>1</v>
      </c>
      <c r="Y388" s="203">
        <v>1</v>
      </c>
      <c r="Z388" s="203">
        <v>1</v>
      </c>
      <c r="AB388" s="202">
        <v>1.9099999999999806</v>
      </c>
      <c r="AC388" s="203">
        <v>1</v>
      </c>
      <c r="AD388" s="203">
        <v>1</v>
      </c>
      <c r="AE388" s="203">
        <v>1</v>
      </c>
      <c r="AF388" s="203">
        <v>1</v>
      </c>
      <c r="AG388" s="203">
        <v>1</v>
      </c>
      <c r="AH388" s="203">
        <v>1</v>
      </c>
      <c r="AI388" s="203">
        <v>1</v>
      </c>
      <c r="AJ388" s="203">
        <v>1</v>
      </c>
      <c r="AK388" s="203">
        <v>1</v>
      </c>
      <c r="AL388" s="203">
        <v>1</v>
      </c>
    </row>
    <row r="389" spans="4:38" x14ac:dyDescent="0.25">
      <c r="D389" s="202">
        <v>1.9149999999999805</v>
      </c>
      <c r="E389" s="203">
        <v>1</v>
      </c>
      <c r="F389" s="203">
        <v>1</v>
      </c>
      <c r="G389" s="203">
        <v>1</v>
      </c>
      <c r="H389" s="203">
        <v>1</v>
      </c>
      <c r="I389" s="203">
        <v>1</v>
      </c>
      <c r="J389" s="203">
        <v>1</v>
      </c>
      <c r="K389" s="203">
        <v>1</v>
      </c>
      <c r="L389" s="203">
        <v>1</v>
      </c>
      <c r="M389" s="203">
        <v>1</v>
      </c>
      <c r="N389" s="203">
        <v>1</v>
      </c>
      <c r="P389" s="202">
        <v>1.9149999999999805</v>
      </c>
      <c r="Q389" s="203">
        <v>1</v>
      </c>
      <c r="R389" s="203">
        <v>1</v>
      </c>
      <c r="S389" s="203">
        <v>1</v>
      </c>
      <c r="T389" s="203">
        <v>1</v>
      </c>
      <c r="U389" s="203">
        <v>1</v>
      </c>
      <c r="V389" s="203">
        <v>1</v>
      </c>
      <c r="W389" s="203">
        <v>1</v>
      </c>
      <c r="X389" s="203">
        <v>1</v>
      </c>
      <c r="Y389" s="203">
        <v>1</v>
      </c>
      <c r="Z389" s="203">
        <v>1</v>
      </c>
      <c r="AB389" s="202">
        <v>1.9149999999999805</v>
      </c>
      <c r="AC389" s="203">
        <v>1</v>
      </c>
      <c r="AD389" s="203">
        <v>1</v>
      </c>
      <c r="AE389" s="203">
        <v>1</v>
      </c>
      <c r="AF389" s="203">
        <v>1</v>
      </c>
      <c r="AG389" s="203">
        <v>1</v>
      </c>
      <c r="AH389" s="203">
        <v>1</v>
      </c>
      <c r="AI389" s="203">
        <v>1</v>
      </c>
      <c r="AJ389" s="203">
        <v>1</v>
      </c>
      <c r="AK389" s="203">
        <v>1</v>
      </c>
      <c r="AL389" s="203">
        <v>1</v>
      </c>
    </row>
    <row r="390" spans="4:38" x14ac:dyDescent="0.25">
      <c r="D390" s="202">
        <v>1.9199999999999804</v>
      </c>
      <c r="E390" s="203">
        <v>1</v>
      </c>
      <c r="F390" s="203">
        <v>1</v>
      </c>
      <c r="G390" s="203">
        <v>1</v>
      </c>
      <c r="H390" s="203">
        <v>1</v>
      </c>
      <c r="I390" s="203">
        <v>1</v>
      </c>
      <c r="J390" s="203">
        <v>1</v>
      </c>
      <c r="K390" s="203">
        <v>1</v>
      </c>
      <c r="L390" s="203">
        <v>1</v>
      </c>
      <c r="M390" s="203">
        <v>1</v>
      </c>
      <c r="N390" s="203">
        <v>1</v>
      </c>
      <c r="P390" s="202">
        <v>1.9199999999999804</v>
      </c>
      <c r="Q390" s="203">
        <v>1</v>
      </c>
      <c r="R390" s="203">
        <v>1</v>
      </c>
      <c r="S390" s="203">
        <v>1</v>
      </c>
      <c r="T390" s="203">
        <v>1</v>
      </c>
      <c r="U390" s="203">
        <v>1</v>
      </c>
      <c r="V390" s="203">
        <v>1</v>
      </c>
      <c r="W390" s="203">
        <v>1</v>
      </c>
      <c r="X390" s="203">
        <v>1</v>
      </c>
      <c r="Y390" s="203">
        <v>1</v>
      </c>
      <c r="Z390" s="203">
        <v>1</v>
      </c>
      <c r="AB390" s="202">
        <v>1.9199999999999804</v>
      </c>
      <c r="AC390" s="203">
        <v>1</v>
      </c>
      <c r="AD390" s="203">
        <v>1</v>
      </c>
      <c r="AE390" s="203">
        <v>1</v>
      </c>
      <c r="AF390" s="203">
        <v>1</v>
      </c>
      <c r="AG390" s="203">
        <v>1</v>
      </c>
      <c r="AH390" s="203">
        <v>1</v>
      </c>
      <c r="AI390" s="203">
        <v>1</v>
      </c>
      <c r="AJ390" s="203">
        <v>1</v>
      </c>
      <c r="AK390" s="203">
        <v>1</v>
      </c>
      <c r="AL390" s="203">
        <v>1</v>
      </c>
    </row>
    <row r="391" spans="4:38" x14ac:dyDescent="0.25">
      <c r="D391" s="202">
        <v>1.9249999999999803</v>
      </c>
      <c r="E391" s="203">
        <v>1</v>
      </c>
      <c r="F391" s="203">
        <v>1</v>
      </c>
      <c r="G391" s="203">
        <v>1</v>
      </c>
      <c r="H391" s="203">
        <v>1</v>
      </c>
      <c r="I391" s="203">
        <v>1</v>
      </c>
      <c r="J391" s="203">
        <v>1</v>
      </c>
      <c r="K391" s="203">
        <v>1</v>
      </c>
      <c r="L391" s="203">
        <v>1</v>
      </c>
      <c r="M391" s="203">
        <v>1</v>
      </c>
      <c r="N391" s="203">
        <v>1</v>
      </c>
      <c r="P391" s="202">
        <v>1.9249999999999803</v>
      </c>
      <c r="Q391" s="203">
        <v>1</v>
      </c>
      <c r="R391" s="203">
        <v>1</v>
      </c>
      <c r="S391" s="203">
        <v>1</v>
      </c>
      <c r="T391" s="203">
        <v>1</v>
      </c>
      <c r="U391" s="203">
        <v>1</v>
      </c>
      <c r="V391" s="203">
        <v>1</v>
      </c>
      <c r="W391" s="203">
        <v>1</v>
      </c>
      <c r="X391" s="203">
        <v>1</v>
      </c>
      <c r="Y391" s="203">
        <v>1</v>
      </c>
      <c r="Z391" s="203">
        <v>1</v>
      </c>
      <c r="AB391" s="202">
        <v>1.9249999999999803</v>
      </c>
      <c r="AC391" s="203">
        <v>1</v>
      </c>
      <c r="AD391" s="203">
        <v>1</v>
      </c>
      <c r="AE391" s="203">
        <v>1</v>
      </c>
      <c r="AF391" s="203">
        <v>1</v>
      </c>
      <c r="AG391" s="203">
        <v>1</v>
      </c>
      <c r="AH391" s="203">
        <v>1</v>
      </c>
      <c r="AI391" s="203">
        <v>1</v>
      </c>
      <c r="AJ391" s="203">
        <v>1</v>
      </c>
      <c r="AK391" s="203">
        <v>1</v>
      </c>
      <c r="AL391" s="203">
        <v>1</v>
      </c>
    </row>
    <row r="392" spans="4:38" x14ac:dyDescent="0.25">
      <c r="D392" s="202">
        <v>1.9299999999999802</v>
      </c>
      <c r="E392" s="203">
        <v>1</v>
      </c>
      <c r="F392" s="203">
        <v>1</v>
      </c>
      <c r="G392" s="203">
        <v>1</v>
      </c>
      <c r="H392" s="203">
        <v>1</v>
      </c>
      <c r="I392" s="203">
        <v>1</v>
      </c>
      <c r="J392" s="203">
        <v>1</v>
      </c>
      <c r="K392" s="203">
        <v>1</v>
      </c>
      <c r="L392" s="203">
        <v>1</v>
      </c>
      <c r="M392" s="203">
        <v>1</v>
      </c>
      <c r="N392" s="203">
        <v>1</v>
      </c>
      <c r="P392" s="202">
        <v>1.9299999999999802</v>
      </c>
      <c r="Q392" s="203">
        <v>1</v>
      </c>
      <c r="R392" s="203">
        <v>1</v>
      </c>
      <c r="S392" s="203">
        <v>1</v>
      </c>
      <c r="T392" s="203">
        <v>1</v>
      </c>
      <c r="U392" s="203">
        <v>1</v>
      </c>
      <c r="V392" s="203">
        <v>1</v>
      </c>
      <c r="W392" s="203">
        <v>1</v>
      </c>
      <c r="X392" s="203">
        <v>1</v>
      </c>
      <c r="Y392" s="203">
        <v>1</v>
      </c>
      <c r="Z392" s="203">
        <v>1</v>
      </c>
      <c r="AB392" s="202">
        <v>1.9299999999999802</v>
      </c>
      <c r="AC392" s="203">
        <v>1</v>
      </c>
      <c r="AD392" s="203">
        <v>1</v>
      </c>
      <c r="AE392" s="203">
        <v>1</v>
      </c>
      <c r="AF392" s="203">
        <v>1</v>
      </c>
      <c r="AG392" s="203">
        <v>1</v>
      </c>
      <c r="AH392" s="203">
        <v>1</v>
      </c>
      <c r="AI392" s="203">
        <v>1</v>
      </c>
      <c r="AJ392" s="203">
        <v>1</v>
      </c>
      <c r="AK392" s="203">
        <v>1</v>
      </c>
      <c r="AL392" s="203">
        <v>1</v>
      </c>
    </row>
    <row r="393" spans="4:38" x14ac:dyDescent="0.25">
      <c r="D393" s="202">
        <v>1.9349999999999801</v>
      </c>
      <c r="E393" s="203">
        <v>1</v>
      </c>
      <c r="F393" s="203">
        <v>1</v>
      </c>
      <c r="G393" s="203">
        <v>1</v>
      </c>
      <c r="H393" s="203">
        <v>1</v>
      </c>
      <c r="I393" s="203">
        <v>1</v>
      </c>
      <c r="J393" s="203">
        <v>1</v>
      </c>
      <c r="K393" s="203">
        <v>1</v>
      </c>
      <c r="L393" s="203">
        <v>1</v>
      </c>
      <c r="M393" s="203">
        <v>1</v>
      </c>
      <c r="N393" s="203">
        <v>1</v>
      </c>
      <c r="P393" s="202">
        <v>1.9349999999999801</v>
      </c>
      <c r="Q393" s="203">
        <v>1</v>
      </c>
      <c r="R393" s="203">
        <v>1</v>
      </c>
      <c r="S393" s="203">
        <v>1</v>
      </c>
      <c r="T393" s="203">
        <v>1</v>
      </c>
      <c r="U393" s="203">
        <v>1</v>
      </c>
      <c r="V393" s="203">
        <v>1</v>
      </c>
      <c r="W393" s="203">
        <v>1</v>
      </c>
      <c r="X393" s="203">
        <v>1</v>
      </c>
      <c r="Y393" s="203">
        <v>1</v>
      </c>
      <c r="Z393" s="203">
        <v>1</v>
      </c>
      <c r="AB393" s="202">
        <v>1.9349999999999801</v>
      </c>
      <c r="AC393" s="203">
        <v>1</v>
      </c>
      <c r="AD393" s="203">
        <v>1</v>
      </c>
      <c r="AE393" s="203">
        <v>1</v>
      </c>
      <c r="AF393" s="203">
        <v>1</v>
      </c>
      <c r="AG393" s="203">
        <v>1</v>
      </c>
      <c r="AH393" s="203">
        <v>1</v>
      </c>
      <c r="AI393" s="203">
        <v>1</v>
      </c>
      <c r="AJ393" s="203">
        <v>1</v>
      </c>
      <c r="AK393" s="203">
        <v>1</v>
      </c>
      <c r="AL393" s="203">
        <v>1</v>
      </c>
    </row>
    <row r="394" spans="4:38" x14ac:dyDescent="0.25">
      <c r="D394" s="202">
        <v>1.93999999999998</v>
      </c>
      <c r="E394" s="203">
        <v>1</v>
      </c>
      <c r="F394" s="203">
        <v>1</v>
      </c>
      <c r="G394" s="203">
        <v>1</v>
      </c>
      <c r="H394" s="203">
        <v>1</v>
      </c>
      <c r="I394" s="203">
        <v>1</v>
      </c>
      <c r="J394" s="203">
        <v>1</v>
      </c>
      <c r="K394" s="203">
        <v>1</v>
      </c>
      <c r="L394" s="203">
        <v>1</v>
      </c>
      <c r="M394" s="203">
        <v>1</v>
      </c>
      <c r="N394" s="203">
        <v>1</v>
      </c>
      <c r="P394" s="202">
        <v>1.93999999999998</v>
      </c>
      <c r="Q394" s="203">
        <v>1</v>
      </c>
      <c r="R394" s="203">
        <v>1</v>
      </c>
      <c r="S394" s="203">
        <v>1</v>
      </c>
      <c r="T394" s="203">
        <v>1</v>
      </c>
      <c r="U394" s="203">
        <v>1</v>
      </c>
      <c r="V394" s="203">
        <v>1</v>
      </c>
      <c r="W394" s="203">
        <v>1</v>
      </c>
      <c r="X394" s="203">
        <v>1</v>
      </c>
      <c r="Y394" s="203">
        <v>1</v>
      </c>
      <c r="Z394" s="203">
        <v>1</v>
      </c>
      <c r="AB394" s="202">
        <v>1.93999999999998</v>
      </c>
      <c r="AC394" s="203">
        <v>1</v>
      </c>
      <c r="AD394" s="203">
        <v>1</v>
      </c>
      <c r="AE394" s="203">
        <v>1</v>
      </c>
      <c r="AF394" s="203">
        <v>1</v>
      </c>
      <c r="AG394" s="203">
        <v>1</v>
      </c>
      <c r="AH394" s="203">
        <v>1</v>
      </c>
      <c r="AI394" s="203">
        <v>1</v>
      </c>
      <c r="AJ394" s="203">
        <v>1</v>
      </c>
      <c r="AK394" s="203">
        <v>1</v>
      </c>
      <c r="AL394" s="203">
        <v>1</v>
      </c>
    </row>
    <row r="395" spans="4:38" x14ac:dyDescent="0.25">
      <c r="D395" s="202">
        <v>1.9449999999999799</v>
      </c>
      <c r="E395" s="203">
        <v>1</v>
      </c>
      <c r="F395" s="203">
        <v>1</v>
      </c>
      <c r="G395" s="203">
        <v>1</v>
      </c>
      <c r="H395" s="203">
        <v>1</v>
      </c>
      <c r="I395" s="203">
        <v>1</v>
      </c>
      <c r="J395" s="203">
        <v>1</v>
      </c>
      <c r="K395" s="203">
        <v>1</v>
      </c>
      <c r="L395" s="203">
        <v>1</v>
      </c>
      <c r="M395" s="203">
        <v>1</v>
      </c>
      <c r="N395" s="203">
        <v>1</v>
      </c>
      <c r="P395" s="202">
        <v>1.9449999999999799</v>
      </c>
      <c r="Q395" s="203">
        <v>1</v>
      </c>
      <c r="R395" s="203">
        <v>1</v>
      </c>
      <c r="S395" s="203">
        <v>1</v>
      </c>
      <c r="T395" s="203">
        <v>1</v>
      </c>
      <c r="U395" s="203">
        <v>1</v>
      </c>
      <c r="V395" s="203">
        <v>1</v>
      </c>
      <c r="W395" s="203">
        <v>1</v>
      </c>
      <c r="X395" s="203">
        <v>1</v>
      </c>
      <c r="Y395" s="203">
        <v>1</v>
      </c>
      <c r="Z395" s="203">
        <v>1</v>
      </c>
      <c r="AB395" s="202">
        <v>1.9449999999999799</v>
      </c>
      <c r="AC395" s="203">
        <v>1</v>
      </c>
      <c r="AD395" s="203">
        <v>1</v>
      </c>
      <c r="AE395" s="203">
        <v>1</v>
      </c>
      <c r="AF395" s="203">
        <v>1</v>
      </c>
      <c r="AG395" s="203">
        <v>1</v>
      </c>
      <c r="AH395" s="203">
        <v>1</v>
      </c>
      <c r="AI395" s="203">
        <v>1</v>
      </c>
      <c r="AJ395" s="203">
        <v>1</v>
      </c>
      <c r="AK395" s="203">
        <v>1</v>
      </c>
      <c r="AL395" s="203">
        <v>1</v>
      </c>
    </row>
    <row r="396" spans="4:38" x14ac:dyDescent="0.25">
      <c r="D396" s="202">
        <v>1.9499999999999797</v>
      </c>
      <c r="E396" s="203">
        <v>1</v>
      </c>
      <c r="F396" s="203">
        <v>1</v>
      </c>
      <c r="G396" s="203">
        <v>1</v>
      </c>
      <c r="H396" s="203">
        <v>1</v>
      </c>
      <c r="I396" s="203">
        <v>1</v>
      </c>
      <c r="J396" s="203">
        <v>1</v>
      </c>
      <c r="K396" s="203">
        <v>1</v>
      </c>
      <c r="L396" s="203">
        <v>1</v>
      </c>
      <c r="M396" s="203">
        <v>1</v>
      </c>
      <c r="N396" s="203">
        <v>1</v>
      </c>
      <c r="P396" s="202">
        <v>1.9499999999999797</v>
      </c>
      <c r="Q396" s="203">
        <v>1</v>
      </c>
      <c r="R396" s="203">
        <v>1</v>
      </c>
      <c r="S396" s="203">
        <v>1</v>
      </c>
      <c r="T396" s="203">
        <v>1</v>
      </c>
      <c r="U396" s="203">
        <v>1</v>
      </c>
      <c r="V396" s="203">
        <v>1</v>
      </c>
      <c r="W396" s="203">
        <v>1</v>
      </c>
      <c r="X396" s="203">
        <v>1</v>
      </c>
      <c r="Y396" s="203">
        <v>1</v>
      </c>
      <c r="Z396" s="203">
        <v>1</v>
      </c>
      <c r="AB396" s="202">
        <v>1.9499999999999797</v>
      </c>
      <c r="AC396" s="203">
        <v>1</v>
      </c>
      <c r="AD396" s="203">
        <v>1</v>
      </c>
      <c r="AE396" s="203">
        <v>1</v>
      </c>
      <c r="AF396" s="203">
        <v>1</v>
      </c>
      <c r="AG396" s="203">
        <v>1</v>
      </c>
      <c r="AH396" s="203">
        <v>1</v>
      </c>
      <c r="AI396" s="203">
        <v>1</v>
      </c>
      <c r="AJ396" s="203">
        <v>1</v>
      </c>
      <c r="AK396" s="203">
        <v>1</v>
      </c>
      <c r="AL396" s="203">
        <v>1</v>
      </c>
    </row>
    <row r="397" spans="4:38" x14ac:dyDescent="0.25">
      <c r="D397" s="202">
        <v>1.9549999999999796</v>
      </c>
      <c r="E397" s="203">
        <v>1</v>
      </c>
      <c r="F397" s="203">
        <v>1</v>
      </c>
      <c r="G397" s="203">
        <v>1</v>
      </c>
      <c r="H397" s="203">
        <v>1</v>
      </c>
      <c r="I397" s="203">
        <v>1</v>
      </c>
      <c r="J397" s="203">
        <v>1</v>
      </c>
      <c r="K397" s="203">
        <v>1</v>
      </c>
      <c r="L397" s="203">
        <v>1</v>
      </c>
      <c r="M397" s="203">
        <v>1</v>
      </c>
      <c r="N397" s="203">
        <v>1</v>
      </c>
      <c r="P397" s="202">
        <v>1.9549999999999796</v>
      </c>
      <c r="Q397" s="203">
        <v>1</v>
      </c>
      <c r="R397" s="203">
        <v>1</v>
      </c>
      <c r="S397" s="203">
        <v>1</v>
      </c>
      <c r="T397" s="203">
        <v>1</v>
      </c>
      <c r="U397" s="203">
        <v>1</v>
      </c>
      <c r="V397" s="203">
        <v>1</v>
      </c>
      <c r="W397" s="203">
        <v>1</v>
      </c>
      <c r="X397" s="203">
        <v>1</v>
      </c>
      <c r="Y397" s="203">
        <v>1</v>
      </c>
      <c r="Z397" s="203">
        <v>1</v>
      </c>
      <c r="AB397" s="202">
        <v>1.9549999999999796</v>
      </c>
      <c r="AC397" s="203">
        <v>1</v>
      </c>
      <c r="AD397" s="203">
        <v>1</v>
      </c>
      <c r="AE397" s="203">
        <v>1</v>
      </c>
      <c r="AF397" s="203">
        <v>1</v>
      </c>
      <c r="AG397" s="203">
        <v>1</v>
      </c>
      <c r="AH397" s="203">
        <v>1</v>
      </c>
      <c r="AI397" s="203">
        <v>1</v>
      </c>
      <c r="AJ397" s="203">
        <v>1</v>
      </c>
      <c r="AK397" s="203">
        <v>1</v>
      </c>
      <c r="AL397" s="203">
        <v>1</v>
      </c>
    </row>
    <row r="398" spans="4:38" x14ac:dyDescent="0.25">
      <c r="D398" s="202">
        <v>1.9599999999999795</v>
      </c>
      <c r="E398" s="203">
        <v>1</v>
      </c>
      <c r="F398" s="203">
        <v>1</v>
      </c>
      <c r="G398" s="203">
        <v>1</v>
      </c>
      <c r="H398" s="203">
        <v>1</v>
      </c>
      <c r="I398" s="203">
        <v>1</v>
      </c>
      <c r="J398" s="203">
        <v>1</v>
      </c>
      <c r="K398" s="203">
        <v>1</v>
      </c>
      <c r="L398" s="203">
        <v>1</v>
      </c>
      <c r="M398" s="203">
        <v>1</v>
      </c>
      <c r="N398" s="203">
        <v>1</v>
      </c>
      <c r="P398" s="202">
        <v>1.9599999999999795</v>
      </c>
      <c r="Q398" s="203">
        <v>1</v>
      </c>
      <c r="R398" s="203">
        <v>1</v>
      </c>
      <c r="S398" s="203">
        <v>1</v>
      </c>
      <c r="T398" s="203">
        <v>1</v>
      </c>
      <c r="U398" s="203">
        <v>1</v>
      </c>
      <c r="V398" s="203">
        <v>1</v>
      </c>
      <c r="W398" s="203">
        <v>1</v>
      </c>
      <c r="X398" s="203">
        <v>1</v>
      </c>
      <c r="Y398" s="203">
        <v>1</v>
      </c>
      <c r="Z398" s="203">
        <v>1</v>
      </c>
      <c r="AB398" s="202">
        <v>1.9599999999999795</v>
      </c>
      <c r="AC398" s="203">
        <v>1</v>
      </c>
      <c r="AD398" s="203">
        <v>1</v>
      </c>
      <c r="AE398" s="203">
        <v>1</v>
      </c>
      <c r="AF398" s="203">
        <v>1</v>
      </c>
      <c r="AG398" s="203">
        <v>1</v>
      </c>
      <c r="AH398" s="203">
        <v>1</v>
      </c>
      <c r="AI398" s="203">
        <v>1</v>
      </c>
      <c r="AJ398" s="203">
        <v>1</v>
      </c>
      <c r="AK398" s="203">
        <v>1</v>
      </c>
      <c r="AL398" s="203">
        <v>1</v>
      </c>
    </row>
    <row r="399" spans="4:38" x14ac:dyDescent="0.25">
      <c r="D399" s="202">
        <v>1.9649999999999794</v>
      </c>
      <c r="E399" s="203">
        <v>1</v>
      </c>
      <c r="F399" s="203">
        <v>1</v>
      </c>
      <c r="G399" s="203">
        <v>1</v>
      </c>
      <c r="H399" s="203">
        <v>1</v>
      </c>
      <c r="I399" s="203">
        <v>1</v>
      </c>
      <c r="J399" s="203">
        <v>1</v>
      </c>
      <c r="K399" s="203">
        <v>1</v>
      </c>
      <c r="L399" s="203">
        <v>1</v>
      </c>
      <c r="M399" s="203">
        <v>1</v>
      </c>
      <c r="N399" s="203">
        <v>1</v>
      </c>
      <c r="P399" s="202">
        <v>1.9649999999999794</v>
      </c>
      <c r="Q399" s="203">
        <v>1</v>
      </c>
      <c r="R399" s="203">
        <v>1</v>
      </c>
      <c r="S399" s="203">
        <v>1</v>
      </c>
      <c r="T399" s="203">
        <v>1</v>
      </c>
      <c r="U399" s="203">
        <v>1</v>
      </c>
      <c r="V399" s="203">
        <v>1</v>
      </c>
      <c r="W399" s="203">
        <v>1</v>
      </c>
      <c r="X399" s="203">
        <v>1</v>
      </c>
      <c r="Y399" s="203">
        <v>1</v>
      </c>
      <c r="Z399" s="203">
        <v>1</v>
      </c>
      <c r="AB399" s="202">
        <v>1.9649999999999794</v>
      </c>
      <c r="AC399" s="203">
        <v>1</v>
      </c>
      <c r="AD399" s="203">
        <v>1</v>
      </c>
      <c r="AE399" s="203">
        <v>1</v>
      </c>
      <c r="AF399" s="203">
        <v>1</v>
      </c>
      <c r="AG399" s="203">
        <v>1</v>
      </c>
      <c r="AH399" s="203">
        <v>1</v>
      </c>
      <c r="AI399" s="203">
        <v>1</v>
      </c>
      <c r="AJ399" s="203">
        <v>1</v>
      </c>
      <c r="AK399" s="203">
        <v>1</v>
      </c>
      <c r="AL399" s="203">
        <v>1</v>
      </c>
    </row>
    <row r="400" spans="4:38" x14ac:dyDescent="0.25">
      <c r="D400" s="202">
        <v>1.9699999999999793</v>
      </c>
      <c r="E400" s="203">
        <v>1</v>
      </c>
      <c r="F400" s="203">
        <v>1</v>
      </c>
      <c r="G400" s="203">
        <v>1</v>
      </c>
      <c r="H400" s="203">
        <v>1</v>
      </c>
      <c r="I400" s="203">
        <v>1</v>
      </c>
      <c r="J400" s="203">
        <v>1</v>
      </c>
      <c r="K400" s="203">
        <v>1</v>
      </c>
      <c r="L400" s="203">
        <v>1</v>
      </c>
      <c r="M400" s="203">
        <v>1</v>
      </c>
      <c r="N400" s="203">
        <v>1</v>
      </c>
      <c r="P400" s="202">
        <v>1.9699999999999793</v>
      </c>
      <c r="Q400" s="203">
        <v>1</v>
      </c>
      <c r="R400" s="203">
        <v>1</v>
      </c>
      <c r="S400" s="203">
        <v>1</v>
      </c>
      <c r="T400" s="203">
        <v>1</v>
      </c>
      <c r="U400" s="203">
        <v>1</v>
      </c>
      <c r="V400" s="203">
        <v>1</v>
      </c>
      <c r="W400" s="203">
        <v>1</v>
      </c>
      <c r="X400" s="203">
        <v>1</v>
      </c>
      <c r="Y400" s="203">
        <v>1</v>
      </c>
      <c r="Z400" s="203">
        <v>1</v>
      </c>
      <c r="AB400" s="202">
        <v>1.9699999999999793</v>
      </c>
      <c r="AC400" s="203">
        <v>1</v>
      </c>
      <c r="AD400" s="203">
        <v>1</v>
      </c>
      <c r="AE400" s="203">
        <v>1</v>
      </c>
      <c r="AF400" s="203">
        <v>1</v>
      </c>
      <c r="AG400" s="203">
        <v>1</v>
      </c>
      <c r="AH400" s="203">
        <v>1</v>
      </c>
      <c r="AI400" s="203">
        <v>1</v>
      </c>
      <c r="AJ400" s="203">
        <v>1</v>
      </c>
      <c r="AK400" s="203">
        <v>1</v>
      </c>
      <c r="AL400" s="203">
        <v>1</v>
      </c>
    </row>
    <row r="401" spans="4:38" x14ac:dyDescent="0.25">
      <c r="D401" s="202">
        <v>1.9749999999999792</v>
      </c>
      <c r="E401" s="203">
        <v>1</v>
      </c>
      <c r="F401" s="203">
        <v>1</v>
      </c>
      <c r="G401" s="203">
        <v>1</v>
      </c>
      <c r="H401" s="203">
        <v>1</v>
      </c>
      <c r="I401" s="203">
        <v>1</v>
      </c>
      <c r="J401" s="203">
        <v>1</v>
      </c>
      <c r="K401" s="203">
        <v>1</v>
      </c>
      <c r="L401" s="203">
        <v>1</v>
      </c>
      <c r="M401" s="203">
        <v>1</v>
      </c>
      <c r="N401" s="203">
        <v>1</v>
      </c>
      <c r="P401" s="202">
        <v>1.9749999999999792</v>
      </c>
      <c r="Q401" s="203">
        <v>1</v>
      </c>
      <c r="R401" s="203">
        <v>1</v>
      </c>
      <c r="S401" s="203">
        <v>1</v>
      </c>
      <c r="T401" s="203">
        <v>1</v>
      </c>
      <c r="U401" s="203">
        <v>1</v>
      </c>
      <c r="V401" s="203">
        <v>1</v>
      </c>
      <c r="W401" s="203">
        <v>1</v>
      </c>
      <c r="X401" s="203">
        <v>1</v>
      </c>
      <c r="Y401" s="203">
        <v>1</v>
      </c>
      <c r="Z401" s="203">
        <v>1</v>
      </c>
      <c r="AB401" s="202">
        <v>1.9749999999999792</v>
      </c>
      <c r="AC401" s="203">
        <v>1</v>
      </c>
      <c r="AD401" s="203">
        <v>1</v>
      </c>
      <c r="AE401" s="203">
        <v>1</v>
      </c>
      <c r="AF401" s="203">
        <v>1</v>
      </c>
      <c r="AG401" s="203">
        <v>1</v>
      </c>
      <c r="AH401" s="203">
        <v>1</v>
      </c>
      <c r="AI401" s="203">
        <v>1</v>
      </c>
      <c r="AJ401" s="203">
        <v>1</v>
      </c>
      <c r="AK401" s="203">
        <v>1</v>
      </c>
      <c r="AL401" s="203">
        <v>1</v>
      </c>
    </row>
    <row r="402" spans="4:38" x14ac:dyDescent="0.25">
      <c r="D402" s="202">
        <v>1.9799999999999791</v>
      </c>
      <c r="E402" s="203">
        <v>1</v>
      </c>
      <c r="F402" s="203">
        <v>1</v>
      </c>
      <c r="G402" s="203">
        <v>1</v>
      </c>
      <c r="H402" s="203">
        <v>1</v>
      </c>
      <c r="I402" s="203">
        <v>1</v>
      </c>
      <c r="J402" s="203">
        <v>1</v>
      </c>
      <c r="K402" s="203">
        <v>1</v>
      </c>
      <c r="L402" s="203">
        <v>1</v>
      </c>
      <c r="M402" s="203">
        <v>1</v>
      </c>
      <c r="N402" s="203">
        <v>1</v>
      </c>
      <c r="P402" s="202">
        <v>1.9799999999999791</v>
      </c>
      <c r="Q402" s="203">
        <v>1</v>
      </c>
      <c r="R402" s="203">
        <v>1</v>
      </c>
      <c r="S402" s="203">
        <v>1</v>
      </c>
      <c r="T402" s="203">
        <v>1</v>
      </c>
      <c r="U402" s="203">
        <v>1</v>
      </c>
      <c r="V402" s="203">
        <v>1</v>
      </c>
      <c r="W402" s="203">
        <v>1</v>
      </c>
      <c r="X402" s="203">
        <v>1</v>
      </c>
      <c r="Y402" s="203">
        <v>1</v>
      </c>
      <c r="Z402" s="203">
        <v>1</v>
      </c>
      <c r="AB402" s="202">
        <v>1.9799999999999791</v>
      </c>
      <c r="AC402" s="203">
        <v>1</v>
      </c>
      <c r="AD402" s="203">
        <v>1</v>
      </c>
      <c r="AE402" s="203">
        <v>1</v>
      </c>
      <c r="AF402" s="203">
        <v>1</v>
      </c>
      <c r="AG402" s="203">
        <v>1</v>
      </c>
      <c r="AH402" s="203">
        <v>1</v>
      </c>
      <c r="AI402" s="203">
        <v>1</v>
      </c>
      <c r="AJ402" s="203">
        <v>1</v>
      </c>
      <c r="AK402" s="203">
        <v>1</v>
      </c>
      <c r="AL402" s="203">
        <v>1</v>
      </c>
    </row>
    <row r="403" spans="4:38" x14ac:dyDescent="0.25">
      <c r="D403" s="202">
        <v>1.984999999999979</v>
      </c>
      <c r="E403" s="203">
        <v>1</v>
      </c>
      <c r="F403" s="203">
        <v>1</v>
      </c>
      <c r="G403" s="203">
        <v>1</v>
      </c>
      <c r="H403" s="203">
        <v>1</v>
      </c>
      <c r="I403" s="203">
        <v>1</v>
      </c>
      <c r="J403" s="203">
        <v>1</v>
      </c>
      <c r="K403" s="203">
        <v>1</v>
      </c>
      <c r="L403" s="203">
        <v>1</v>
      </c>
      <c r="M403" s="203">
        <v>1</v>
      </c>
      <c r="N403" s="203">
        <v>1</v>
      </c>
      <c r="P403" s="202">
        <v>1.984999999999979</v>
      </c>
      <c r="Q403" s="203">
        <v>1</v>
      </c>
      <c r="R403" s="203">
        <v>1</v>
      </c>
      <c r="S403" s="203">
        <v>1</v>
      </c>
      <c r="T403" s="203">
        <v>1</v>
      </c>
      <c r="U403" s="203">
        <v>1</v>
      </c>
      <c r="V403" s="203">
        <v>1</v>
      </c>
      <c r="W403" s="203">
        <v>1</v>
      </c>
      <c r="X403" s="203">
        <v>1</v>
      </c>
      <c r="Y403" s="203">
        <v>1</v>
      </c>
      <c r="Z403" s="203">
        <v>1</v>
      </c>
      <c r="AB403" s="202">
        <v>1.984999999999979</v>
      </c>
      <c r="AC403" s="203">
        <v>1</v>
      </c>
      <c r="AD403" s="203">
        <v>1</v>
      </c>
      <c r="AE403" s="203">
        <v>1</v>
      </c>
      <c r="AF403" s="203">
        <v>1</v>
      </c>
      <c r="AG403" s="203">
        <v>1</v>
      </c>
      <c r="AH403" s="203">
        <v>1</v>
      </c>
      <c r="AI403" s="203">
        <v>1</v>
      </c>
      <c r="AJ403" s="203">
        <v>1</v>
      </c>
      <c r="AK403" s="203">
        <v>1</v>
      </c>
      <c r="AL403" s="203">
        <v>1</v>
      </c>
    </row>
    <row r="404" spans="4:38" x14ac:dyDescent="0.25">
      <c r="D404" s="202">
        <v>1.9899999999999789</v>
      </c>
      <c r="E404" s="203">
        <v>1</v>
      </c>
      <c r="F404" s="203">
        <v>1</v>
      </c>
      <c r="G404" s="203">
        <v>1</v>
      </c>
      <c r="H404" s="203">
        <v>1</v>
      </c>
      <c r="I404" s="203">
        <v>1</v>
      </c>
      <c r="J404" s="203">
        <v>1</v>
      </c>
      <c r="K404" s="203">
        <v>1</v>
      </c>
      <c r="L404" s="203">
        <v>1</v>
      </c>
      <c r="M404" s="203">
        <v>1</v>
      </c>
      <c r="N404" s="203">
        <v>1</v>
      </c>
      <c r="P404" s="202">
        <v>1.9899999999999789</v>
      </c>
      <c r="Q404" s="203">
        <v>1</v>
      </c>
      <c r="R404" s="203">
        <v>1</v>
      </c>
      <c r="S404" s="203">
        <v>1</v>
      </c>
      <c r="T404" s="203">
        <v>1</v>
      </c>
      <c r="U404" s="203">
        <v>1</v>
      </c>
      <c r="V404" s="203">
        <v>1</v>
      </c>
      <c r="W404" s="203">
        <v>1</v>
      </c>
      <c r="X404" s="203">
        <v>1</v>
      </c>
      <c r="Y404" s="203">
        <v>1</v>
      </c>
      <c r="Z404" s="203">
        <v>1</v>
      </c>
      <c r="AB404" s="202">
        <v>1.9899999999999789</v>
      </c>
      <c r="AC404" s="203">
        <v>1</v>
      </c>
      <c r="AD404" s="203">
        <v>1</v>
      </c>
      <c r="AE404" s="203">
        <v>1</v>
      </c>
      <c r="AF404" s="203">
        <v>1</v>
      </c>
      <c r="AG404" s="203">
        <v>1</v>
      </c>
      <c r="AH404" s="203">
        <v>1</v>
      </c>
      <c r="AI404" s="203">
        <v>1</v>
      </c>
      <c r="AJ404" s="203">
        <v>1</v>
      </c>
      <c r="AK404" s="203">
        <v>1</v>
      </c>
      <c r="AL404" s="203">
        <v>1</v>
      </c>
    </row>
    <row r="405" spans="4:38" x14ac:dyDescent="0.25">
      <c r="D405" s="202">
        <v>1.9949999999999788</v>
      </c>
      <c r="E405" s="203">
        <v>1</v>
      </c>
      <c r="F405" s="203">
        <v>1</v>
      </c>
      <c r="G405" s="203">
        <v>1</v>
      </c>
      <c r="H405" s="203">
        <v>1</v>
      </c>
      <c r="I405" s="203">
        <v>1</v>
      </c>
      <c r="J405" s="203">
        <v>1</v>
      </c>
      <c r="K405" s="203">
        <v>1</v>
      </c>
      <c r="L405" s="203">
        <v>1</v>
      </c>
      <c r="M405" s="203">
        <v>1</v>
      </c>
      <c r="N405" s="203">
        <v>1</v>
      </c>
      <c r="P405" s="202">
        <v>1.9949999999999788</v>
      </c>
      <c r="Q405" s="203">
        <v>1</v>
      </c>
      <c r="R405" s="203">
        <v>1</v>
      </c>
      <c r="S405" s="203">
        <v>1</v>
      </c>
      <c r="T405" s="203">
        <v>1</v>
      </c>
      <c r="U405" s="203">
        <v>1</v>
      </c>
      <c r="V405" s="203">
        <v>1</v>
      </c>
      <c r="W405" s="203">
        <v>1</v>
      </c>
      <c r="X405" s="203">
        <v>1</v>
      </c>
      <c r="Y405" s="203">
        <v>1</v>
      </c>
      <c r="Z405" s="203">
        <v>1</v>
      </c>
      <c r="AB405" s="202">
        <v>1.9949999999999788</v>
      </c>
      <c r="AC405" s="203">
        <v>1</v>
      </c>
      <c r="AD405" s="203">
        <v>1</v>
      </c>
      <c r="AE405" s="203">
        <v>1</v>
      </c>
      <c r="AF405" s="203">
        <v>1</v>
      </c>
      <c r="AG405" s="203">
        <v>1</v>
      </c>
      <c r="AH405" s="203">
        <v>1</v>
      </c>
      <c r="AI405" s="203">
        <v>1</v>
      </c>
      <c r="AJ405" s="203">
        <v>1</v>
      </c>
      <c r="AK405" s="203">
        <v>1</v>
      </c>
      <c r="AL405" s="203">
        <v>1</v>
      </c>
    </row>
    <row r="406" spans="4:38" x14ac:dyDescent="0.25">
      <c r="D406" s="202">
        <v>1.9999999999999787</v>
      </c>
      <c r="E406" s="203">
        <v>1</v>
      </c>
      <c r="F406" s="203">
        <v>1</v>
      </c>
      <c r="G406" s="203">
        <v>1</v>
      </c>
      <c r="H406" s="203">
        <v>1</v>
      </c>
      <c r="I406" s="203">
        <v>1</v>
      </c>
      <c r="J406" s="203">
        <v>1</v>
      </c>
      <c r="K406" s="203">
        <v>1</v>
      </c>
      <c r="L406" s="203">
        <v>1</v>
      </c>
      <c r="M406" s="203">
        <v>1</v>
      </c>
      <c r="N406" s="203">
        <v>1</v>
      </c>
      <c r="P406" s="202">
        <v>1.9999999999999787</v>
      </c>
      <c r="Q406" s="203">
        <v>1</v>
      </c>
      <c r="R406" s="203">
        <v>1</v>
      </c>
      <c r="S406" s="203">
        <v>1</v>
      </c>
      <c r="T406" s="203">
        <v>1</v>
      </c>
      <c r="U406" s="203">
        <v>1</v>
      </c>
      <c r="V406" s="203">
        <v>1</v>
      </c>
      <c r="W406" s="203">
        <v>1</v>
      </c>
      <c r="X406" s="203">
        <v>1</v>
      </c>
      <c r="Y406" s="203">
        <v>1</v>
      </c>
      <c r="Z406" s="203">
        <v>1</v>
      </c>
      <c r="AB406" s="202">
        <v>1.9999999999999787</v>
      </c>
      <c r="AC406" s="203">
        <v>1</v>
      </c>
      <c r="AD406" s="203">
        <v>1</v>
      </c>
      <c r="AE406" s="203">
        <v>1</v>
      </c>
      <c r="AF406" s="203">
        <v>1</v>
      </c>
      <c r="AG406" s="203">
        <v>1</v>
      </c>
      <c r="AH406" s="203">
        <v>1</v>
      </c>
      <c r="AI406" s="203">
        <v>1</v>
      </c>
      <c r="AJ406" s="203">
        <v>1</v>
      </c>
      <c r="AK406" s="203">
        <v>1</v>
      </c>
      <c r="AL406" s="203"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AB88"/>
  <sheetViews>
    <sheetView zoomScaleNormal="100" workbookViewId="0">
      <selection activeCell="D17" sqref="D17"/>
    </sheetView>
  </sheetViews>
  <sheetFormatPr defaultRowHeight="12.75" x14ac:dyDescent="0.2"/>
  <cols>
    <col min="1" max="1" width="3.5703125" style="44" customWidth="1"/>
    <col min="2" max="3" width="12" style="44" customWidth="1"/>
    <col min="4" max="14" width="9.5703125" style="44" bestFit="1" customWidth="1"/>
    <col min="15" max="15" width="9.140625" style="44"/>
    <col min="16" max="17" width="13.5703125" style="44" bestFit="1" customWidth="1"/>
    <col min="18" max="28" width="9.5703125" style="44" bestFit="1" customWidth="1"/>
    <col min="29" max="16384" width="9.140625" style="44"/>
  </cols>
  <sheetData>
    <row r="2" spans="2:28" x14ac:dyDescent="0.2">
      <c r="B2" s="42" t="s">
        <v>561</v>
      </c>
      <c r="C2" s="43"/>
      <c r="P2" s="42" t="s">
        <v>561</v>
      </c>
      <c r="Q2" s="43"/>
    </row>
    <row r="3" spans="2:28" x14ac:dyDescent="0.2">
      <c r="B3" s="42" t="s">
        <v>562</v>
      </c>
      <c r="C3" s="45" t="s">
        <v>563</v>
      </c>
      <c r="P3" s="42" t="s">
        <v>562</v>
      </c>
      <c r="Q3" s="45" t="s">
        <v>564</v>
      </c>
    </row>
    <row r="4" spans="2:28" x14ac:dyDescent="0.2">
      <c r="B4" s="42" t="s">
        <v>565</v>
      </c>
      <c r="C4" s="45" t="s">
        <v>566</v>
      </c>
      <c r="P4" s="42" t="s">
        <v>565</v>
      </c>
      <c r="Q4" s="45" t="s">
        <v>566</v>
      </c>
    </row>
    <row r="5" spans="2:28" x14ac:dyDescent="0.2">
      <c r="B5" s="42" t="s">
        <v>567</v>
      </c>
      <c r="C5" s="46">
        <v>42552</v>
      </c>
      <c r="P5" s="42" t="s">
        <v>567</v>
      </c>
      <c r="Q5" s="46">
        <f>C5</f>
        <v>42552</v>
      </c>
    </row>
    <row r="6" spans="2:28" x14ac:dyDescent="0.2">
      <c r="B6" s="42" t="s">
        <v>568</v>
      </c>
      <c r="C6" s="47">
        <v>1.02</v>
      </c>
      <c r="P6" s="42" t="s">
        <v>568</v>
      </c>
      <c r="Q6" s="47">
        <f>C6</f>
        <v>1.02</v>
      </c>
    </row>
    <row r="7" spans="2:28" x14ac:dyDescent="0.2">
      <c r="B7" s="42" t="s">
        <v>569</v>
      </c>
      <c r="C7" s="45" t="s">
        <v>570</v>
      </c>
      <c r="P7" s="42" t="s">
        <v>569</v>
      </c>
      <c r="Q7" s="45" t="s">
        <v>570</v>
      </c>
    </row>
    <row r="8" spans="2:28" x14ac:dyDescent="0.2">
      <c r="B8" s="42" t="s">
        <v>571</v>
      </c>
      <c r="C8" s="45" t="s">
        <v>566</v>
      </c>
      <c r="P8" s="42" t="s">
        <v>571</v>
      </c>
      <c r="Q8" s="45" t="s">
        <v>566</v>
      </c>
    </row>
    <row r="9" spans="2:28" x14ac:dyDescent="0.2">
      <c r="B9" s="42" t="s">
        <v>572</v>
      </c>
      <c r="C9" s="45" t="s">
        <v>566</v>
      </c>
      <c r="P9" s="42" t="s">
        <v>572</v>
      </c>
      <c r="Q9" s="45" t="s">
        <v>566</v>
      </c>
    </row>
    <row r="10" spans="2:28" x14ac:dyDescent="0.2">
      <c r="B10" s="42"/>
      <c r="C10" s="45"/>
      <c r="P10" s="42"/>
      <c r="Q10" s="45"/>
    </row>
    <row r="11" spans="2:28" x14ac:dyDescent="0.2">
      <c r="B11" s="42"/>
      <c r="C11" s="45"/>
      <c r="D11" s="48"/>
      <c r="P11" s="42"/>
      <c r="Q11" s="45"/>
      <c r="R11" s="48"/>
    </row>
    <row r="12" spans="2:28" x14ac:dyDescent="0.2">
      <c r="B12" s="48"/>
      <c r="C12" s="48"/>
      <c r="D12" s="49" t="s">
        <v>573</v>
      </c>
      <c r="E12" s="50" t="s">
        <v>574</v>
      </c>
      <c r="F12" s="50" t="s">
        <v>575</v>
      </c>
      <c r="G12" s="50" t="s">
        <v>576</v>
      </c>
      <c r="H12" s="50" t="s">
        <v>577</v>
      </c>
      <c r="I12" s="50" t="s">
        <v>578</v>
      </c>
      <c r="J12" s="50" t="s">
        <v>579</v>
      </c>
      <c r="K12" s="50" t="s">
        <v>580</v>
      </c>
      <c r="L12" s="50" t="s">
        <v>581</v>
      </c>
      <c r="M12" s="50" t="s">
        <v>582</v>
      </c>
      <c r="N12" s="50" t="s">
        <v>583</v>
      </c>
      <c r="P12" s="48"/>
      <c r="Q12" s="48"/>
      <c r="R12" s="49" t="s">
        <v>573</v>
      </c>
      <c r="S12" s="50" t="s">
        <v>574</v>
      </c>
      <c r="T12" s="50" t="s">
        <v>575</v>
      </c>
      <c r="U12" s="50" t="s">
        <v>576</v>
      </c>
      <c r="V12" s="50" t="s">
        <v>577</v>
      </c>
      <c r="W12" s="50" t="s">
        <v>578</v>
      </c>
      <c r="X12" s="50" t="s">
        <v>579</v>
      </c>
      <c r="Y12" s="50" t="s">
        <v>580</v>
      </c>
      <c r="Z12" s="50" t="s">
        <v>581</v>
      </c>
      <c r="AA12" s="50" t="s">
        <v>582</v>
      </c>
      <c r="AB12" s="50" t="s">
        <v>583</v>
      </c>
    </row>
    <row r="13" spans="2:28" x14ac:dyDescent="0.2">
      <c r="B13" s="43" t="s">
        <v>584</v>
      </c>
      <c r="D13" s="51">
        <v>1000</v>
      </c>
      <c r="E13" s="52">
        <f>D13*SQRT(10)</f>
        <v>3162.2776601683795</v>
      </c>
      <c r="F13" s="52">
        <f t="shared" ref="F13:N13" si="0">E13*SQRT(10)</f>
        <v>10000.000000000002</v>
      </c>
      <c r="G13" s="52">
        <f t="shared" si="0"/>
        <v>31622.7766016838</v>
      </c>
      <c r="H13" s="52">
        <f t="shared" si="0"/>
        <v>100000.00000000003</v>
      </c>
      <c r="I13" s="52">
        <f t="shared" si="0"/>
        <v>316227.76601683802</v>
      </c>
      <c r="J13" s="52">
        <f t="shared" si="0"/>
        <v>1000000.0000000003</v>
      </c>
      <c r="K13" s="52">
        <f t="shared" si="0"/>
        <v>3162277.6601683805</v>
      </c>
      <c r="L13" s="52">
        <f t="shared" si="0"/>
        <v>10000000.000000004</v>
      </c>
      <c r="M13" s="52">
        <f t="shared" si="0"/>
        <v>31622776.601683807</v>
      </c>
      <c r="N13" s="53">
        <f t="shared" si="0"/>
        <v>100000000.00000004</v>
      </c>
      <c r="P13" s="43" t="s">
        <v>584</v>
      </c>
      <c r="R13" s="51">
        <v>1000</v>
      </c>
      <c r="S13" s="52">
        <f>R13*SQRT(10)</f>
        <v>3162.2776601683795</v>
      </c>
      <c r="T13" s="52">
        <f t="shared" ref="T13:AB13" si="1">S13*SQRT(10)</f>
        <v>10000.000000000002</v>
      </c>
      <c r="U13" s="52">
        <f t="shared" si="1"/>
        <v>31622.7766016838</v>
      </c>
      <c r="V13" s="52">
        <f t="shared" si="1"/>
        <v>100000.00000000003</v>
      </c>
      <c r="W13" s="52">
        <f t="shared" si="1"/>
        <v>316227.76601683802</v>
      </c>
      <c r="X13" s="52">
        <f t="shared" si="1"/>
        <v>1000000.0000000003</v>
      </c>
      <c r="Y13" s="52">
        <f t="shared" si="1"/>
        <v>3162277.6601683805</v>
      </c>
      <c r="Z13" s="52">
        <f t="shared" si="1"/>
        <v>10000000.000000004</v>
      </c>
      <c r="AA13" s="52">
        <f t="shared" si="1"/>
        <v>31622776.601683807</v>
      </c>
      <c r="AB13" s="53">
        <f t="shared" si="1"/>
        <v>100000000.00000004</v>
      </c>
    </row>
    <row r="14" spans="2:28" x14ac:dyDescent="0.2">
      <c r="B14" s="48"/>
      <c r="C14" s="48"/>
      <c r="D14" s="42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48"/>
      <c r="Q14" s="48"/>
      <c r="R14" s="42"/>
      <c r="S14" s="54"/>
      <c r="T14" s="54"/>
      <c r="U14" s="54"/>
      <c r="V14" s="54"/>
      <c r="W14" s="54"/>
      <c r="X14" s="54"/>
      <c r="Y14" s="54"/>
      <c r="Z14" s="54"/>
      <c r="AA14" s="54"/>
      <c r="AB14" s="54"/>
    </row>
    <row r="15" spans="2:28" x14ac:dyDescent="0.2">
      <c r="B15" s="48"/>
      <c r="C15" s="48"/>
      <c r="D15" s="50" t="s">
        <v>573</v>
      </c>
      <c r="E15" s="50" t="s">
        <v>574</v>
      </c>
      <c r="F15" s="50" t="s">
        <v>575</v>
      </c>
      <c r="G15" s="50" t="s">
        <v>576</v>
      </c>
      <c r="H15" s="50" t="s">
        <v>577</v>
      </c>
      <c r="I15" s="55" t="s">
        <v>578</v>
      </c>
      <c r="J15" s="50" t="s">
        <v>579</v>
      </c>
      <c r="K15" s="50" t="s">
        <v>580</v>
      </c>
      <c r="L15" s="50" t="s">
        <v>581</v>
      </c>
      <c r="M15" s="50" t="s">
        <v>582</v>
      </c>
      <c r="N15" s="50" t="s">
        <v>583</v>
      </c>
      <c r="P15" s="48"/>
      <c r="Q15" s="48"/>
      <c r="R15" s="50" t="s">
        <v>573</v>
      </c>
      <c r="S15" s="50" t="s">
        <v>574</v>
      </c>
      <c r="T15" s="50" t="s">
        <v>575</v>
      </c>
      <c r="U15" s="50" t="s">
        <v>576</v>
      </c>
      <c r="V15" s="50" t="s">
        <v>577</v>
      </c>
      <c r="W15" s="55" t="s">
        <v>578</v>
      </c>
      <c r="X15" s="50" t="s">
        <v>579</v>
      </c>
      <c r="Y15" s="50" t="s">
        <v>580</v>
      </c>
      <c r="Z15" s="50" t="s">
        <v>581</v>
      </c>
      <c r="AA15" s="50" t="s">
        <v>582</v>
      </c>
      <c r="AB15" s="50" t="s">
        <v>583</v>
      </c>
    </row>
    <row r="16" spans="2:28" x14ac:dyDescent="0.2">
      <c r="B16" s="48"/>
      <c r="C16" s="48"/>
      <c r="D16" s="56" t="s">
        <v>585</v>
      </c>
      <c r="E16" s="54"/>
      <c r="F16" s="54"/>
      <c r="G16" s="54"/>
      <c r="H16" s="54"/>
      <c r="I16" s="57"/>
      <c r="J16" s="54"/>
      <c r="K16" s="54"/>
      <c r="L16" s="54"/>
      <c r="M16" s="54"/>
      <c r="N16" s="54"/>
      <c r="P16" s="48"/>
      <c r="Q16" s="48"/>
      <c r="R16" s="56" t="s">
        <v>586</v>
      </c>
      <c r="S16" s="54"/>
      <c r="T16" s="54"/>
      <c r="U16" s="54"/>
      <c r="V16" s="54"/>
      <c r="W16" s="57"/>
      <c r="X16" s="54"/>
      <c r="Y16" s="54"/>
      <c r="Z16" s="54"/>
      <c r="AA16" s="54"/>
      <c r="AB16" s="54"/>
    </row>
    <row r="17" spans="2:28" x14ac:dyDescent="0.2">
      <c r="B17" s="43" t="s">
        <v>587</v>
      </c>
      <c r="C17" s="56"/>
      <c r="D17" s="51">
        <f t="shared" ref="D17:N17" si="2">D13*$C$6^(YEARFRAC(DATE(2008,10,1),$C$5,3))</f>
        <v>1165.9523008879528</v>
      </c>
      <c r="E17" s="52">
        <f t="shared" si="2"/>
        <v>3687.064913919894</v>
      </c>
      <c r="F17" s="52">
        <f t="shared" si="2"/>
        <v>11659.523008879531</v>
      </c>
      <c r="G17" s="52">
        <f t="shared" si="2"/>
        <v>36870.649139198948</v>
      </c>
      <c r="H17" s="52">
        <f t="shared" si="2"/>
        <v>116595.23008879532</v>
      </c>
      <c r="I17" s="52">
        <f t="shared" si="2"/>
        <v>368706.49139198946</v>
      </c>
      <c r="J17" s="52">
        <f t="shared" si="2"/>
        <v>1165952.3008879533</v>
      </c>
      <c r="K17" s="52">
        <f t="shared" si="2"/>
        <v>3687064.913919895</v>
      </c>
      <c r="L17" s="52">
        <f t="shared" si="2"/>
        <v>11659523.008879533</v>
      </c>
      <c r="M17" s="52">
        <f t="shared" si="2"/>
        <v>36870649.139198951</v>
      </c>
      <c r="N17" s="53">
        <f t="shared" si="2"/>
        <v>116595230.08879533</v>
      </c>
      <c r="P17" s="43" t="s">
        <v>587</v>
      </c>
      <c r="Q17" s="56"/>
      <c r="R17" s="51">
        <f t="shared" ref="R17:AB17" si="3">R13*$Q$6^(YEARFRAC(DATE(2008,10,1),$Q$5,3))</f>
        <v>1165.9523008879528</v>
      </c>
      <c r="S17" s="52">
        <f t="shared" si="3"/>
        <v>3687.064913919894</v>
      </c>
      <c r="T17" s="52">
        <f t="shared" si="3"/>
        <v>11659.523008879531</v>
      </c>
      <c r="U17" s="52">
        <f t="shared" si="3"/>
        <v>36870.649139198948</v>
      </c>
      <c r="V17" s="52">
        <f t="shared" si="3"/>
        <v>116595.23008879532</v>
      </c>
      <c r="W17" s="52">
        <f t="shared" si="3"/>
        <v>368706.49139198946</v>
      </c>
      <c r="X17" s="52">
        <f t="shared" si="3"/>
        <v>1165952.3008879533</v>
      </c>
      <c r="Y17" s="52">
        <f t="shared" si="3"/>
        <v>3687064.913919895</v>
      </c>
      <c r="Z17" s="52">
        <f t="shared" si="3"/>
        <v>11659523.008879533</v>
      </c>
      <c r="AA17" s="52">
        <f t="shared" si="3"/>
        <v>36870649.139198951</v>
      </c>
      <c r="AB17" s="53">
        <f t="shared" si="3"/>
        <v>116595230.08879533</v>
      </c>
    </row>
    <row r="21" spans="2:28" x14ac:dyDescent="0.2">
      <c r="B21" s="58" t="s">
        <v>588</v>
      </c>
      <c r="C21" s="58" t="s">
        <v>589</v>
      </c>
      <c r="D21" s="50" t="s">
        <v>590</v>
      </c>
      <c r="E21" s="50" t="s">
        <v>591</v>
      </c>
      <c r="F21" s="50" t="s">
        <v>592</v>
      </c>
      <c r="G21" s="50" t="s">
        <v>593</v>
      </c>
      <c r="H21" s="50" t="s">
        <v>594</v>
      </c>
      <c r="I21" s="55" t="s">
        <v>595</v>
      </c>
      <c r="J21" s="50" t="s">
        <v>596</v>
      </c>
      <c r="K21" s="50" t="s">
        <v>597</v>
      </c>
      <c r="L21" s="50" t="s">
        <v>598</v>
      </c>
      <c r="M21" s="50" t="s">
        <v>599</v>
      </c>
      <c r="N21" s="50" t="s">
        <v>600</v>
      </c>
      <c r="O21" s="48"/>
      <c r="P21" s="58" t="s">
        <v>588</v>
      </c>
      <c r="Q21" s="58" t="s">
        <v>589</v>
      </c>
      <c r="R21" s="50" t="s">
        <v>590</v>
      </c>
      <c r="S21" s="50" t="s">
        <v>591</v>
      </c>
      <c r="T21" s="50" t="s">
        <v>592</v>
      </c>
      <c r="U21" s="50" t="s">
        <v>593</v>
      </c>
      <c r="V21" s="50" t="s">
        <v>594</v>
      </c>
      <c r="W21" s="55" t="s">
        <v>595</v>
      </c>
      <c r="X21" s="50" t="s">
        <v>596</v>
      </c>
      <c r="Y21" s="50" t="s">
        <v>597</v>
      </c>
      <c r="Z21" s="50" t="s">
        <v>598</v>
      </c>
      <c r="AA21" s="50" t="s">
        <v>599</v>
      </c>
      <c r="AB21" s="50" t="s">
        <v>600</v>
      </c>
    </row>
    <row r="22" spans="2:28" x14ac:dyDescent="0.2">
      <c r="B22" s="56" t="s">
        <v>601</v>
      </c>
      <c r="C22" s="54"/>
      <c r="D22" s="54"/>
      <c r="E22" s="54"/>
      <c r="F22" s="54"/>
      <c r="G22" s="57"/>
      <c r="H22" s="54"/>
      <c r="I22" s="54"/>
      <c r="J22" s="54"/>
      <c r="K22" s="54"/>
      <c r="L22" s="54"/>
      <c r="M22" s="54"/>
      <c r="N22" s="54"/>
      <c r="O22" s="48"/>
      <c r="P22" s="56" t="s">
        <v>602</v>
      </c>
      <c r="Q22" s="54"/>
      <c r="R22" s="54"/>
      <c r="S22" s="54"/>
      <c r="T22" s="54"/>
      <c r="U22" s="57"/>
      <c r="V22" s="54"/>
      <c r="W22" s="54"/>
      <c r="X22" s="54"/>
      <c r="Y22" s="54"/>
      <c r="Z22" s="54"/>
      <c r="AA22" s="54"/>
      <c r="AB22" s="54"/>
    </row>
    <row r="23" spans="2:28" x14ac:dyDescent="0.2">
      <c r="B23" s="59">
        <v>0</v>
      </c>
      <c r="C23" s="60">
        <v>2000</v>
      </c>
      <c r="D23" s="61">
        <v>0.80360259000000001</v>
      </c>
      <c r="E23" s="61">
        <v>0.19174843</v>
      </c>
      <c r="F23" s="61">
        <v>4.3691399999999997E-3</v>
      </c>
      <c r="G23" s="61">
        <v>2.7528999999999997E-4</v>
      </c>
      <c r="H23" s="61">
        <v>4.51E-6</v>
      </c>
      <c r="I23" s="61">
        <v>1E-8</v>
      </c>
      <c r="J23" s="61">
        <v>1E-8</v>
      </c>
      <c r="K23" s="61">
        <v>1E-8</v>
      </c>
      <c r="L23" s="61">
        <v>0</v>
      </c>
      <c r="M23" s="61">
        <v>0</v>
      </c>
      <c r="N23" s="62">
        <v>0</v>
      </c>
      <c r="O23" s="48"/>
      <c r="P23" s="59">
        <v>0</v>
      </c>
      <c r="Q23" s="60">
        <v>2000</v>
      </c>
      <c r="R23" s="61">
        <v>0.80411568</v>
      </c>
      <c r="S23" s="61">
        <v>0.19081139</v>
      </c>
      <c r="T23" s="61">
        <v>4.7688799999999996E-3</v>
      </c>
      <c r="U23" s="61">
        <v>2.9835000000000001E-4</v>
      </c>
      <c r="V23" s="61">
        <v>5.6699999999999999E-6</v>
      </c>
      <c r="W23" s="61">
        <v>1E-8</v>
      </c>
      <c r="X23" s="61">
        <v>1E-8</v>
      </c>
      <c r="Y23" s="61">
        <v>1E-8</v>
      </c>
      <c r="Z23" s="61">
        <v>0</v>
      </c>
      <c r="AA23" s="61">
        <v>0</v>
      </c>
      <c r="AB23" s="62">
        <v>0</v>
      </c>
    </row>
    <row r="24" spans="2:28" x14ac:dyDescent="0.2">
      <c r="B24" s="63">
        <f>C23</f>
        <v>2000</v>
      </c>
      <c r="C24" s="64">
        <v>3000</v>
      </c>
      <c r="D24" s="65">
        <v>0.72018778999999999</v>
      </c>
      <c r="E24" s="65">
        <v>0.26718217999999999</v>
      </c>
      <c r="F24" s="65">
        <v>1.101481E-2</v>
      </c>
      <c r="G24" s="65">
        <v>1.5914E-3</v>
      </c>
      <c r="H24" s="65">
        <v>2.3790000000000001E-5</v>
      </c>
      <c r="I24" s="65">
        <v>1E-8</v>
      </c>
      <c r="J24" s="65">
        <v>1E-8</v>
      </c>
      <c r="K24" s="65">
        <v>1E-8</v>
      </c>
      <c r="L24" s="65">
        <v>1E-8</v>
      </c>
      <c r="M24" s="65">
        <v>0</v>
      </c>
      <c r="N24" s="66">
        <v>0</v>
      </c>
      <c r="O24" s="48"/>
      <c r="P24" s="63">
        <f>Q23</f>
        <v>2000</v>
      </c>
      <c r="Q24" s="64">
        <v>3000</v>
      </c>
      <c r="R24" s="65">
        <v>0.71912989000000005</v>
      </c>
      <c r="S24" s="65">
        <v>0.26736273999999999</v>
      </c>
      <c r="T24" s="65">
        <v>1.1735880000000001E-2</v>
      </c>
      <c r="U24" s="65">
        <v>1.74026E-3</v>
      </c>
      <c r="V24" s="65">
        <v>3.1199999999999999E-5</v>
      </c>
      <c r="W24" s="65">
        <v>1E-8</v>
      </c>
      <c r="X24" s="65">
        <v>1E-8</v>
      </c>
      <c r="Y24" s="65">
        <v>1E-8</v>
      </c>
      <c r="Z24" s="65">
        <v>1E-8</v>
      </c>
      <c r="AA24" s="65">
        <v>1E-8</v>
      </c>
      <c r="AB24" s="66">
        <v>0</v>
      </c>
    </row>
    <row r="25" spans="2:28" x14ac:dyDescent="0.2">
      <c r="B25" s="63">
        <f t="shared" ref="B25:B82" si="4">C24</f>
        <v>3000</v>
      </c>
      <c r="C25" s="64">
        <v>4000</v>
      </c>
      <c r="D25" s="65">
        <v>0.64409777000000001</v>
      </c>
      <c r="E25" s="65">
        <v>0.33471848999999998</v>
      </c>
      <c r="F25" s="65">
        <v>1.831371E-2</v>
      </c>
      <c r="G25" s="65">
        <v>2.81869E-3</v>
      </c>
      <c r="H25" s="65">
        <v>5.1289999999999999E-5</v>
      </c>
      <c r="I25" s="65">
        <v>1E-8</v>
      </c>
      <c r="J25" s="65">
        <v>1E-8</v>
      </c>
      <c r="K25" s="65">
        <v>1E-8</v>
      </c>
      <c r="L25" s="65">
        <v>1E-8</v>
      </c>
      <c r="M25" s="65">
        <v>1E-8</v>
      </c>
      <c r="N25" s="66">
        <v>0</v>
      </c>
      <c r="O25" s="48"/>
      <c r="P25" s="63">
        <f t="shared" ref="P25:P82" si="5">Q24</f>
        <v>3000</v>
      </c>
      <c r="Q25" s="64">
        <v>4000</v>
      </c>
      <c r="R25" s="65">
        <v>0.64362010000000003</v>
      </c>
      <c r="S25" s="65">
        <v>0.33394780000000002</v>
      </c>
      <c r="T25" s="65">
        <v>1.9282629999999999E-2</v>
      </c>
      <c r="U25" s="65">
        <v>3.0834E-3</v>
      </c>
      <c r="V25" s="65">
        <v>6.6019999999999995E-5</v>
      </c>
      <c r="W25" s="65">
        <v>1E-8</v>
      </c>
      <c r="X25" s="65">
        <v>1E-8</v>
      </c>
      <c r="Y25" s="65">
        <v>1E-8</v>
      </c>
      <c r="Z25" s="65">
        <v>1E-8</v>
      </c>
      <c r="AA25" s="65">
        <v>1E-8</v>
      </c>
      <c r="AB25" s="66">
        <v>0</v>
      </c>
    </row>
    <row r="26" spans="2:28" x14ac:dyDescent="0.2">
      <c r="B26" s="63">
        <f t="shared" si="4"/>
        <v>4000</v>
      </c>
      <c r="C26" s="64">
        <v>5000</v>
      </c>
      <c r="D26" s="65">
        <v>0.58960095999999995</v>
      </c>
      <c r="E26" s="65">
        <v>0.38424152</v>
      </c>
      <c r="F26" s="65">
        <v>2.237509E-2</v>
      </c>
      <c r="G26" s="65">
        <v>3.7289900000000002E-3</v>
      </c>
      <c r="H26" s="65">
        <v>5.3399999999999997E-5</v>
      </c>
      <c r="I26" s="65">
        <v>1E-8</v>
      </c>
      <c r="J26" s="65">
        <v>1E-8</v>
      </c>
      <c r="K26" s="65">
        <v>1E-8</v>
      </c>
      <c r="L26" s="65">
        <v>1E-8</v>
      </c>
      <c r="M26" s="65">
        <v>1E-8</v>
      </c>
      <c r="N26" s="66">
        <v>1E-8</v>
      </c>
      <c r="O26" s="48"/>
      <c r="P26" s="63">
        <f t="shared" si="5"/>
        <v>4000</v>
      </c>
      <c r="Q26" s="64">
        <v>5000</v>
      </c>
      <c r="R26" s="65">
        <v>0.58784340999999996</v>
      </c>
      <c r="S26" s="65">
        <v>0.38468036999999999</v>
      </c>
      <c r="T26" s="65">
        <v>2.3320540000000001E-2</v>
      </c>
      <c r="U26" s="65">
        <v>4.0859700000000004E-3</v>
      </c>
      <c r="V26" s="65">
        <v>6.9659999999999994E-5</v>
      </c>
      <c r="W26" s="65">
        <v>1E-8</v>
      </c>
      <c r="X26" s="65">
        <v>1E-8</v>
      </c>
      <c r="Y26" s="65">
        <v>1E-8</v>
      </c>
      <c r="Z26" s="65">
        <v>1E-8</v>
      </c>
      <c r="AA26" s="65">
        <v>1E-8</v>
      </c>
      <c r="AB26" s="66">
        <v>1E-8</v>
      </c>
    </row>
    <row r="27" spans="2:28" x14ac:dyDescent="0.2">
      <c r="B27" s="63">
        <f t="shared" si="4"/>
        <v>5000</v>
      </c>
      <c r="C27" s="64">
        <v>6000</v>
      </c>
      <c r="D27" s="65">
        <v>0.51122641999999996</v>
      </c>
      <c r="E27" s="65">
        <v>0.45401724999999998</v>
      </c>
      <c r="F27" s="65">
        <v>2.9768639999999999E-2</v>
      </c>
      <c r="G27" s="65">
        <v>4.9104999999999999E-3</v>
      </c>
      <c r="H27" s="65">
        <v>7.7130000000000002E-5</v>
      </c>
      <c r="I27" s="65">
        <v>1E-8</v>
      </c>
      <c r="J27" s="65">
        <v>1E-8</v>
      </c>
      <c r="K27" s="65">
        <v>1E-8</v>
      </c>
      <c r="L27" s="65">
        <v>1E-8</v>
      </c>
      <c r="M27" s="65">
        <v>1E-8</v>
      </c>
      <c r="N27" s="66">
        <v>1E-8</v>
      </c>
      <c r="O27" s="48"/>
      <c r="P27" s="63">
        <f t="shared" si="5"/>
        <v>5000</v>
      </c>
      <c r="Q27" s="64">
        <v>6000</v>
      </c>
      <c r="R27" s="65">
        <v>0.50912473999999996</v>
      </c>
      <c r="S27" s="65">
        <v>0.45433140999999999</v>
      </c>
      <c r="T27" s="65">
        <v>3.104341E-2</v>
      </c>
      <c r="U27" s="65">
        <v>5.3985400000000003E-3</v>
      </c>
      <c r="V27" s="65">
        <v>1.0184E-4</v>
      </c>
      <c r="W27" s="65">
        <v>1E-8</v>
      </c>
      <c r="X27" s="65">
        <v>1E-8</v>
      </c>
      <c r="Y27" s="65">
        <v>1E-8</v>
      </c>
      <c r="Z27" s="65">
        <v>1E-8</v>
      </c>
      <c r="AA27" s="65">
        <v>1E-8</v>
      </c>
      <c r="AB27" s="66">
        <v>1E-8</v>
      </c>
    </row>
    <row r="28" spans="2:28" x14ac:dyDescent="0.2">
      <c r="B28" s="63">
        <f t="shared" si="4"/>
        <v>6000</v>
      </c>
      <c r="C28" s="64">
        <v>7000</v>
      </c>
      <c r="D28" s="65">
        <v>0.45019777</v>
      </c>
      <c r="E28" s="65">
        <v>0.50869175</v>
      </c>
      <c r="F28" s="65">
        <v>3.5089509999999997E-2</v>
      </c>
      <c r="G28" s="65">
        <v>5.9286399999999998E-3</v>
      </c>
      <c r="H28" s="65">
        <v>9.2280000000000004E-5</v>
      </c>
      <c r="I28" s="65">
        <v>1E-8</v>
      </c>
      <c r="J28" s="65">
        <v>1E-8</v>
      </c>
      <c r="K28" s="65">
        <v>1E-8</v>
      </c>
      <c r="L28" s="65">
        <v>1E-8</v>
      </c>
      <c r="M28" s="65">
        <v>1E-8</v>
      </c>
      <c r="N28" s="66">
        <v>1E-8</v>
      </c>
      <c r="O28" s="48"/>
      <c r="P28" s="63">
        <f t="shared" si="5"/>
        <v>6000</v>
      </c>
      <c r="Q28" s="64">
        <v>7000</v>
      </c>
      <c r="R28" s="65">
        <v>0.44824553</v>
      </c>
      <c r="S28" s="65">
        <v>0.50859515</v>
      </c>
      <c r="T28" s="65">
        <v>3.653547E-2</v>
      </c>
      <c r="U28" s="65">
        <v>6.5026099999999998E-3</v>
      </c>
      <c r="V28" s="65">
        <v>1.2116999999999999E-4</v>
      </c>
      <c r="W28" s="65">
        <v>1E-8</v>
      </c>
      <c r="X28" s="65">
        <v>1E-8</v>
      </c>
      <c r="Y28" s="65">
        <v>1E-8</v>
      </c>
      <c r="Z28" s="65">
        <v>1E-8</v>
      </c>
      <c r="AA28" s="65">
        <v>1E-8</v>
      </c>
      <c r="AB28" s="66">
        <v>1E-8</v>
      </c>
    </row>
    <row r="29" spans="2:28" x14ac:dyDescent="0.2">
      <c r="B29" s="63">
        <f t="shared" si="4"/>
        <v>7000</v>
      </c>
      <c r="C29" s="64">
        <v>8000</v>
      </c>
      <c r="D29" s="65">
        <v>0.39154091000000002</v>
      </c>
      <c r="E29" s="65">
        <v>0.56147100999999999</v>
      </c>
      <c r="F29" s="65">
        <v>3.9860380000000001E-2</v>
      </c>
      <c r="G29" s="65">
        <v>7.0233300000000004E-3</v>
      </c>
      <c r="H29" s="65">
        <v>1.043E-4</v>
      </c>
      <c r="I29" s="65">
        <v>1E-8</v>
      </c>
      <c r="J29" s="65">
        <v>1E-8</v>
      </c>
      <c r="K29" s="65">
        <v>1E-8</v>
      </c>
      <c r="L29" s="65">
        <v>1E-8</v>
      </c>
      <c r="M29" s="65">
        <v>1E-8</v>
      </c>
      <c r="N29" s="66">
        <v>1E-8</v>
      </c>
      <c r="O29" s="48"/>
      <c r="P29" s="63">
        <f t="shared" si="5"/>
        <v>7000</v>
      </c>
      <c r="Q29" s="64">
        <v>8000</v>
      </c>
      <c r="R29" s="65">
        <v>0.38943769</v>
      </c>
      <c r="S29" s="65">
        <v>0.56144276999999998</v>
      </c>
      <c r="T29" s="65">
        <v>4.1311229999999997E-2</v>
      </c>
      <c r="U29" s="65">
        <v>7.6734400000000001E-3</v>
      </c>
      <c r="V29" s="65">
        <v>1.348E-4</v>
      </c>
      <c r="W29" s="65">
        <v>1E-8</v>
      </c>
      <c r="X29" s="65">
        <v>1E-8</v>
      </c>
      <c r="Y29" s="65">
        <v>1E-8</v>
      </c>
      <c r="Z29" s="65">
        <v>1E-8</v>
      </c>
      <c r="AA29" s="65">
        <v>1E-8</v>
      </c>
      <c r="AB29" s="66">
        <v>1E-8</v>
      </c>
    </row>
    <row r="30" spans="2:28" x14ac:dyDescent="0.2">
      <c r="B30" s="63">
        <f t="shared" si="4"/>
        <v>8000</v>
      </c>
      <c r="C30" s="64">
        <v>9000</v>
      </c>
      <c r="D30" s="65">
        <v>0.32305991000000001</v>
      </c>
      <c r="E30" s="65">
        <v>0.62228505000000001</v>
      </c>
      <c r="F30" s="65">
        <v>4.6397720000000003E-2</v>
      </c>
      <c r="G30" s="65">
        <v>8.1315899999999993E-3</v>
      </c>
      <c r="H30" s="65">
        <v>1.2567000000000001E-4</v>
      </c>
      <c r="I30" s="65">
        <v>1E-8</v>
      </c>
      <c r="J30" s="65">
        <v>1E-8</v>
      </c>
      <c r="K30" s="65">
        <v>1E-8</v>
      </c>
      <c r="L30" s="65">
        <v>1E-8</v>
      </c>
      <c r="M30" s="65">
        <v>1E-8</v>
      </c>
      <c r="N30" s="66">
        <v>1E-8</v>
      </c>
      <c r="O30" s="48"/>
      <c r="P30" s="63">
        <f t="shared" si="5"/>
        <v>8000</v>
      </c>
      <c r="Q30" s="64">
        <v>9000</v>
      </c>
      <c r="R30" s="65">
        <v>0.32077781999999999</v>
      </c>
      <c r="S30" s="65">
        <v>0.62203512000000005</v>
      </c>
      <c r="T30" s="65">
        <v>4.8137979999999997E-2</v>
      </c>
      <c r="U30" s="65">
        <v>8.8860799999999993E-3</v>
      </c>
      <c r="V30" s="65">
        <v>1.6292999999999999E-4</v>
      </c>
      <c r="W30" s="65">
        <v>1E-8</v>
      </c>
      <c r="X30" s="65">
        <v>1E-8</v>
      </c>
      <c r="Y30" s="65">
        <v>1E-8</v>
      </c>
      <c r="Z30" s="65">
        <v>1E-8</v>
      </c>
      <c r="AA30" s="65">
        <v>1E-8</v>
      </c>
      <c r="AB30" s="66">
        <v>1E-8</v>
      </c>
    </row>
    <row r="31" spans="2:28" x14ac:dyDescent="0.2">
      <c r="B31" s="63">
        <f t="shared" si="4"/>
        <v>9000</v>
      </c>
      <c r="C31" s="64">
        <v>10000</v>
      </c>
      <c r="D31" s="65">
        <v>0.25539773999999998</v>
      </c>
      <c r="E31" s="65">
        <v>0.68200313999999995</v>
      </c>
      <c r="F31" s="65">
        <v>5.3321239999999999E-2</v>
      </c>
      <c r="G31" s="65">
        <v>9.1336100000000003E-3</v>
      </c>
      <c r="H31" s="65">
        <v>1.4418999999999999E-4</v>
      </c>
      <c r="I31" s="65">
        <v>2E-8</v>
      </c>
      <c r="J31" s="65">
        <v>1E-8</v>
      </c>
      <c r="K31" s="65">
        <v>1E-8</v>
      </c>
      <c r="L31" s="65">
        <v>1E-8</v>
      </c>
      <c r="M31" s="65">
        <v>1E-8</v>
      </c>
      <c r="N31" s="66">
        <v>1E-8</v>
      </c>
      <c r="O31" s="48"/>
      <c r="P31" s="63">
        <f t="shared" si="5"/>
        <v>9000</v>
      </c>
      <c r="Q31" s="64">
        <v>10000</v>
      </c>
      <c r="R31" s="65">
        <v>0.25316346000000001</v>
      </c>
      <c r="S31" s="65">
        <v>0.68149685000000004</v>
      </c>
      <c r="T31" s="65">
        <v>5.516621E-2</v>
      </c>
      <c r="U31" s="65">
        <v>9.9886699999999998E-3</v>
      </c>
      <c r="V31" s="65">
        <v>1.8473E-4</v>
      </c>
      <c r="W31" s="65">
        <v>2E-8</v>
      </c>
      <c r="X31" s="65">
        <v>1E-8</v>
      </c>
      <c r="Y31" s="65">
        <v>1E-8</v>
      </c>
      <c r="Z31" s="65">
        <v>1E-8</v>
      </c>
      <c r="AA31" s="65">
        <v>1E-8</v>
      </c>
      <c r="AB31" s="66">
        <v>1E-8</v>
      </c>
    </row>
    <row r="32" spans="2:28" x14ac:dyDescent="0.2">
      <c r="B32" s="63">
        <f t="shared" si="4"/>
        <v>10000</v>
      </c>
      <c r="C32" s="64">
        <v>13000</v>
      </c>
      <c r="D32" s="65">
        <v>0.21395123999999999</v>
      </c>
      <c r="E32" s="65">
        <v>0.71608822999999999</v>
      </c>
      <c r="F32" s="65">
        <v>5.8753399999999997E-2</v>
      </c>
      <c r="G32" s="65">
        <v>1.0616189999999999E-2</v>
      </c>
      <c r="H32" s="65">
        <v>5.8330000000000003E-4</v>
      </c>
      <c r="I32" s="65">
        <v>7.5599999999999996E-6</v>
      </c>
      <c r="J32" s="65">
        <v>2E-8</v>
      </c>
      <c r="K32" s="65">
        <v>1E-8</v>
      </c>
      <c r="L32" s="65">
        <v>1E-8</v>
      </c>
      <c r="M32" s="65">
        <v>1E-8</v>
      </c>
      <c r="N32" s="66">
        <v>1E-8</v>
      </c>
      <c r="O32" s="48"/>
      <c r="P32" s="63">
        <f t="shared" si="5"/>
        <v>10000</v>
      </c>
      <c r="Q32" s="64">
        <v>13000</v>
      </c>
      <c r="R32" s="65">
        <v>0.21158684</v>
      </c>
      <c r="S32" s="65">
        <v>0.71533966999999998</v>
      </c>
      <c r="T32" s="65">
        <v>6.087774E-2</v>
      </c>
      <c r="U32" s="65">
        <v>1.154083E-2</v>
      </c>
      <c r="V32" s="65">
        <v>6.4223000000000004E-4</v>
      </c>
      <c r="W32" s="65">
        <v>1.256E-5</v>
      </c>
      <c r="X32" s="65">
        <v>5.9999999999999995E-8</v>
      </c>
      <c r="Y32" s="65">
        <v>1E-8</v>
      </c>
      <c r="Z32" s="65">
        <v>2E-8</v>
      </c>
      <c r="AA32" s="65">
        <v>1E-8</v>
      </c>
      <c r="AB32" s="66">
        <v>1E-8</v>
      </c>
    </row>
    <row r="33" spans="2:28" x14ac:dyDescent="0.2">
      <c r="B33" s="63">
        <f t="shared" si="4"/>
        <v>13000</v>
      </c>
      <c r="C33" s="64">
        <v>15000</v>
      </c>
      <c r="D33" s="65">
        <v>0.21669801</v>
      </c>
      <c r="E33" s="65">
        <v>0.70860902000000003</v>
      </c>
      <c r="F33" s="65">
        <v>6.1629780000000002E-2</v>
      </c>
      <c r="G33" s="65">
        <v>1.1852649999999999E-2</v>
      </c>
      <c r="H33" s="65">
        <v>1.19187E-3</v>
      </c>
      <c r="I33" s="65">
        <v>1.8580000000000002E-5</v>
      </c>
      <c r="J33" s="65">
        <v>4.0000000000000001E-8</v>
      </c>
      <c r="K33" s="65">
        <v>1E-8</v>
      </c>
      <c r="L33" s="65">
        <v>1E-8</v>
      </c>
      <c r="M33" s="65">
        <v>1E-8</v>
      </c>
      <c r="N33" s="66">
        <v>1E-8</v>
      </c>
      <c r="O33" s="48"/>
      <c r="P33" s="63">
        <f t="shared" si="5"/>
        <v>13000</v>
      </c>
      <c r="Q33" s="64">
        <v>15000</v>
      </c>
      <c r="R33" s="65">
        <v>0.21409958000000001</v>
      </c>
      <c r="S33" s="65">
        <v>0.70819558000000005</v>
      </c>
      <c r="T33" s="65">
        <v>6.3651429999999995E-2</v>
      </c>
      <c r="U33" s="65">
        <v>1.27569E-2</v>
      </c>
      <c r="V33" s="65">
        <v>1.2653899999999999E-3</v>
      </c>
      <c r="W33" s="65">
        <v>3.0929999999999997E-5</v>
      </c>
      <c r="X33" s="65">
        <v>1.4000000000000001E-7</v>
      </c>
      <c r="Y33" s="65">
        <v>2E-8</v>
      </c>
      <c r="Z33" s="65">
        <v>2E-8</v>
      </c>
      <c r="AA33" s="65">
        <v>1E-8</v>
      </c>
      <c r="AB33" s="66">
        <v>1E-8</v>
      </c>
    </row>
    <row r="34" spans="2:28" x14ac:dyDescent="0.2">
      <c r="B34" s="63">
        <f t="shared" si="4"/>
        <v>15000</v>
      </c>
      <c r="C34" s="64">
        <v>20000</v>
      </c>
      <c r="D34" s="65">
        <v>0.21815977</v>
      </c>
      <c r="E34" s="65">
        <v>0.69995609999999997</v>
      </c>
      <c r="F34" s="65">
        <v>6.5631170000000003E-2</v>
      </c>
      <c r="G34" s="65">
        <v>1.4015700000000001E-2</v>
      </c>
      <c r="H34" s="65">
        <v>2.1997100000000001E-3</v>
      </c>
      <c r="I34" s="65">
        <v>3.7419999999999997E-5</v>
      </c>
      <c r="J34" s="65">
        <v>8.0000000000000002E-8</v>
      </c>
      <c r="K34" s="65">
        <v>1E-8</v>
      </c>
      <c r="L34" s="65">
        <v>1E-8</v>
      </c>
      <c r="M34" s="65">
        <v>1E-8</v>
      </c>
      <c r="N34" s="66">
        <v>1E-8</v>
      </c>
      <c r="O34" s="48"/>
      <c r="P34" s="63">
        <f t="shared" si="5"/>
        <v>15000</v>
      </c>
      <c r="Q34" s="64">
        <v>20000</v>
      </c>
      <c r="R34" s="65">
        <v>0.21553195999999999</v>
      </c>
      <c r="S34" s="65">
        <v>0.69955613999999999</v>
      </c>
      <c r="T34" s="65">
        <v>6.7691360000000006E-2</v>
      </c>
      <c r="U34" s="65">
        <v>1.486001E-2</v>
      </c>
      <c r="V34" s="65">
        <v>2.2990599999999999E-3</v>
      </c>
      <c r="W34" s="65">
        <v>6.1149999999999996E-5</v>
      </c>
      <c r="X34" s="65">
        <v>2.7000000000000001E-7</v>
      </c>
      <c r="Y34" s="65">
        <v>2E-8</v>
      </c>
      <c r="Z34" s="65">
        <v>2E-8</v>
      </c>
      <c r="AA34" s="65">
        <v>1E-8</v>
      </c>
      <c r="AB34" s="66">
        <v>1E-8</v>
      </c>
    </row>
    <row r="35" spans="2:28" x14ac:dyDescent="0.2">
      <c r="B35" s="63">
        <f t="shared" si="4"/>
        <v>20000</v>
      </c>
      <c r="C35" s="64">
        <v>25000</v>
      </c>
      <c r="D35" s="65">
        <v>0.21625717</v>
      </c>
      <c r="E35" s="65">
        <v>0.69055781000000005</v>
      </c>
      <c r="F35" s="65">
        <v>7.2677329999999998E-2</v>
      </c>
      <c r="G35" s="65">
        <v>1.6866550000000001E-2</v>
      </c>
      <c r="H35" s="65">
        <v>3.5787700000000002E-3</v>
      </c>
      <c r="I35" s="65">
        <v>6.2210000000000002E-5</v>
      </c>
      <c r="J35" s="65">
        <v>1.1000000000000001E-7</v>
      </c>
      <c r="K35" s="65">
        <v>1E-8</v>
      </c>
      <c r="L35" s="65">
        <v>1E-8</v>
      </c>
      <c r="M35" s="65">
        <v>1E-8</v>
      </c>
      <c r="N35" s="66">
        <v>1E-8</v>
      </c>
      <c r="O35" s="48"/>
      <c r="P35" s="63">
        <f t="shared" si="5"/>
        <v>20000</v>
      </c>
      <c r="Q35" s="64">
        <v>25000</v>
      </c>
      <c r="R35" s="65">
        <v>0.21361801999999999</v>
      </c>
      <c r="S35" s="65">
        <v>0.69018984999999999</v>
      </c>
      <c r="T35" s="65">
        <v>7.4710310000000002E-2</v>
      </c>
      <c r="U35" s="65">
        <v>1.7671340000000001E-2</v>
      </c>
      <c r="V35" s="65">
        <v>3.7049100000000001E-3</v>
      </c>
      <c r="W35" s="65">
        <v>1.0507E-4</v>
      </c>
      <c r="X35" s="65">
        <v>4.3000000000000001E-7</v>
      </c>
      <c r="Y35" s="65">
        <v>2E-8</v>
      </c>
      <c r="Z35" s="65">
        <v>2E-8</v>
      </c>
      <c r="AA35" s="65">
        <v>1E-8</v>
      </c>
      <c r="AB35" s="66">
        <v>1E-8</v>
      </c>
    </row>
    <row r="36" spans="2:28" x14ac:dyDescent="0.2">
      <c r="B36" s="63">
        <f t="shared" si="4"/>
        <v>25000</v>
      </c>
      <c r="C36" s="64">
        <v>30000</v>
      </c>
      <c r="D36" s="65">
        <v>0.21300023000000001</v>
      </c>
      <c r="E36" s="65">
        <v>0.68288137999999998</v>
      </c>
      <c r="F36" s="65">
        <v>7.9251279999999993E-2</v>
      </c>
      <c r="G36" s="65">
        <v>1.9821829999999999E-2</v>
      </c>
      <c r="H36" s="65">
        <v>4.9535500000000001E-3</v>
      </c>
      <c r="I36" s="65">
        <v>9.1539999999999994E-5</v>
      </c>
      <c r="J36" s="65">
        <v>1.4000000000000001E-7</v>
      </c>
      <c r="K36" s="65">
        <v>1E-8</v>
      </c>
      <c r="L36" s="65">
        <v>1E-8</v>
      </c>
      <c r="M36" s="65">
        <v>1E-8</v>
      </c>
      <c r="N36" s="66">
        <v>1E-8</v>
      </c>
      <c r="O36" s="48"/>
      <c r="P36" s="63">
        <f t="shared" si="5"/>
        <v>25000</v>
      </c>
      <c r="Q36" s="64">
        <v>30000</v>
      </c>
      <c r="R36" s="65">
        <v>0.21298280999999999</v>
      </c>
      <c r="S36" s="65">
        <v>0.68018891000000004</v>
      </c>
      <c r="T36" s="65">
        <v>8.1144209999999994E-2</v>
      </c>
      <c r="U36" s="65">
        <v>2.046212E-2</v>
      </c>
      <c r="V36" s="65">
        <v>5.0703099999999997E-3</v>
      </c>
      <c r="W36" s="65">
        <v>1.5097E-4</v>
      </c>
      <c r="X36" s="65">
        <v>5.9999999999999997E-7</v>
      </c>
      <c r="Y36" s="65">
        <v>2E-8</v>
      </c>
      <c r="Z36" s="65">
        <v>2E-8</v>
      </c>
      <c r="AA36" s="65">
        <v>1E-8</v>
      </c>
      <c r="AB36" s="66">
        <v>1E-8</v>
      </c>
    </row>
    <row r="37" spans="2:28" x14ac:dyDescent="0.2">
      <c r="B37" s="63">
        <f t="shared" si="4"/>
        <v>30000</v>
      </c>
      <c r="C37" s="64">
        <v>40000</v>
      </c>
      <c r="D37" s="65">
        <v>0.21225563</v>
      </c>
      <c r="E37" s="65">
        <v>0.66767412000000004</v>
      </c>
      <c r="F37" s="65">
        <v>8.8519799999999996E-2</v>
      </c>
      <c r="G37" s="65">
        <v>2.433302E-2</v>
      </c>
      <c r="H37" s="65">
        <v>7.0805499999999997E-3</v>
      </c>
      <c r="I37" s="65">
        <v>1.3658999999999999E-4</v>
      </c>
      <c r="J37" s="65">
        <v>2.2999999999999999E-7</v>
      </c>
      <c r="K37" s="65">
        <v>2E-8</v>
      </c>
      <c r="L37" s="65">
        <v>2E-8</v>
      </c>
      <c r="M37" s="65">
        <v>1E-8</v>
      </c>
      <c r="N37" s="66">
        <v>1E-8</v>
      </c>
      <c r="O37" s="48"/>
      <c r="P37" s="63">
        <f t="shared" si="5"/>
        <v>30000</v>
      </c>
      <c r="Q37" s="64">
        <v>40000</v>
      </c>
      <c r="R37" s="65">
        <v>0.20876827000000001</v>
      </c>
      <c r="S37" s="65">
        <v>0.66796226000000003</v>
      </c>
      <c r="T37" s="65">
        <v>9.0705030000000006E-2</v>
      </c>
      <c r="U37" s="65">
        <v>2.504464E-2</v>
      </c>
      <c r="V37" s="65">
        <v>7.2926700000000002E-3</v>
      </c>
      <c r="W37" s="65">
        <v>2.2605999999999999E-4</v>
      </c>
      <c r="X37" s="65">
        <v>9.9999999999999995E-7</v>
      </c>
      <c r="Y37" s="65">
        <v>2E-8</v>
      </c>
      <c r="Z37" s="65">
        <v>2E-8</v>
      </c>
      <c r="AA37" s="65">
        <v>2E-8</v>
      </c>
      <c r="AB37" s="66">
        <v>1E-8</v>
      </c>
    </row>
    <row r="38" spans="2:28" x14ac:dyDescent="0.2">
      <c r="B38" s="63">
        <f t="shared" si="4"/>
        <v>40000</v>
      </c>
      <c r="C38" s="64">
        <v>50000</v>
      </c>
      <c r="D38" s="65">
        <v>0.21157408999999999</v>
      </c>
      <c r="E38" s="65">
        <v>0.64928914999999998</v>
      </c>
      <c r="F38" s="65">
        <v>9.9679450000000003E-2</v>
      </c>
      <c r="G38" s="65">
        <v>2.9668699999999999E-2</v>
      </c>
      <c r="H38" s="65">
        <v>9.5962100000000009E-3</v>
      </c>
      <c r="I38" s="65">
        <v>1.9201999999999999E-4</v>
      </c>
      <c r="J38" s="65">
        <v>3.2000000000000001E-7</v>
      </c>
      <c r="K38" s="65">
        <v>2E-8</v>
      </c>
      <c r="L38" s="65">
        <v>2E-8</v>
      </c>
      <c r="M38" s="65">
        <v>1E-8</v>
      </c>
      <c r="N38" s="66">
        <v>1E-8</v>
      </c>
      <c r="O38" s="48"/>
      <c r="P38" s="63">
        <f t="shared" si="5"/>
        <v>40000</v>
      </c>
      <c r="Q38" s="64">
        <v>50000</v>
      </c>
      <c r="R38" s="65">
        <v>0.20791229999999999</v>
      </c>
      <c r="S38" s="65">
        <v>0.6497366</v>
      </c>
      <c r="T38" s="65">
        <v>0.10188938</v>
      </c>
      <c r="U38" s="65">
        <v>3.028221E-2</v>
      </c>
      <c r="V38" s="65">
        <v>9.8649199999999992E-3</v>
      </c>
      <c r="W38" s="65">
        <v>3.1314E-4</v>
      </c>
      <c r="X38" s="65">
        <v>1.39E-6</v>
      </c>
      <c r="Y38" s="65">
        <v>2E-8</v>
      </c>
      <c r="Z38" s="65">
        <v>2E-8</v>
      </c>
      <c r="AA38" s="65">
        <v>2E-8</v>
      </c>
      <c r="AB38" s="66">
        <v>1E-8</v>
      </c>
    </row>
    <row r="39" spans="2:28" x14ac:dyDescent="0.2">
      <c r="B39" s="63">
        <f t="shared" si="4"/>
        <v>50000</v>
      </c>
      <c r="C39" s="64">
        <v>60000</v>
      </c>
      <c r="D39" s="65">
        <v>0.20600262</v>
      </c>
      <c r="E39" s="65">
        <v>0.63257852999999997</v>
      </c>
      <c r="F39" s="65">
        <v>0.11239203</v>
      </c>
      <c r="G39" s="65">
        <v>3.6157139999999997E-2</v>
      </c>
      <c r="H39" s="65">
        <v>1.263622E-2</v>
      </c>
      <c r="I39" s="65">
        <v>2.3308000000000001E-4</v>
      </c>
      <c r="J39" s="65">
        <v>3.1E-7</v>
      </c>
      <c r="K39" s="65">
        <v>2E-8</v>
      </c>
      <c r="L39" s="65">
        <v>2E-8</v>
      </c>
      <c r="M39" s="65">
        <v>2E-8</v>
      </c>
      <c r="N39" s="66">
        <v>1E-8</v>
      </c>
      <c r="O39" s="48"/>
      <c r="P39" s="63">
        <f t="shared" si="5"/>
        <v>50000</v>
      </c>
      <c r="Q39" s="64">
        <v>60000</v>
      </c>
      <c r="R39" s="65">
        <v>0.20197370000000001</v>
      </c>
      <c r="S39" s="65">
        <v>0.63326017000000001</v>
      </c>
      <c r="T39" s="65">
        <v>0.11472280999999999</v>
      </c>
      <c r="U39" s="65">
        <v>3.6664450000000001E-2</v>
      </c>
      <c r="V39" s="65">
        <v>1.2986569999999999E-2</v>
      </c>
      <c r="W39" s="65">
        <v>3.9052999999999999E-4</v>
      </c>
      <c r="X39" s="65">
        <v>1.6899999999999999E-6</v>
      </c>
      <c r="Y39" s="65">
        <v>2E-8</v>
      </c>
      <c r="Z39" s="65">
        <v>2E-8</v>
      </c>
      <c r="AA39" s="65">
        <v>2E-8</v>
      </c>
      <c r="AB39" s="66">
        <v>1E-8</v>
      </c>
    </row>
    <row r="40" spans="2:28" x14ac:dyDescent="0.2">
      <c r="B40" s="63">
        <f t="shared" si="4"/>
        <v>60000</v>
      </c>
      <c r="C40" s="64">
        <v>75000</v>
      </c>
      <c r="D40" s="65">
        <v>0.20334086000000001</v>
      </c>
      <c r="E40" s="65">
        <v>0.61062996999999997</v>
      </c>
      <c r="F40" s="65">
        <v>0.12652303000000001</v>
      </c>
      <c r="G40" s="65">
        <v>4.3244600000000001E-2</v>
      </c>
      <c r="H40" s="65">
        <v>1.5957470000000001E-2</v>
      </c>
      <c r="I40" s="65">
        <v>3.0359000000000001E-4</v>
      </c>
      <c r="J40" s="65">
        <v>4.0999999999999999E-7</v>
      </c>
      <c r="K40" s="65">
        <v>2E-8</v>
      </c>
      <c r="L40" s="65">
        <v>2E-8</v>
      </c>
      <c r="M40" s="65">
        <v>2E-8</v>
      </c>
      <c r="N40" s="66">
        <v>1E-8</v>
      </c>
      <c r="O40" s="48"/>
      <c r="P40" s="63">
        <f t="shared" si="5"/>
        <v>60000</v>
      </c>
      <c r="Q40" s="64">
        <v>75000</v>
      </c>
      <c r="R40" s="65">
        <v>0.19860876999999999</v>
      </c>
      <c r="S40" s="65">
        <v>0.61182705999999998</v>
      </c>
      <c r="T40" s="65">
        <v>0.12903037000000001</v>
      </c>
      <c r="U40" s="65">
        <v>4.3629099999999997E-2</v>
      </c>
      <c r="V40" s="65">
        <v>1.6396000000000001E-2</v>
      </c>
      <c r="W40" s="65">
        <v>5.0642000000000005E-4</v>
      </c>
      <c r="X40" s="65">
        <v>2.2000000000000001E-6</v>
      </c>
      <c r="Y40" s="65">
        <v>2E-8</v>
      </c>
      <c r="Z40" s="65">
        <v>2E-8</v>
      </c>
      <c r="AA40" s="65">
        <v>2E-8</v>
      </c>
      <c r="AB40" s="66">
        <v>2E-8</v>
      </c>
    </row>
    <row r="41" spans="2:28" x14ac:dyDescent="0.2">
      <c r="B41" s="63">
        <f t="shared" si="4"/>
        <v>75000</v>
      </c>
      <c r="C41" s="64">
        <v>100000</v>
      </c>
      <c r="D41" s="65">
        <v>0.20293766999999999</v>
      </c>
      <c r="E41" s="65">
        <v>0.57040025000000005</v>
      </c>
      <c r="F41" s="65">
        <v>0.14977731</v>
      </c>
      <c r="G41" s="65">
        <v>5.4980149999999998E-2</v>
      </c>
      <c r="H41" s="65">
        <v>2.1463389999999999E-2</v>
      </c>
      <c r="I41" s="65">
        <v>4.4051000000000002E-4</v>
      </c>
      <c r="J41" s="65">
        <v>6.5000000000000002E-7</v>
      </c>
      <c r="K41" s="65">
        <v>2E-8</v>
      </c>
      <c r="L41" s="65">
        <v>2E-8</v>
      </c>
      <c r="M41" s="65">
        <v>2E-8</v>
      </c>
      <c r="N41" s="66">
        <v>2E-8</v>
      </c>
      <c r="O41" s="48"/>
      <c r="P41" s="63">
        <f t="shared" si="5"/>
        <v>75000</v>
      </c>
      <c r="Q41" s="64">
        <v>100000</v>
      </c>
      <c r="R41" s="65">
        <v>0.19746495999999999</v>
      </c>
      <c r="S41" s="65">
        <v>0.57228493999999996</v>
      </c>
      <c r="T41" s="65">
        <v>0.15233360000000001</v>
      </c>
      <c r="U41" s="65">
        <v>5.5186779999999998E-2</v>
      </c>
      <c r="V41" s="65">
        <v>2.200802E-2</v>
      </c>
      <c r="W41" s="65">
        <v>7.1829000000000001E-4</v>
      </c>
      <c r="X41" s="65">
        <v>3.3299999999999999E-6</v>
      </c>
      <c r="Y41" s="65">
        <v>2.9999999999999997E-8</v>
      </c>
      <c r="Z41" s="65">
        <v>2.9999999999999997E-8</v>
      </c>
      <c r="AA41" s="65">
        <v>2E-8</v>
      </c>
      <c r="AB41" s="66">
        <v>2E-8</v>
      </c>
    </row>
    <row r="42" spans="2:28" x14ac:dyDescent="0.2">
      <c r="B42" s="63">
        <f t="shared" si="4"/>
        <v>100000</v>
      </c>
      <c r="C42" s="64">
        <v>125000</v>
      </c>
      <c r="D42" s="65">
        <v>0.19810960999999999</v>
      </c>
      <c r="E42" s="65">
        <v>0.54873656999999998</v>
      </c>
      <c r="F42" s="65">
        <v>0.16448466</v>
      </c>
      <c r="G42" s="65">
        <v>6.273745E-2</v>
      </c>
      <c r="H42" s="65">
        <v>2.5080330000000001E-2</v>
      </c>
      <c r="I42" s="65">
        <v>7.5914999999999999E-4</v>
      </c>
      <c r="J42" s="65">
        <v>9.0389999999999993E-5</v>
      </c>
      <c r="K42" s="65">
        <v>1.79E-6</v>
      </c>
      <c r="L42" s="65">
        <v>2E-8</v>
      </c>
      <c r="M42" s="65">
        <v>2E-8</v>
      </c>
      <c r="N42" s="66">
        <v>2E-8</v>
      </c>
      <c r="O42" s="48"/>
      <c r="P42" s="63">
        <f t="shared" si="5"/>
        <v>100000</v>
      </c>
      <c r="Q42" s="64">
        <v>125000</v>
      </c>
      <c r="R42" s="65">
        <v>0.19233968000000001</v>
      </c>
      <c r="S42" s="65">
        <v>0.55086771000000001</v>
      </c>
      <c r="T42" s="65">
        <v>0.16708240999999999</v>
      </c>
      <c r="U42" s="65">
        <v>6.284178E-2</v>
      </c>
      <c r="V42" s="65">
        <v>2.5673370000000001E-2</v>
      </c>
      <c r="W42" s="65">
        <v>1.0824599999999999E-3</v>
      </c>
      <c r="X42" s="65">
        <v>1.1001999999999999E-4</v>
      </c>
      <c r="Y42" s="65">
        <v>2.5000000000000002E-6</v>
      </c>
      <c r="Z42" s="65">
        <v>2.9999999999999997E-8</v>
      </c>
      <c r="AA42" s="65">
        <v>2E-8</v>
      </c>
      <c r="AB42" s="66">
        <v>2E-8</v>
      </c>
    </row>
    <row r="43" spans="2:28" x14ac:dyDescent="0.2">
      <c r="B43" s="63">
        <f t="shared" si="4"/>
        <v>125000</v>
      </c>
      <c r="C43" s="64">
        <v>150000</v>
      </c>
      <c r="D43" s="65">
        <v>0.19568984</v>
      </c>
      <c r="E43" s="65">
        <v>0.54839289000000002</v>
      </c>
      <c r="F43" s="65">
        <v>0.16570914</v>
      </c>
      <c r="G43" s="65">
        <v>6.3270980000000004E-2</v>
      </c>
      <c r="H43" s="65">
        <v>2.5437370000000001E-2</v>
      </c>
      <c r="I43" s="65">
        <v>1.23548E-3</v>
      </c>
      <c r="J43" s="65">
        <v>2.5898000000000002E-4</v>
      </c>
      <c r="K43" s="65">
        <v>5.2700000000000004E-6</v>
      </c>
      <c r="L43" s="65">
        <v>2.9999999999999997E-8</v>
      </c>
      <c r="M43" s="65">
        <v>2E-8</v>
      </c>
      <c r="N43" s="66">
        <v>2E-8</v>
      </c>
      <c r="O43" s="48"/>
      <c r="P43" s="63">
        <f t="shared" si="5"/>
        <v>125000</v>
      </c>
      <c r="Q43" s="64">
        <v>150000</v>
      </c>
      <c r="R43" s="65">
        <v>0.19033528999999999</v>
      </c>
      <c r="S43" s="65">
        <v>0.55026470000000005</v>
      </c>
      <c r="T43" s="65">
        <v>0.16813892999999999</v>
      </c>
      <c r="U43" s="65">
        <v>6.3387020000000002E-2</v>
      </c>
      <c r="V43" s="65">
        <v>2.6022259999999998E-2</v>
      </c>
      <c r="W43" s="65">
        <v>1.5350699999999999E-3</v>
      </c>
      <c r="X43" s="65">
        <v>3.0932000000000003E-4</v>
      </c>
      <c r="Y43" s="65">
        <v>7.3300000000000001E-6</v>
      </c>
      <c r="Z43" s="65">
        <v>4.0000000000000001E-8</v>
      </c>
      <c r="AA43" s="65">
        <v>2E-8</v>
      </c>
      <c r="AB43" s="66">
        <v>2E-8</v>
      </c>
    </row>
    <row r="44" spans="2:28" x14ac:dyDescent="0.2">
      <c r="B44" s="63">
        <f t="shared" si="4"/>
        <v>150000</v>
      </c>
      <c r="C44" s="64">
        <v>200000</v>
      </c>
      <c r="D44" s="65">
        <v>0.19363594000000001</v>
      </c>
      <c r="E44" s="65">
        <v>0.54630188999999996</v>
      </c>
      <c r="F44" s="65">
        <v>0.16756592000000001</v>
      </c>
      <c r="G44" s="65">
        <v>6.3974420000000004E-2</v>
      </c>
      <c r="H44" s="65">
        <v>2.603167E-2</v>
      </c>
      <c r="I44" s="65">
        <v>1.95933E-3</v>
      </c>
      <c r="J44" s="65">
        <v>5.2034E-4</v>
      </c>
      <c r="K44" s="65">
        <v>1.04E-5</v>
      </c>
      <c r="L44" s="65">
        <v>2.9999999999999997E-8</v>
      </c>
      <c r="M44" s="65">
        <v>2E-8</v>
      </c>
      <c r="N44" s="66">
        <v>2E-8</v>
      </c>
      <c r="O44" s="48"/>
      <c r="P44" s="63">
        <f t="shared" si="5"/>
        <v>150000</v>
      </c>
      <c r="Q44" s="64">
        <v>200000</v>
      </c>
      <c r="R44" s="65">
        <v>0.18895165</v>
      </c>
      <c r="S44" s="65">
        <v>0.54768340999999998</v>
      </c>
      <c r="T44" s="65">
        <v>0.16987504</v>
      </c>
      <c r="U44" s="65">
        <v>6.399581E-2</v>
      </c>
      <c r="V44" s="65">
        <v>2.665845E-2</v>
      </c>
      <c r="W44" s="65">
        <v>2.2016399999999999E-3</v>
      </c>
      <c r="X44" s="65">
        <v>6.1939999999999999E-4</v>
      </c>
      <c r="Y44" s="65">
        <v>1.452E-5</v>
      </c>
      <c r="Z44" s="65">
        <v>4.9999999999999998E-8</v>
      </c>
      <c r="AA44" s="65">
        <v>2E-8</v>
      </c>
      <c r="AB44" s="66">
        <v>2E-8</v>
      </c>
    </row>
    <row r="45" spans="2:28" x14ac:dyDescent="0.2">
      <c r="B45" s="63">
        <f t="shared" si="4"/>
        <v>200000</v>
      </c>
      <c r="C45" s="64">
        <v>250000</v>
      </c>
      <c r="D45" s="65">
        <v>0.19043904</v>
      </c>
      <c r="E45" s="65">
        <v>0.54540697000000005</v>
      </c>
      <c r="F45" s="65">
        <v>0.16900854000000001</v>
      </c>
      <c r="G45" s="65">
        <v>6.4710550000000006E-2</v>
      </c>
      <c r="H45" s="65">
        <v>2.6600459999999999E-2</v>
      </c>
      <c r="I45" s="65">
        <v>2.9467899999999999E-3</v>
      </c>
      <c r="J45" s="65">
        <v>8.7033E-4</v>
      </c>
      <c r="K45" s="65">
        <v>1.7240000000000001E-5</v>
      </c>
      <c r="L45" s="65">
        <v>4.0000000000000001E-8</v>
      </c>
      <c r="M45" s="65">
        <v>2E-8</v>
      </c>
      <c r="N45" s="66">
        <v>2E-8</v>
      </c>
      <c r="O45" s="48"/>
      <c r="P45" s="63">
        <f t="shared" si="5"/>
        <v>200000</v>
      </c>
      <c r="Q45" s="64">
        <v>250000</v>
      </c>
      <c r="R45" s="65">
        <v>0.18656475</v>
      </c>
      <c r="S45" s="65">
        <v>0.54628164000000001</v>
      </c>
      <c r="T45" s="65">
        <v>0.17100665000000001</v>
      </c>
      <c r="U45" s="65">
        <v>6.4740339999999993E-2</v>
      </c>
      <c r="V45" s="65">
        <v>2.7217930000000001E-2</v>
      </c>
      <c r="W45" s="65">
        <v>3.12926E-3</v>
      </c>
      <c r="X45" s="65">
        <v>1.03545E-3</v>
      </c>
      <c r="Y45" s="65">
        <v>2.387E-5</v>
      </c>
      <c r="Z45" s="65">
        <v>5.9999999999999995E-8</v>
      </c>
      <c r="AA45" s="65">
        <v>2E-8</v>
      </c>
      <c r="AB45" s="66">
        <v>2E-8</v>
      </c>
    </row>
    <row r="46" spans="2:28" x14ac:dyDescent="0.2">
      <c r="B46" s="63">
        <f t="shared" si="4"/>
        <v>250000</v>
      </c>
      <c r="C46" s="64">
        <v>300000</v>
      </c>
      <c r="D46" s="65">
        <v>0.18488743999999999</v>
      </c>
      <c r="E46" s="65">
        <v>0.54431713999999998</v>
      </c>
      <c r="F46" s="65">
        <v>0.17218211</v>
      </c>
      <c r="G46" s="65">
        <v>6.5796499999999994E-2</v>
      </c>
      <c r="H46" s="65">
        <v>2.7553339999999999E-2</v>
      </c>
      <c r="I46" s="65">
        <v>4.0096699999999999E-3</v>
      </c>
      <c r="J46" s="65">
        <v>1.2294599999999999E-3</v>
      </c>
      <c r="K46" s="65">
        <v>2.4260000000000002E-5</v>
      </c>
      <c r="L46" s="65">
        <v>4.9999999999999998E-8</v>
      </c>
      <c r="M46" s="65">
        <v>2E-8</v>
      </c>
      <c r="N46" s="66">
        <v>2E-8</v>
      </c>
      <c r="O46" s="48"/>
      <c r="P46" s="63">
        <f t="shared" si="5"/>
        <v>250000</v>
      </c>
      <c r="Q46" s="64">
        <v>300000</v>
      </c>
      <c r="R46" s="65">
        <v>0.18204419999999999</v>
      </c>
      <c r="S46" s="65">
        <v>0.54446232000000006</v>
      </c>
      <c r="T46" s="65">
        <v>0.17396326000000001</v>
      </c>
      <c r="U46" s="65">
        <v>6.5719109999999997E-2</v>
      </c>
      <c r="V46" s="65">
        <v>2.8200079999999999E-2</v>
      </c>
      <c r="W46" s="65">
        <v>4.1117100000000002E-3</v>
      </c>
      <c r="X46" s="65">
        <v>1.46558E-3</v>
      </c>
      <c r="Y46" s="65">
        <v>3.362E-5</v>
      </c>
      <c r="Z46" s="65">
        <v>7.0000000000000005E-8</v>
      </c>
      <c r="AA46" s="65">
        <v>2E-8</v>
      </c>
      <c r="AB46" s="66">
        <v>2E-8</v>
      </c>
    </row>
    <row r="47" spans="2:28" x14ac:dyDescent="0.2">
      <c r="B47" s="63">
        <f t="shared" si="4"/>
        <v>300000</v>
      </c>
      <c r="C47" s="64">
        <v>400000</v>
      </c>
      <c r="D47" s="65">
        <v>0.18001065999999999</v>
      </c>
      <c r="E47" s="65">
        <v>0.54065399000000003</v>
      </c>
      <c r="F47" s="65">
        <v>0.17617025</v>
      </c>
      <c r="G47" s="65">
        <v>6.6942829999999995E-2</v>
      </c>
      <c r="H47" s="65">
        <v>2.8779349999999999E-2</v>
      </c>
      <c r="I47" s="65">
        <v>5.6438E-3</v>
      </c>
      <c r="J47" s="65">
        <v>1.76403E-3</v>
      </c>
      <c r="K47" s="65">
        <v>3.4990000000000002E-5</v>
      </c>
      <c r="L47" s="65">
        <v>7.0000000000000005E-8</v>
      </c>
      <c r="M47" s="65">
        <v>2E-8</v>
      </c>
      <c r="N47" s="66">
        <v>2E-8</v>
      </c>
      <c r="O47" s="48"/>
      <c r="P47" s="63">
        <f t="shared" si="5"/>
        <v>300000</v>
      </c>
      <c r="Q47" s="64">
        <v>400000</v>
      </c>
      <c r="R47" s="65">
        <v>0.17856216999999999</v>
      </c>
      <c r="S47" s="65">
        <v>0.53990888999999997</v>
      </c>
      <c r="T47" s="65">
        <v>0.17759456000000001</v>
      </c>
      <c r="U47" s="65">
        <v>6.6716570000000003E-2</v>
      </c>
      <c r="V47" s="65">
        <v>2.944917E-2</v>
      </c>
      <c r="W47" s="65">
        <v>5.6119899999999999E-3</v>
      </c>
      <c r="X47" s="65">
        <v>2.1080500000000002E-3</v>
      </c>
      <c r="Y47" s="65">
        <v>4.8470000000000002E-5</v>
      </c>
      <c r="Z47" s="65">
        <v>9.9999999999999995E-8</v>
      </c>
      <c r="AA47" s="65">
        <v>2E-8</v>
      </c>
      <c r="AB47" s="66">
        <v>2E-8</v>
      </c>
    </row>
    <row r="48" spans="2:28" x14ac:dyDescent="0.2">
      <c r="B48" s="63">
        <f t="shared" si="4"/>
        <v>400000</v>
      </c>
      <c r="C48" s="64">
        <v>500000</v>
      </c>
      <c r="D48" s="65">
        <v>0.17200376000000001</v>
      </c>
      <c r="E48" s="65">
        <v>0.54037997000000004</v>
      </c>
      <c r="F48" s="65">
        <v>0.17940418</v>
      </c>
      <c r="G48" s="65">
        <v>6.8005099999999999E-2</v>
      </c>
      <c r="H48" s="65">
        <v>2.9902169999999999E-2</v>
      </c>
      <c r="I48" s="65">
        <v>7.7809699999999999E-3</v>
      </c>
      <c r="J48" s="65">
        <v>2.4740700000000001E-3</v>
      </c>
      <c r="K48" s="65">
        <v>4.9650000000000001E-5</v>
      </c>
      <c r="L48" s="65">
        <v>8.9999999999999999E-8</v>
      </c>
      <c r="M48" s="65">
        <v>2E-8</v>
      </c>
      <c r="N48" s="66">
        <v>2E-8</v>
      </c>
      <c r="O48" s="48"/>
      <c r="P48" s="63">
        <f t="shared" si="5"/>
        <v>400000</v>
      </c>
      <c r="Q48" s="64">
        <v>500000</v>
      </c>
      <c r="R48" s="65">
        <v>0.17218452000000001</v>
      </c>
      <c r="S48" s="65">
        <v>0.53829103</v>
      </c>
      <c r="T48" s="65">
        <v>0.18058031999999999</v>
      </c>
      <c r="U48" s="65">
        <v>6.7723270000000002E-2</v>
      </c>
      <c r="V48" s="65">
        <v>3.0610410000000001E-2</v>
      </c>
      <c r="W48" s="65">
        <v>7.5829000000000001E-3</v>
      </c>
      <c r="X48" s="65">
        <v>2.95883E-3</v>
      </c>
      <c r="Y48" s="65">
        <v>6.8549999999999999E-5</v>
      </c>
      <c r="Z48" s="65">
        <v>1.3E-7</v>
      </c>
      <c r="AA48" s="65">
        <v>2E-8</v>
      </c>
      <c r="AB48" s="66">
        <v>2E-8</v>
      </c>
    </row>
    <row r="49" spans="2:28" x14ac:dyDescent="0.2">
      <c r="B49" s="63">
        <f t="shared" si="4"/>
        <v>500000</v>
      </c>
      <c r="C49" s="64">
        <v>600000</v>
      </c>
      <c r="D49" s="65">
        <v>0.16450361999999999</v>
      </c>
      <c r="E49" s="65">
        <v>0.54055872000000005</v>
      </c>
      <c r="F49" s="65">
        <v>0.18204525999999999</v>
      </c>
      <c r="G49" s="65">
        <v>6.8921529999999995E-2</v>
      </c>
      <c r="H49" s="65">
        <v>3.0834960000000002E-2</v>
      </c>
      <c r="I49" s="65">
        <v>9.8978499999999997E-3</v>
      </c>
      <c r="J49" s="65">
        <v>3.1750699999999999E-3</v>
      </c>
      <c r="K49" s="65">
        <v>6.2830000000000007E-5</v>
      </c>
      <c r="L49" s="65">
        <v>1.1000000000000001E-7</v>
      </c>
      <c r="M49" s="65">
        <v>2E-8</v>
      </c>
      <c r="N49" s="66">
        <v>2E-8</v>
      </c>
      <c r="O49" s="48"/>
      <c r="P49" s="63">
        <f t="shared" si="5"/>
        <v>500000</v>
      </c>
      <c r="Q49" s="64">
        <v>600000</v>
      </c>
      <c r="R49" s="65">
        <v>0.16597395000000001</v>
      </c>
      <c r="S49" s="65">
        <v>0.53732142000000005</v>
      </c>
      <c r="T49" s="65">
        <v>0.18307788</v>
      </c>
      <c r="U49" s="65">
        <v>6.8617220000000007E-2</v>
      </c>
      <c r="V49" s="65">
        <v>3.1603630000000001E-2</v>
      </c>
      <c r="W49" s="65">
        <v>9.5191300000000006E-3</v>
      </c>
      <c r="X49" s="65">
        <v>3.79934E-3</v>
      </c>
      <c r="Y49" s="65">
        <v>8.721E-5</v>
      </c>
      <c r="Z49" s="65">
        <v>1.6E-7</v>
      </c>
      <c r="AA49" s="65">
        <v>2E-8</v>
      </c>
      <c r="AB49" s="66">
        <v>2E-8</v>
      </c>
    </row>
    <row r="50" spans="2:28" x14ac:dyDescent="0.2">
      <c r="B50" s="63">
        <f t="shared" si="4"/>
        <v>600000</v>
      </c>
      <c r="C50" s="64">
        <v>750000</v>
      </c>
      <c r="D50" s="65">
        <v>0.15660204</v>
      </c>
      <c r="E50" s="65">
        <v>0.54001714999999995</v>
      </c>
      <c r="F50" s="65">
        <v>0.18530730000000001</v>
      </c>
      <c r="G50" s="65">
        <v>6.9762309999999994E-2</v>
      </c>
      <c r="H50" s="65">
        <v>3.1743979999999998E-2</v>
      </c>
      <c r="I50" s="65">
        <v>1.243208E-2</v>
      </c>
      <c r="J50" s="65">
        <v>4.0523299999999998E-3</v>
      </c>
      <c r="K50" s="65">
        <v>8.2609999999999997E-5</v>
      </c>
      <c r="L50" s="65">
        <v>1.4000000000000001E-7</v>
      </c>
      <c r="M50" s="65">
        <v>2E-8</v>
      </c>
      <c r="N50" s="66">
        <v>2E-8</v>
      </c>
      <c r="O50" s="48"/>
      <c r="P50" s="63">
        <f t="shared" si="5"/>
        <v>600000</v>
      </c>
      <c r="Q50" s="64">
        <v>750000</v>
      </c>
      <c r="R50" s="65">
        <v>0.1600965</v>
      </c>
      <c r="S50" s="65">
        <v>0.53485923000000002</v>
      </c>
      <c r="T50" s="65">
        <v>0.18628260999999999</v>
      </c>
      <c r="U50" s="65">
        <v>6.9354620000000006E-2</v>
      </c>
      <c r="V50" s="65">
        <v>3.2628030000000002E-2</v>
      </c>
      <c r="W50" s="65">
        <v>1.1826730000000001E-2</v>
      </c>
      <c r="X50" s="65">
        <v>4.8368300000000003E-3</v>
      </c>
      <c r="Y50" s="65">
        <v>1.1518000000000001E-4</v>
      </c>
      <c r="Z50" s="65">
        <v>2.2000000000000001E-7</v>
      </c>
      <c r="AA50" s="65">
        <v>2E-8</v>
      </c>
      <c r="AB50" s="66">
        <v>2E-8</v>
      </c>
    </row>
    <row r="51" spans="2:28" x14ac:dyDescent="0.2">
      <c r="B51" s="63">
        <f t="shared" si="4"/>
        <v>750000</v>
      </c>
      <c r="C51" s="64">
        <v>1000000</v>
      </c>
      <c r="D51" s="65">
        <v>0.14732402</v>
      </c>
      <c r="E51" s="65">
        <v>0.53712413999999997</v>
      </c>
      <c r="F51" s="65">
        <v>0.18938377000000001</v>
      </c>
      <c r="G51" s="65">
        <v>7.1078199999999994E-2</v>
      </c>
      <c r="H51" s="65">
        <v>3.3121820000000003E-2</v>
      </c>
      <c r="I51" s="65">
        <v>1.642849E-2</v>
      </c>
      <c r="J51" s="65">
        <v>5.4300199999999998E-3</v>
      </c>
      <c r="K51" s="65">
        <v>1.0929000000000001E-4</v>
      </c>
      <c r="L51" s="65">
        <v>1.9999999999999999E-7</v>
      </c>
      <c r="M51" s="65">
        <v>2E-8</v>
      </c>
      <c r="N51" s="66">
        <v>2E-8</v>
      </c>
      <c r="O51" s="48"/>
      <c r="P51" s="63">
        <f t="shared" si="5"/>
        <v>750000</v>
      </c>
      <c r="Q51" s="64">
        <v>1000000</v>
      </c>
      <c r="R51" s="65">
        <v>0.15381400000000001</v>
      </c>
      <c r="S51" s="65">
        <v>0.52914388999999995</v>
      </c>
      <c r="T51" s="65">
        <v>0.19019196999999999</v>
      </c>
      <c r="U51" s="65">
        <v>7.0531540000000004E-2</v>
      </c>
      <c r="V51" s="65">
        <v>3.4219649999999997E-2</v>
      </c>
      <c r="W51" s="65">
        <v>1.547487E-2</v>
      </c>
      <c r="X51" s="65">
        <v>6.4721500000000003E-3</v>
      </c>
      <c r="Y51" s="65">
        <v>1.5155999999999999E-4</v>
      </c>
      <c r="Z51" s="65">
        <v>3.1E-7</v>
      </c>
      <c r="AA51" s="65">
        <v>2.9999999999999997E-8</v>
      </c>
      <c r="AB51" s="66">
        <v>2.9999999999999997E-8</v>
      </c>
    </row>
    <row r="52" spans="2:28" x14ac:dyDescent="0.2">
      <c r="B52" s="63">
        <f t="shared" si="4"/>
        <v>1000000</v>
      </c>
      <c r="C52" s="64">
        <v>1250000</v>
      </c>
      <c r="D52" s="65">
        <v>0.13109230999999999</v>
      </c>
      <c r="E52" s="65">
        <v>0.54166080000000005</v>
      </c>
      <c r="F52" s="65">
        <v>0.19368637</v>
      </c>
      <c r="G52" s="65">
        <v>7.330325E-2</v>
      </c>
      <c r="H52" s="65">
        <v>3.4509049999999999E-2</v>
      </c>
      <c r="I52" s="65">
        <v>1.907259E-2</v>
      </c>
      <c r="J52" s="65">
        <v>6.4489500000000002E-3</v>
      </c>
      <c r="K52" s="65">
        <v>2.1845999999999999E-4</v>
      </c>
      <c r="L52" s="65">
        <v>6.7100000000000001E-6</v>
      </c>
      <c r="M52" s="65">
        <v>1.46E-6</v>
      </c>
      <c r="N52" s="66">
        <v>4.0000000000000001E-8</v>
      </c>
      <c r="O52" s="48"/>
      <c r="P52" s="63">
        <f t="shared" si="5"/>
        <v>1000000</v>
      </c>
      <c r="Q52" s="64">
        <v>1250000</v>
      </c>
      <c r="R52" s="65">
        <v>0.14078194999999999</v>
      </c>
      <c r="S52" s="65">
        <v>0.53041276999999998</v>
      </c>
      <c r="T52" s="65">
        <v>0.19468854999999999</v>
      </c>
      <c r="U52" s="65">
        <v>7.2490180000000001E-2</v>
      </c>
      <c r="V52" s="65">
        <v>3.5775120000000001E-2</v>
      </c>
      <c r="W52" s="65">
        <v>1.7939650000000001E-2</v>
      </c>
      <c r="X52" s="65">
        <v>7.6434800000000002E-3</v>
      </c>
      <c r="Y52" s="65">
        <v>2.5569999999999998E-4</v>
      </c>
      <c r="Z52" s="65">
        <v>1.1749999999999999E-5</v>
      </c>
      <c r="AA52" s="65">
        <v>7.9999999999999996E-7</v>
      </c>
      <c r="AB52" s="66">
        <v>4.0000000000000001E-8</v>
      </c>
    </row>
    <row r="53" spans="2:28" x14ac:dyDescent="0.2">
      <c r="B53" s="63">
        <f t="shared" si="4"/>
        <v>1250000</v>
      </c>
      <c r="C53" s="64">
        <v>1500000</v>
      </c>
      <c r="D53" s="65">
        <v>0.13315883000000001</v>
      </c>
      <c r="E53" s="65">
        <v>0.53875929</v>
      </c>
      <c r="F53" s="65">
        <v>0.19337146</v>
      </c>
      <c r="G53" s="65">
        <v>7.4100299999999994E-2</v>
      </c>
      <c r="H53" s="65">
        <v>3.4667160000000002E-2</v>
      </c>
      <c r="I53" s="65">
        <v>1.906774E-2</v>
      </c>
      <c r="J53" s="65">
        <v>6.4666100000000002E-3</v>
      </c>
      <c r="K53" s="65">
        <v>3.8412E-4</v>
      </c>
      <c r="L53" s="65">
        <v>1.999E-5</v>
      </c>
      <c r="M53" s="65">
        <v>4.42E-6</v>
      </c>
      <c r="N53" s="66">
        <v>8.0000000000000002E-8</v>
      </c>
      <c r="O53" s="48"/>
      <c r="P53" s="63">
        <f t="shared" si="5"/>
        <v>1250000</v>
      </c>
      <c r="Q53" s="64">
        <v>1500000</v>
      </c>
      <c r="R53" s="65">
        <v>0.14249872999999999</v>
      </c>
      <c r="S53" s="65">
        <v>0.52809724000000002</v>
      </c>
      <c r="T53" s="65">
        <v>0.19429674999999999</v>
      </c>
      <c r="U53" s="65">
        <v>7.3253250000000006E-2</v>
      </c>
      <c r="V53" s="65">
        <v>3.5836310000000003E-2</v>
      </c>
      <c r="W53" s="65">
        <v>1.7968419999999999E-2</v>
      </c>
      <c r="X53" s="65">
        <v>7.61957E-3</v>
      </c>
      <c r="Y53" s="65">
        <v>3.9191999999999997E-4</v>
      </c>
      <c r="Z53" s="65">
        <v>3.536E-5</v>
      </c>
      <c r="AA53" s="65">
        <v>2.39E-6</v>
      </c>
      <c r="AB53" s="66">
        <v>5.9999999999999995E-8</v>
      </c>
    </row>
    <row r="54" spans="2:28" x14ac:dyDescent="0.2">
      <c r="B54" s="63">
        <f t="shared" si="4"/>
        <v>1500000</v>
      </c>
      <c r="C54" s="64">
        <v>2000000</v>
      </c>
      <c r="D54" s="65">
        <v>0.13311129999999999</v>
      </c>
      <c r="E54" s="65">
        <v>0.54117952000000002</v>
      </c>
      <c r="F54" s="65">
        <v>0.19021347</v>
      </c>
      <c r="G54" s="65">
        <v>7.5425580000000006E-2</v>
      </c>
      <c r="H54" s="65">
        <v>3.4356350000000001E-2</v>
      </c>
      <c r="I54" s="65">
        <v>1.862165E-2</v>
      </c>
      <c r="J54" s="65">
        <v>6.4662499999999998E-3</v>
      </c>
      <c r="K54" s="65">
        <v>5.8357999999999999E-4</v>
      </c>
      <c r="L54" s="65">
        <v>3.4180000000000001E-5</v>
      </c>
      <c r="M54" s="65">
        <v>7.9899999999999997E-6</v>
      </c>
      <c r="N54" s="66">
        <v>1.1999999999999999E-7</v>
      </c>
      <c r="O54" s="48"/>
      <c r="P54" s="63">
        <f t="shared" si="5"/>
        <v>1500000</v>
      </c>
      <c r="Q54" s="64">
        <v>2000000</v>
      </c>
      <c r="R54" s="65">
        <v>0.14244343000000001</v>
      </c>
      <c r="S54" s="65">
        <v>0.53054734999999997</v>
      </c>
      <c r="T54" s="65">
        <v>0.19134539</v>
      </c>
      <c r="U54" s="65">
        <v>7.4400359999999999E-2</v>
      </c>
      <c r="V54" s="65">
        <v>3.549795E-2</v>
      </c>
      <c r="W54" s="65">
        <v>1.7600089999999999E-2</v>
      </c>
      <c r="X54" s="65">
        <v>7.5436799999999997E-3</v>
      </c>
      <c r="Y54" s="65">
        <v>5.5568000000000002E-4</v>
      </c>
      <c r="Z54" s="65">
        <v>6.1859999999999994E-5</v>
      </c>
      <c r="AA54" s="65">
        <v>4.1300000000000003E-6</v>
      </c>
      <c r="AB54" s="66">
        <v>8.0000000000000002E-8</v>
      </c>
    </row>
    <row r="55" spans="2:28" x14ac:dyDescent="0.2">
      <c r="B55" s="63">
        <f t="shared" si="4"/>
        <v>2000000</v>
      </c>
      <c r="C55" s="64">
        <v>2500000</v>
      </c>
      <c r="D55" s="65">
        <v>0.12342583</v>
      </c>
      <c r="E55" s="65">
        <v>0.54387368000000003</v>
      </c>
      <c r="F55" s="65">
        <v>0.19250782999999999</v>
      </c>
      <c r="G55" s="65">
        <v>7.7978039999999998E-2</v>
      </c>
      <c r="H55" s="65">
        <v>3.5473249999999998E-2</v>
      </c>
      <c r="I55" s="65">
        <v>1.9064770000000002E-2</v>
      </c>
      <c r="J55" s="65">
        <v>6.6555800000000003E-3</v>
      </c>
      <c r="K55" s="65">
        <v>9.4202999999999995E-4</v>
      </c>
      <c r="L55" s="65">
        <v>6.5220000000000002E-5</v>
      </c>
      <c r="M55" s="65">
        <v>1.36E-5</v>
      </c>
      <c r="N55" s="66">
        <v>1.8E-7</v>
      </c>
      <c r="O55" s="48"/>
      <c r="P55" s="63">
        <f t="shared" si="5"/>
        <v>2000000</v>
      </c>
      <c r="Q55" s="64">
        <v>2500000</v>
      </c>
      <c r="R55" s="65">
        <v>0.13294136000000001</v>
      </c>
      <c r="S55" s="65">
        <v>0.53325884000000001</v>
      </c>
      <c r="T55" s="65">
        <v>0.19376989999999999</v>
      </c>
      <c r="U55" s="65">
        <v>7.6821959999999995E-2</v>
      </c>
      <c r="V55" s="65">
        <v>3.6460289999999999E-2</v>
      </c>
      <c r="W55" s="65">
        <v>1.806493E-2</v>
      </c>
      <c r="X55" s="65">
        <v>7.6941600000000002E-3</v>
      </c>
      <c r="Y55" s="65">
        <v>8.6363E-4</v>
      </c>
      <c r="Z55" s="65">
        <v>1.18E-4</v>
      </c>
      <c r="AA55" s="65">
        <v>6.8199999999999999E-6</v>
      </c>
      <c r="AB55" s="66">
        <v>1.1000000000000001E-7</v>
      </c>
    </row>
    <row r="56" spans="2:28" x14ac:dyDescent="0.2">
      <c r="B56" s="63">
        <f t="shared" si="4"/>
        <v>2500000</v>
      </c>
      <c r="C56" s="64">
        <v>3000000</v>
      </c>
      <c r="D56" s="65">
        <v>0.12391562</v>
      </c>
      <c r="E56" s="65">
        <v>0.54052696</v>
      </c>
      <c r="F56" s="65">
        <v>0.19261728</v>
      </c>
      <c r="G56" s="65">
        <v>8.0224900000000002E-2</v>
      </c>
      <c r="H56" s="65">
        <v>3.5585360000000003E-2</v>
      </c>
      <c r="I56" s="65">
        <v>1.8976349999999999E-2</v>
      </c>
      <c r="J56" s="65">
        <v>6.7463999999999996E-3</v>
      </c>
      <c r="K56" s="65">
        <v>1.29631E-3</v>
      </c>
      <c r="L56" s="65">
        <v>9.0459999999999998E-5</v>
      </c>
      <c r="M56" s="65">
        <v>2.0089999999999999E-5</v>
      </c>
      <c r="N56" s="66">
        <v>2.7000000000000001E-7</v>
      </c>
      <c r="O56" s="48"/>
      <c r="P56" s="63">
        <f t="shared" si="5"/>
        <v>2500000</v>
      </c>
      <c r="Q56" s="64">
        <v>3000000</v>
      </c>
      <c r="R56" s="65">
        <v>0.13315129000000001</v>
      </c>
      <c r="S56" s="65">
        <v>0.53037272999999996</v>
      </c>
      <c r="T56" s="65">
        <v>0.19400355999999999</v>
      </c>
      <c r="U56" s="65">
        <v>7.8961009999999998E-2</v>
      </c>
      <c r="V56" s="65">
        <v>3.6432630000000001E-2</v>
      </c>
      <c r="W56" s="65">
        <v>1.8036460000000001E-2</v>
      </c>
      <c r="X56" s="65">
        <v>7.69668E-3</v>
      </c>
      <c r="Y56" s="65">
        <v>1.16782E-3</v>
      </c>
      <c r="Z56" s="65">
        <v>1.6747999999999999E-4</v>
      </c>
      <c r="AA56" s="65">
        <v>1.0200000000000001E-5</v>
      </c>
      <c r="AB56" s="66">
        <v>1.4999999999999999E-7</v>
      </c>
    </row>
    <row r="57" spans="2:28" x14ac:dyDescent="0.2">
      <c r="B57" s="63">
        <f t="shared" si="4"/>
        <v>3000000</v>
      </c>
      <c r="C57" s="64">
        <v>4000000</v>
      </c>
      <c r="D57" s="65">
        <v>0.12232111</v>
      </c>
      <c r="E57" s="65">
        <v>0.53834605000000002</v>
      </c>
      <c r="F57" s="65">
        <v>0.19219736000000001</v>
      </c>
      <c r="G57" s="65">
        <v>8.3229410000000004E-2</v>
      </c>
      <c r="H57" s="65">
        <v>3.6111810000000001E-2</v>
      </c>
      <c r="I57" s="65">
        <v>1.897269E-2</v>
      </c>
      <c r="J57" s="65">
        <v>6.8798699999999997E-3</v>
      </c>
      <c r="K57" s="65">
        <v>1.7854100000000001E-3</v>
      </c>
      <c r="L57" s="65">
        <v>1.2786000000000001E-4</v>
      </c>
      <c r="M57" s="65">
        <v>2.8070000000000001E-5</v>
      </c>
      <c r="N57" s="66">
        <v>3.7E-7</v>
      </c>
      <c r="O57" s="48"/>
      <c r="P57" s="63">
        <f t="shared" si="5"/>
        <v>3000000</v>
      </c>
      <c r="Q57" s="64">
        <v>4000000</v>
      </c>
      <c r="R57" s="65">
        <v>0.13088662000000001</v>
      </c>
      <c r="S57" s="65">
        <v>0.52905919999999995</v>
      </c>
      <c r="T57" s="65">
        <v>0.19382782000000001</v>
      </c>
      <c r="U57" s="65">
        <v>8.1801929999999995E-2</v>
      </c>
      <c r="V57" s="65">
        <v>3.6768830000000002E-2</v>
      </c>
      <c r="W57" s="65">
        <v>1.808017E-2</v>
      </c>
      <c r="X57" s="65">
        <v>7.7324400000000001E-3</v>
      </c>
      <c r="Y57" s="65">
        <v>1.5880600000000001E-3</v>
      </c>
      <c r="Z57" s="65">
        <v>2.4119000000000001E-4</v>
      </c>
      <c r="AA57" s="65">
        <v>1.3570000000000001E-5</v>
      </c>
      <c r="AB57" s="66">
        <v>1.8E-7</v>
      </c>
    </row>
    <row r="58" spans="2:28" x14ac:dyDescent="0.2">
      <c r="B58" s="63">
        <f t="shared" si="4"/>
        <v>4000000</v>
      </c>
      <c r="C58" s="64">
        <v>5000000</v>
      </c>
      <c r="D58" s="65">
        <v>0.11757705</v>
      </c>
      <c r="E58" s="65">
        <v>0.54002702000000002</v>
      </c>
      <c r="F58" s="65">
        <v>0.19001493999999999</v>
      </c>
      <c r="G58" s="65">
        <v>8.759538E-2</v>
      </c>
      <c r="H58" s="65">
        <v>3.6531359999999999E-2</v>
      </c>
      <c r="I58" s="65">
        <v>1.872337E-2</v>
      </c>
      <c r="J58" s="65">
        <v>6.9805500000000003E-3</v>
      </c>
      <c r="K58" s="65">
        <v>2.3415699999999998E-3</v>
      </c>
      <c r="L58" s="65">
        <v>1.7364999999999999E-4</v>
      </c>
      <c r="M58" s="65">
        <v>3.472E-5</v>
      </c>
      <c r="N58" s="66">
        <v>3.9000000000000002E-7</v>
      </c>
      <c r="O58" s="48"/>
      <c r="P58" s="63">
        <f t="shared" si="5"/>
        <v>4000000</v>
      </c>
      <c r="Q58" s="64">
        <v>5000000</v>
      </c>
      <c r="R58" s="65">
        <v>0.12633601999999999</v>
      </c>
      <c r="S58" s="65">
        <v>0.53047955999999996</v>
      </c>
      <c r="T58" s="65">
        <v>0.19215835000000001</v>
      </c>
      <c r="U58" s="65">
        <v>8.5813130000000001E-2</v>
      </c>
      <c r="V58" s="65">
        <v>3.7045460000000002E-2</v>
      </c>
      <c r="W58" s="65">
        <v>1.798814E-2</v>
      </c>
      <c r="X58" s="65">
        <v>7.7152399999999999E-3</v>
      </c>
      <c r="Y58" s="65">
        <v>2.1201599999999998E-3</v>
      </c>
      <c r="Z58" s="65">
        <v>3.2760999999999999E-4</v>
      </c>
      <c r="AA58" s="65">
        <v>1.6120000000000002E-5</v>
      </c>
      <c r="AB58" s="66">
        <v>2.1E-7</v>
      </c>
    </row>
    <row r="59" spans="2:28" x14ac:dyDescent="0.2">
      <c r="B59" s="63">
        <f t="shared" si="4"/>
        <v>5000000</v>
      </c>
      <c r="C59" s="64">
        <v>6000000</v>
      </c>
      <c r="D59" s="65">
        <v>0.11559804</v>
      </c>
      <c r="E59" s="65">
        <v>0.54097636000000004</v>
      </c>
      <c r="F59" s="65">
        <v>0.18665406000000001</v>
      </c>
      <c r="G59" s="65">
        <v>9.1714589999999999E-2</v>
      </c>
      <c r="H59" s="65">
        <v>3.6552790000000002E-2</v>
      </c>
      <c r="I59" s="65">
        <v>1.8426749999999999E-2</v>
      </c>
      <c r="J59" s="65">
        <v>7.0218199999999998E-3</v>
      </c>
      <c r="K59" s="65">
        <v>2.7973500000000001E-3</v>
      </c>
      <c r="L59" s="65">
        <v>2.2008999999999999E-4</v>
      </c>
      <c r="M59" s="65">
        <v>3.7669999999999997E-5</v>
      </c>
      <c r="N59" s="66">
        <v>4.8999999999999997E-7</v>
      </c>
      <c r="O59" s="48"/>
      <c r="P59" s="63">
        <f t="shared" si="5"/>
        <v>5000000</v>
      </c>
      <c r="Q59" s="64">
        <v>6000000</v>
      </c>
      <c r="R59" s="65">
        <v>0.12407416</v>
      </c>
      <c r="S59" s="65">
        <v>0.53106465999999997</v>
      </c>
      <c r="T59" s="65">
        <v>0.18951508</v>
      </c>
      <c r="U59" s="65">
        <v>8.9713479999999998E-2</v>
      </c>
      <c r="V59" s="65">
        <v>3.706367E-2</v>
      </c>
      <c r="W59" s="65">
        <v>1.7874999999999999E-2</v>
      </c>
      <c r="X59" s="65">
        <v>7.6683100000000002E-3</v>
      </c>
      <c r="Y59" s="65">
        <v>2.6022699999999998E-3</v>
      </c>
      <c r="Z59" s="65">
        <v>4.0587000000000002E-4</v>
      </c>
      <c r="AA59" s="65">
        <v>1.7289999999999999E-5</v>
      </c>
      <c r="AB59" s="66">
        <v>2.1E-7</v>
      </c>
    </row>
    <row r="60" spans="2:28" x14ac:dyDescent="0.2">
      <c r="B60" s="63">
        <f t="shared" si="4"/>
        <v>6000000</v>
      </c>
      <c r="C60" s="64">
        <v>7500000</v>
      </c>
      <c r="D60" s="65">
        <v>0.10346605</v>
      </c>
      <c r="E60" s="65">
        <v>0.54602839000000003</v>
      </c>
      <c r="F60" s="65">
        <v>0.18614495</v>
      </c>
      <c r="G60" s="65">
        <v>9.7813590000000006E-2</v>
      </c>
      <c r="H60" s="65">
        <v>3.7112850000000003E-2</v>
      </c>
      <c r="I60" s="65">
        <v>1.8444100000000001E-2</v>
      </c>
      <c r="J60" s="65">
        <v>7.21544E-3</v>
      </c>
      <c r="K60" s="65">
        <v>3.4577599999999998E-3</v>
      </c>
      <c r="L60" s="65">
        <v>2.7109999999999998E-4</v>
      </c>
      <c r="M60" s="65">
        <v>4.5229999999999999E-5</v>
      </c>
      <c r="N60" s="66">
        <v>5.4000000000000002E-7</v>
      </c>
      <c r="O60" s="48"/>
      <c r="P60" s="63">
        <f t="shared" si="5"/>
        <v>6000000</v>
      </c>
      <c r="Q60" s="64">
        <v>7500000</v>
      </c>
      <c r="R60" s="65">
        <v>0.11171931</v>
      </c>
      <c r="S60" s="65">
        <v>0.53652931000000004</v>
      </c>
      <c r="T60" s="65">
        <v>0.18946599</v>
      </c>
      <c r="U60" s="65">
        <v>9.5436450000000006E-2</v>
      </c>
      <c r="V60" s="65">
        <v>3.7426910000000001E-2</v>
      </c>
      <c r="W60" s="65">
        <v>1.7951519999999999E-2</v>
      </c>
      <c r="X60" s="65">
        <v>7.7175200000000003E-3</v>
      </c>
      <c r="Y60" s="65">
        <v>3.2304399999999998E-3</v>
      </c>
      <c r="Z60" s="65">
        <v>5.0270000000000002E-4</v>
      </c>
      <c r="AA60" s="65">
        <v>1.961E-5</v>
      </c>
      <c r="AB60" s="66">
        <v>2.2999999999999999E-7</v>
      </c>
    </row>
    <row r="61" spans="2:28" x14ac:dyDescent="0.2">
      <c r="B61" s="63">
        <f t="shared" si="4"/>
        <v>7500000</v>
      </c>
      <c r="C61" s="64">
        <v>10000000</v>
      </c>
      <c r="D61" s="65">
        <v>9.990955E-2</v>
      </c>
      <c r="E61" s="65">
        <v>0.54519879000000004</v>
      </c>
      <c r="F61" s="65">
        <v>0.18199967</v>
      </c>
      <c r="G61" s="65">
        <v>0.10585826</v>
      </c>
      <c r="H61" s="65">
        <v>3.6952529999999997E-2</v>
      </c>
      <c r="I61" s="65">
        <v>1.8064279999999999E-2</v>
      </c>
      <c r="J61" s="65">
        <v>7.2803599999999996E-3</v>
      </c>
      <c r="K61" s="65">
        <v>4.3246700000000001E-3</v>
      </c>
      <c r="L61" s="65">
        <v>3.5825000000000001E-4</v>
      </c>
      <c r="M61" s="65">
        <v>5.2960000000000001E-5</v>
      </c>
      <c r="N61" s="66">
        <v>6.7999999999999995E-7</v>
      </c>
      <c r="O61" s="48"/>
      <c r="P61" s="63">
        <f t="shared" si="5"/>
        <v>7500000</v>
      </c>
      <c r="Q61" s="64">
        <v>10000000</v>
      </c>
      <c r="R61" s="65">
        <v>0.10719525000000001</v>
      </c>
      <c r="S61" s="65">
        <v>0.53642725999999996</v>
      </c>
      <c r="T61" s="65">
        <v>0.18580205</v>
      </c>
      <c r="U61" s="65">
        <v>0.10317029</v>
      </c>
      <c r="V61" s="65">
        <v>3.7168039999999999E-2</v>
      </c>
      <c r="W61" s="65">
        <v>1.7819640000000001E-2</v>
      </c>
      <c r="X61" s="65">
        <v>7.5998400000000001E-3</v>
      </c>
      <c r="Y61" s="65">
        <v>4.1481299999999999E-3</v>
      </c>
      <c r="Z61" s="65">
        <v>6.4493999999999999E-4</v>
      </c>
      <c r="AA61" s="65">
        <v>2.4300000000000001E-5</v>
      </c>
      <c r="AB61" s="66">
        <v>2.6E-7</v>
      </c>
    </row>
    <row r="62" spans="2:28" x14ac:dyDescent="0.2">
      <c r="B62" s="63">
        <f t="shared" si="4"/>
        <v>10000000</v>
      </c>
      <c r="C62" s="64">
        <v>12500000</v>
      </c>
      <c r="D62" s="65">
        <v>8.6193539999999999E-2</v>
      </c>
      <c r="E62" s="65">
        <v>0.55605254999999998</v>
      </c>
      <c r="F62" s="65">
        <v>0.17797982000000001</v>
      </c>
      <c r="G62" s="65">
        <v>0.11275836</v>
      </c>
      <c r="H62" s="65">
        <v>3.667803E-2</v>
      </c>
      <c r="I62" s="65">
        <v>1.7941200000000001E-2</v>
      </c>
      <c r="J62" s="65">
        <v>7.2685099999999997E-3</v>
      </c>
      <c r="K62" s="65">
        <v>4.6517299999999998E-3</v>
      </c>
      <c r="L62" s="65">
        <v>4.2443E-4</v>
      </c>
      <c r="M62" s="65">
        <v>4.9159999999999997E-5</v>
      </c>
      <c r="N62" s="66">
        <v>2.6599999999999999E-6</v>
      </c>
      <c r="O62" s="48"/>
      <c r="P62" s="63">
        <f t="shared" si="5"/>
        <v>10000000</v>
      </c>
      <c r="Q62" s="64">
        <v>12500000</v>
      </c>
      <c r="R62" s="65">
        <v>9.313457E-2</v>
      </c>
      <c r="S62" s="65">
        <v>0.54792598999999997</v>
      </c>
      <c r="T62" s="65">
        <v>0.18155603000000001</v>
      </c>
      <c r="U62" s="65">
        <v>0.10976039</v>
      </c>
      <c r="V62" s="65">
        <v>3.6951600000000001E-2</v>
      </c>
      <c r="W62" s="65">
        <v>1.7929359999999998E-2</v>
      </c>
      <c r="X62" s="65">
        <v>7.4346899999999999E-3</v>
      </c>
      <c r="Y62" s="65">
        <v>4.5756299999999998E-3</v>
      </c>
      <c r="Z62" s="65">
        <v>7.0496000000000003E-4</v>
      </c>
      <c r="AA62" s="65">
        <v>2.3E-5</v>
      </c>
      <c r="AB62" s="66">
        <v>3.7699999999999999E-6</v>
      </c>
    </row>
    <row r="63" spans="2:28" x14ac:dyDescent="0.2">
      <c r="B63" s="63">
        <f t="shared" si="4"/>
        <v>12500000</v>
      </c>
      <c r="C63" s="64">
        <v>15000000</v>
      </c>
      <c r="D63" s="65">
        <v>8.7196079999999995E-2</v>
      </c>
      <c r="E63" s="65">
        <v>0.55291944999999998</v>
      </c>
      <c r="F63" s="65">
        <v>0.17875588000000001</v>
      </c>
      <c r="G63" s="65">
        <v>0.11269061</v>
      </c>
      <c r="H63" s="65">
        <v>3.7586069999999999E-2</v>
      </c>
      <c r="I63" s="65">
        <v>1.8169129999999999E-2</v>
      </c>
      <c r="J63" s="65">
        <v>7.4448400000000003E-3</v>
      </c>
      <c r="K63" s="65">
        <v>4.6787199999999999E-3</v>
      </c>
      <c r="L63" s="65">
        <v>5.0082000000000002E-4</v>
      </c>
      <c r="M63" s="65">
        <v>5.0800000000000002E-5</v>
      </c>
      <c r="N63" s="66">
        <v>7.5900000000000002E-6</v>
      </c>
      <c r="O63" s="48"/>
      <c r="P63" s="63">
        <f t="shared" si="5"/>
        <v>12500000</v>
      </c>
      <c r="Q63" s="64">
        <v>15000000</v>
      </c>
      <c r="R63" s="65">
        <v>9.388117E-2</v>
      </c>
      <c r="S63" s="65">
        <v>0.54388265000000002</v>
      </c>
      <c r="T63" s="65">
        <v>0.18326043</v>
      </c>
      <c r="U63" s="65">
        <v>0.10977251</v>
      </c>
      <c r="V63" s="65">
        <v>3.8001460000000001E-2</v>
      </c>
      <c r="W63" s="65">
        <v>1.8094579999999999E-2</v>
      </c>
      <c r="X63" s="65">
        <v>7.6454399999999999E-3</v>
      </c>
      <c r="Y63" s="65">
        <v>4.6385000000000003E-3</v>
      </c>
      <c r="Z63" s="65">
        <v>7.8554999999999999E-4</v>
      </c>
      <c r="AA63" s="65">
        <v>2.6270000000000001E-5</v>
      </c>
      <c r="AB63" s="66">
        <v>1.1440000000000001E-5</v>
      </c>
    </row>
    <row r="64" spans="2:28" x14ac:dyDescent="0.2">
      <c r="B64" s="63">
        <f t="shared" si="4"/>
        <v>15000000</v>
      </c>
      <c r="C64" s="64">
        <v>20000000</v>
      </c>
      <c r="D64" s="65">
        <v>9.2625739999999998E-2</v>
      </c>
      <c r="E64" s="65">
        <v>0.55059093000000003</v>
      </c>
      <c r="F64" s="65">
        <v>0.17707739</v>
      </c>
      <c r="G64" s="65">
        <v>0.11090556</v>
      </c>
      <c r="H64" s="65">
        <v>3.8187039999999998E-2</v>
      </c>
      <c r="I64" s="65">
        <v>1.805029E-2</v>
      </c>
      <c r="J64" s="65">
        <v>7.3745499999999997E-3</v>
      </c>
      <c r="K64" s="65">
        <v>4.5423099999999999E-3</v>
      </c>
      <c r="L64" s="65">
        <v>5.7050000000000004E-4</v>
      </c>
      <c r="M64" s="65">
        <v>6.1389999999999993E-5</v>
      </c>
      <c r="N64" s="66">
        <v>1.43E-5</v>
      </c>
      <c r="O64" s="48"/>
      <c r="P64" s="63">
        <f t="shared" si="5"/>
        <v>15000000</v>
      </c>
      <c r="Q64" s="64">
        <v>20000000</v>
      </c>
      <c r="R64" s="65">
        <v>9.8420460000000001E-2</v>
      </c>
      <c r="S64" s="65">
        <v>0.54385614999999998</v>
      </c>
      <c r="T64" s="65">
        <v>0.18044038000000001</v>
      </c>
      <c r="U64" s="65">
        <v>0.10813467</v>
      </c>
      <c r="V64" s="65">
        <v>3.843916E-2</v>
      </c>
      <c r="W64" s="65">
        <v>1.7912049999999999E-2</v>
      </c>
      <c r="X64" s="65">
        <v>7.4833599999999997E-3</v>
      </c>
      <c r="Y64" s="65">
        <v>4.4510699999999997E-3</v>
      </c>
      <c r="Z64" s="65">
        <v>8.0068000000000001E-4</v>
      </c>
      <c r="AA64" s="65">
        <v>3.9390000000000001E-5</v>
      </c>
      <c r="AB64" s="66">
        <v>2.264E-5</v>
      </c>
    </row>
    <row r="65" spans="2:28" x14ac:dyDescent="0.2">
      <c r="B65" s="63">
        <f t="shared" si="4"/>
        <v>20000000</v>
      </c>
      <c r="C65" s="64">
        <v>25000000</v>
      </c>
      <c r="D65" s="65">
        <v>9.747256E-2</v>
      </c>
      <c r="E65" s="65">
        <v>0.54815716000000003</v>
      </c>
      <c r="F65" s="65">
        <v>0.17635269000000001</v>
      </c>
      <c r="G65" s="65">
        <v>0.10854189</v>
      </c>
      <c r="H65" s="65">
        <v>3.9086219999999998E-2</v>
      </c>
      <c r="I65" s="65">
        <v>1.790423E-2</v>
      </c>
      <c r="J65" s="65">
        <v>7.2944500000000001E-3</v>
      </c>
      <c r="K65" s="65">
        <v>4.4148299999999998E-3</v>
      </c>
      <c r="L65" s="65">
        <v>6.7217000000000004E-4</v>
      </c>
      <c r="M65" s="65">
        <v>7.9880000000000001E-5</v>
      </c>
      <c r="N65" s="66">
        <v>2.3920000000000001E-5</v>
      </c>
      <c r="O65" s="48"/>
      <c r="P65" s="63">
        <f t="shared" si="5"/>
        <v>20000000</v>
      </c>
      <c r="Q65" s="64">
        <v>25000000</v>
      </c>
      <c r="R65" s="65">
        <v>0.10384549999999999</v>
      </c>
      <c r="S65" s="65">
        <v>0.54015175999999998</v>
      </c>
      <c r="T65" s="65">
        <v>0.18001386999999999</v>
      </c>
      <c r="U65" s="65">
        <v>0.10590381</v>
      </c>
      <c r="V65" s="65">
        <v>3.9508130000000002E-2</v>
      </c>
      <c r="W65" s="65">
        <v>1.774599E-2</v>
      </c>
      <c r="X65" s="65">
        <v>7.4543700000000001E-3</v>
      </c>
      <c r="Y65" s="65">
        <v>4.4042300000000003E-3</v>
      </c>
      <c r="Z65" s="65">
        <v>8.7007999999999996E-4</v>
      </c>
      <c r="AA65" s="65">
        <v>6.4490000000000001E-5</v>
      </c>
      <c r="AB65" s="66">
        <v>3.7790000000000002E-5</v>
      </c>
    </row>
    <row r="66" spans="2:28" x14ac:dyDescent="0.2">
      <c r="B66" s="63">
        <f t="shared" si="4"/>
        <v>25000000</v>
      </c>
      <c r="C66" s="64">
        <v>30000000</v>
      </c>
      <c r="D66" s="65">
        <v>8.6506819999999998E-2</v>
      </c>
      <c r="E66" s="65">
        <v>0.55782675000000004</v>
      </c>
      <c r="F66" s="65">
        <v>0.17463756999999999</v>
      </c>
      <c r="G66" s="65">
        <v>0.11027486</v>
      </c>
      <c r="H66" s="65">
        <v>4.0090210000000001E-2</v>
      </c>
      <c r="I66" s="65">
        <v>1.8238020000000001E-2</v>
      </c>
      <c r="J66" s="65">
        <v>7.4366399999999996E-3</v>
      </c>
      <c r="K66" s="65">
        <v>4.0930200000000002E-3</v>
      </c>
      <c r="L66" s="65">
        <v>7.9626999999999996E-4</v>
      </c>
      <c r="M66" s="65">
        <v>6.5190000000000004E-5</v>
      </c>
      <c r="N66" s="66">
        <v>3.4650000000000002E-5</v>
      </c>
      <c r="O66" s="48"/>
      <c r="P66" s="63">
        <f t="shared" si="5"/>
        <v>25000000</v>
      </c>
      <c r="Q66" s="64">
        <v>30000000</v>
      </c>
      <c r="R66" s="65">
        <v>9.3563460000000001E-2</v>
      </c>
      <c r="S66" s="65">
        <v>0.54823948</v>
      </c>
      <c r="T66" s="65">
        <v>0.17855148000000001</v>
      </c>
      <c r="U66" s="65">
        <v>0.10767402</v>
      </c>
      <c r="V66" s="65">
        <v>4.0869210000000003E-2</v>
      </c>
      <c r="W66" s="65">
        <v>1.8205289999999999E-2</v>
      </c>
      <c r="X66" s="65">
        <v>7.6161299999999996E-3</v>
      </c>
      <c r="Y66" s="65">
        <v>4.2174100000000004E-3</v>
      </c>
      <c r="Z66" s="65">
        <v>9.5162000000000003E-4</v>
      </c>
      <c r="AA66" s="65">
        <v>5.6480000000000001E-5</v>
      </c>
      <c r="AB66" s="66">
        <v>5.541E-5</v>
      </c>
    </row>
    <row r="67" spans="2:28" x14ac:dyDescent="0.2">
      <c r="B67" s="63">
        <f t="shared" si="4"/>
        <v>30000000</v>
      </c>
      <c r="C67" s="64">
        <v>40000000</v>
      </c>
      <c r="D67" s="65">
        <v>9.7300120000000004E-2</v>
      </c>
      <c r="E67" s="65">
        <v>0.55165231999999997</v>
      </c>
      <c r="F67" s="65">
        <v>0.17172524</v>
      </c>
      <c r="G67" s="65">
        <v>0.10762694</v>
      </c>
      <c r="H67" s="65">
        <v>4.1291250000000002E-2</v>
      </c>
      <c r="I67" s="65">
        <v>1.811078E-2</v>
      </c>
      <c r="J67" s="65">
        <v>7.3794200000000003E-3</v>
      </c>
      <c r="K67" s="65">
        <v>3.86886E-3</v>
      </c>
      <c r="L67" s="65">
        <v>9.2016999999999999E-4</v>
      </c>
      <c r="M67" s="65">
        <v>7.9179999999999997E-5</v>
      </c>
      <c r="N67" s="66">
        <v>4.5720000000000003E-5</v>
      </c>
      <c r="O67" s="48"/>
      <c r="P67" s="63">
        <f t="shared" si="5"/>
        <v>30000000</v>
      </c>
      <c r="Q67" s="64">
        <v>40000000</v>
      </c>
      <c r="R67" s="65">
        <v>0.10390109</v>
      </c>
      <c r="S67" s="65">
        <v>0.54232572999999995</v>
      </c>
      <c r="T67" s="65">
        <v>0.17566823000000001</v>
      </c>
      <c r="U67" s="65">
        <v>0.10518797000000001</v>
      </c>
      <c r="V67" s="65">
        <v>4.2156430000000002E-2</v>
      </c>
      <c r="W67" s="65">
        <v>1.7995480000000001E-2</v>
      </c>
      <c r="X67" s="65">
        <v>7.5564200000000003E-3</v>
      </c>
      <c r="Y67" s="65">
        <v>4.03375E-3</v>
      </c>
      <c r="Z67" s="65">
        <v>1.0240500000000001E-3</v>
      </c>
      <c r="AA67" s="65">
        <v>7.6979999999999998E-5</v>
      </c>
      <c r="AB67" s="66">
        <v>7.3869999999999996E-5</v>
      </c>
    </row>
    <row r="68" spans="2:28" x14ac:dyDescent="0.2">
      <c r="B68" s="63">
        <f t="shared" si="4"/>
        <v>40000000</v>
      </c>
      <c r="C68" s="64">
        <v>50000000</v>
      </c>
      <c r="D68" s="65">
        <v>9.6780089999999999E-2</v>
      </c>
      <c r="E68" s="65">
        <v>0.55288532999999995</v>
      </c>
      <c r="F68" s="65">
        <v>0.17006210999999999</v>
      </c>
      <c r="G68" s="65">
        <v>0.10635195</v>
      </c>
      <c r="H68" s="65">
        <v>4.3567479999999999E-2</v>
      </c>
      <c r="I68" s="65">
        <v>1.8175980000000001E-2</v>
      </c>
      <c r="J68" s="65">
        <v>7.4479400000000001E-3</v>
      </c>
      <c r="K68" s="65">
        <v>3.4674200000000001E-3</v>
      </c>
      <c r="L68" s="65">
        <v>1.1124799999999999E-3</v>
      </c>
      <c r="M68" s="65">
        <v>8.3560000000000006E-5</v>
      </c>
      <c r="N68" s="66">
        <v>6.5660000000000005E-5</v>
      </c>
      <c r="O68" s="48"/>
      <c r="P68" s="63">
        <f t="shared" si="5"/>
        <v>40000000</v>
      </c>
      <c r="Q68" s="64">
        <v>50000000</v>
      </c>
      <c r="R68" s="65">
        <v>0.103572</v>
      </c>
      <c r="S68" s="65">
        <v>0.54284500999999996</v>
      </c>
      <c r="T68" s="65">
        <v>0.17393217</v>
      </c>
      <c r="U68" s="65">
        <v>0.10405472</v>
      </c>
      <c r="V68" s="65">
        <v>4.4704550000000003E-2</v>
      </c>
      <c r="W68" s="65">
        <v>1.8146539999999999E-2</v>
      </c>
      <c r="X68" s="65">
        <v>7.6269500000000004E-3</v>
      </c>
      <c r="Y68" s="65">
        <v>3.7609900000000001E-3</v>
      </c>
      <c r="Z68" s="65">
        <v>1.1617400000000001E-3</v>
      </c>
      <c r="AA68" s="65">
        <v>8.8850000000000005E-5</v>
      </c>
      <c r="AB68" s="66">
        <v>1.0648E-4</v>
      </c>
    </row>
    <row r="69" spans="2:28" x14ac:dyDescent="0.2">
      <c r="B69" s="63">
        <f t="shared" si="4"/>
        <v>50000000</v>
      </c>
      <c r="C69" s="64">
        <v>60000000</v>
      </c>
      <c r="D69" s="65">
        <v>0.1021102</v>
      </c>
      <c r="E69" s="65">
        <v>0.55315513999999999</v>
      </c>
      <c r="F69" s="65">
        <v>0.16599796</v>
      </c>
      <c r="G69" s="65">
        <v>0.10357418</v>
      </c>
      <c r="H69" s="65">
        <v>4.5137099999999999E-2</v>
      </c>
      <c r="I69" s="65">
        <v>1.795718E-2</v>
      </c>
      <c r="J69" s="65">
        <v>7.4257000000000004E-3</v>
      </c>
      <c r="K69" s="65">
        <v>3.1743499999999998E-3</v>
      </c>
      <c r="L69" s="65">
        <v>1.2842299999999999E-3</v>
      </c>
      <c r="M69" s="65">
        <v>9.7919999999999998E-5</v>
      </c>
      <c r="N69" s="66">
        <v>8.6039999999999996E-5</v>
      </c>
      <c r="O69" s="48"/>
      <c r="P69" s="63">
        <f t="shared" si="5"/>
        <v>50000000</v>
      </c>
      <c r="Q69" s="64">
        <v>60000000</v>
      </c>
      <c r="R69" s="65">
        <v>0.10835334000000001</v>
      </c>
      <c r="S69" s="65">
        <v>0.54548231999999996</v>
      </c>
      <c r="T69" s="65">
        <v>0.16819285</v>
      </c>
      <c r="U69" s="65">
        <v>0.10156095</v>
      </c>
      <c r="V69" s="65">
        <v>4.6120519999999998E-2</v>
      </c>
      <c r="W69" s="65">
        <v>1.7885959999999999E-2</v>
      </c>
      <c r="X69" s="65">
        <v>7.4723699999999999E-3</v>
      </c>
      <c r="Y69" s="65">
        <v>3.4387200000000001E-3</v>
      </c>
      <c r="Z69" s="65">
        <v>1.25358E-3</v>
      </c>
      <c r="AA69" s="65">
        <v>9.8410000000000001E-5</v>
      </c>
      <c r="AB69" s="66">
        <v>1.4098999999999999E-4</v>
      </c>
    </row>
    <row r="70" spans="2:28" x14ac:dyDescent="0.2">
      <c r="B70" s="63">
        <f t="shared" si="4"/>
        <v>60000000</v>
      </c>
      <c r="C70" s="64">
        <v>75000000</v>
      </c>
      <c r="D70" s="65">
        <v>9.8999379999999998E-2</v>
      </c>
      <c r="E70" s="65">
        <v>0.54858043999999995</v>
      </c>
      <c r="F70" s="65">
        <v>0.16901124000000001</v>
      </c>
      <c r="G70" s="65">
        <v>0.10204915000000001</v>
      </c>
      <c r="H70" s="65">
        <v>4.9217289999999997E-2</v>
      </c>
      <c r="I70" s="65">
        <v>1.9015239999999999E-2</v>
      </c>
      <c r="J70" s="65">
        <v>7.8984399999999996E-3</v>
      </c>
      <c r="K70" s="65">
        <v>3.2770299999999998E-3</v>
      </c>
      <c r="L70" s="65">
        <v>1.7020799999999999E-3</v>
      </c>
      <c r="M70" s="65">
        <v>1.3819E-4</v>
      </c>
      <c r="N70" s="66">
        <v>1.1153E-4</v>
      </c>
      <c r="O70" s="48"/>
      <c r="P70" s="63">
        <f t="shared" si="5"/>
        <v>60000000</v>
      </c>
      <c r="Q70" s="64">
        <v>75000000</v>
      </c>
      <c r="R70" s="65">
        <v>0.10446638</v>
      </c>
      <c r="S70" s="65">
        <v>0.54208738999999995</v>
      </c>
      <c r="T70" s="65">
        <v>0.17175963</v>
      </c>
      <c r="U70" s="65">
        <v>0.10004022999999999</v>
      </c>
      <c r="V70" s="65">
        <v>5.0145660000000002E-2</v>
      </c>
      <c r="W70" s="65">
        <v>1.8295240000000001E-2</v>
      </c>
      <c r="X70" s="65">
        <v>7.8714400000000004E-3</v>
      </c>
      <c r="Y70" s="65">
        <v>3.47431E-3</v>
      </c>
      <c r="Z70" s="65">
        <v>1.5200599999999999E-3</v>
      </c>
      <c r="AA70" s="65">
        <v>1.6009999999999999E-4</v>
      </c>
      <c r="AB70" s="66">
        <v>1.7956E-4</v>
      </c>
    </row>
    <row r="71" spans="2:28" x14ac:dyDescent="0.2">
      <c r="B71" s="63">
        <f t="shared" si="4"/>
        <v>75000000</v>
      </c>
      <c r="C71" s="64">
        <v>100000000</v>
      </c>
      <c r="D71" s="65">
        <v>9.8415230000000006E-2</v>
      </c>
      <c r="E71" s="65">
        <v>0.55557438999999997</v>
      </c>
      <c r="F71" s="65">
        <v>0.16341205</v>
      </c>
      <c r="G71" s="65">
        <v>9.8602319999999993E-2</v>
      </c>
      <c r="H71" s="65">
        <v>5.2778100000000001E-2</v>
      </c>
      <c r="I71" s="65">
        <v>1.8542360000000001E-2</v>
      </c>
      <c r="J71" s="65">
        <v>7.8740300000000006E-3</v>
      </c>
      <c r="K71" s="65">
        <v>2.57735E-3</v>
      </c>
      <c r="L71" s="65">
        <v>1.9210900000000001E-3</v>
      </c>
      <c r="M71" s="65">
        <v>1.5898E-4</v>
      </c>
      <c r="N71" s="66">
        <v>1.4409000000000001E-4</v>
      </c>
      <c r="O71" s="48"/>
      <c r="P71" s="63">
        <f t="shared" si="5"/>
        <v>75000000</v>
      </c>
      <c r="Q71" s="64">
        <v>100000000</v>
      </c>
      <c r="R71" s="65">
        <v>0.10582738</v>
      </c>
      <c r="S71" s="65">
        <v>0.54644461</v>
      </c>
      <c r="T71" s="65">
        <v>0.16568015999999999</v>
      </c>
      <c r="U71" s="65">
        <v>9.6954120000000005E-2</v>
      </c>
      <c r="V71" s="65">
        <v>5.395076E-2</v>
      </c>
      <c r="W71" s="65">
        <v>1.8215760000000001E-2</v>
      </c>
      <c r="X71" s="65">
        <v>7.8306299999999999E-3</v>
      </c>
      <c r="Y71" s="65">
        <v>2.9705399999999998E-3</v>
      </c>
      <c r="Z71" s="65">
        <v>1.71287E-3</v>
      </c>
      <c r="AA71" s="65">
        <v>1.7874000000000001E-4</v>
      </c>
      <c r="AB71" s="66">
        <v>2.3442999999999999E-4</v>
      </c>
    </row>
    <row r="72" spans="2:28" x14ac:dyDescent="0.2">
      <c r="B72" s="63">
        <f t="shared" si="4"/>
        <v>100000000</v>
      </c>
      <c r="C72" s="64">
        <v>125000000</v>
      </c>
      <c r="D72" s="65">
        <v>8.9659799999999998E-2</v>
      </c>
      <c r="E72" s="65">
        <v>0.57451028000000004</v>
      </c>
      <c r="F72" s="65">
        <v>0.15440754000000001</v>
      </c>
      <c r="G72" s="65">
        <v>9.6996899999999997E-2</v>
      </c>
      <c r="H72" s="65">
        <v>5.4571189999999999E-2</v>
      </c>
      <c r="I72" s="65">
        <v>1.7851769999999999E-2</v>
      </c>
      <c r="J72" s="65">
        <v>7.7851700000000001E-3</v>
      </c>
      <c r="K72" s="65">
        <v>2.1027699999999999E-3</v>
      </c>
      <c r="L72" s="65">
        <v>1.8151300000000001E-3</v>
      </c>
      <c r="M72" s="65">
        <v>1.6144E-4</v>
      </c>
      <c r="N72" s="66">
        <v>1.3800999999999999E-4</v>
      </c>
      <c r="O72" s="48"/>
      <c r="P72" s="63">
        <f t="shared" si="5"/>
        <v>100000000</v>
      </c>
      <c r="Q72" s="64">
        <v>125000000</v>
      </c>
      <c r="R72" s="65">
        <v>9.7973340000000006E-2</v>
      </c>
      <c r="S72" s="65">
        <v>0.56445204000000004</v>
      </c>
      <c r="T72" s="65">
        <v>0.15566342</v>
      </c>
      <c r="U72" s="65">
        <v>9.5853969999999997E-2</v>
      </c>
      <c r="V72" s="65">
        <v>5.5667269999999998E-2</v>
      </c>
      <c r="W72" s="65">
        <v>1.8111519999999999E-2</v>
      </c>
      <c r="X72" s="65">
        <v>7.6605600000000003E-3</v>
      </c>
      <c r="Y72" s="65">
        <v>2.55157E-3</v>
      </c>
      <c r="Z72" s="65">
        <v>1.68574E-3</v>
      </c>
      <c r="AA72" s="65">
        <v>1.4762999999999999E-4</v>
      </c>
      <c r="AB72" s="66">
        <v>2.3294E-4</v>
      </c>
    </row>
    <row r="73" spans="2:28" x14ac:dyDescent="0.2">
      <c r="B73" s="63">
        <f t="shared" si="4"/>
        <v>125000000</v>
      </c>
      <c r="C73" s="64">
        <v>150000000</v>
      </c>
      <c r="D73" s="65">
        <v>0.10971966</v>
      </c>
      <c r="E73" s="65">
        <v>0.54923169000000005</v>
      </c>
      <c r="F73" s="65">
        <v>0.16357571000000001</v>
      </c>
      <c r="G73" s="65">
        <v>9.3247510000000006E-2</v>
      </c>
      <c r="H73" s="65">
        <v>5.1810469999999997E-2</v>
      </c>
      <c r="I73" s="65">
        <v>1.8969710000000001E-2</v>
      </c>
      <c r="J73" s="65">
        <v>8.3999299999999999E-3</v>
      </c>
      <c r="K73" s="65">
        <v>2.5548200000000002E-3</v>
      </c>
      <c r="L73" s="65">
        <v>2.07099E-3</v>
      </c>
      <c r="M73" s="65">
        <v>2.2718E-4</v>
      </c>
      <c r="N73" s="66">
        <v>1.9232E-4</v>
      </c>
      <c r="O73" s="48"/>
      <c r="P73" s="63">
        <f t="shared" si="5"/>
        <v>125000000</v>
      </c>
      <c r="Q73" s="64">
        <v>150000000</v>
      </c>
      <c r="R73" s="65">
        <v>0.11585379</v>
      </c>
      <c r="S73" s="65">
        <v>0.54205535000000005</v>
      </c>
      <c r="T73" s="65">
        <v>0.16478666</v>
      </c>
      <c r="U73" s="65">
        <v>9.2408169999999998E-2</v>
      </c>
      <c r="V73" s="65">
        <v>5.2524759999999997E-2</v>
      </c>
      <c r="W73" s="65">
        <v>1.87768E-2</v>
      </c>
      <c r="X73" s="65">
        <v>8.3136800000000004E-3</v>
      </c>
      <c r="Y73" s="65">
        <v>2.9319400000000001E-3</v>
      </c>
      <c r="Z73" s="65">
        <v>1.8209000000000001E-3</v>
      </c>
      <c r="AA73" s="65">
        <v>2.3379E-4</v>
      </c>
      <c r="AB73" s="66">
        <v>2.9415000000000002E-4</v>
      </c>
    </row>
    <row r="74" spans="2:28" x14ac:dyDescent="0.2">
      <c r="B74" s="63">
        <f t="shared" si="4"/>
        <v>150000000</v>
      </c>
      <c r="C74" s="64">
        <v>200000000</v>
      </c>
      <c r="D74" s="65">
        <v>0.10209781</v>
      </c>
      <c r="E74" s="65">
        <v>0.53991120000000004</v>
      </c>
      <c r="F74" s="65">
        <v>0.16882833</v>
      </c>
      <c r="G74" s="65">
        <v>9.8738809999999996E-2</v>
      </c>
      <c r="H74" s="65">
        <v>5.4111769999999997E-2</v>
      </c>
      <c r="I74" s="65">
        <v>2.179623E-2</v>
      </c>
      <c r="J74" s="65">
        <v>9.0135700000000003E-3</v>
      </c>
      <c r="K74" s="65">
        <v>2.7254900000000001E-3</v>
      </c>
      <c r="L74" s="65">
        <v>2.3629499999999999E-3</v>
      </c>
      <c r="M74" s="65">
        <v>1.9586000000000001E-4</v>
      </c>
      <c r="N74" s="66">
        <v>2.1797E-4</v>
      </c>
      <c r="O74" s="48"/>
      <c r="P74" s="63">
        <f t="shared" si="5"/>
        <v>150000000</v>
      </c>
      <c r="Q74" s="64">
        <v>200000000</v>
      </c>
      <c r="R74" s="65">
        <v>0.10676310999999999</v>
      </c>
      <c r="S74" s="65">
        <v>0.53418310000000002</v>
      </c>
      <c r="T74" s="65">
        <v>0.17045705999999999</v>
      </c>
      <c r="U74" s="65">
        <v>9.8073240000000006E-2</v>
      </c>
      <c r="V74" s="65">
        <v>5.4747440000000001E-2</v>
      </c>
      <c r="W74" s="65">
        <v>2.120153E-2</v>
      </c>
      <c r="X74" s="65">
        <v>8.9236100000000002E-3</v>
      </c>
      <c r="Y74" s="65">
        <v>3.1119199999999998E-3</v>
      </c>
      <c r="Z74" s="65">
        <v>1.9896699999999998E-3</v>
      </c>
      <c r="AA74" s="65">
        <v>2.3058E-4</v>
      </c>
      <c r="AB74" s="66">
        <v>3.1875000000000002E-4</v>
      </c>
    </row>
    <row r="75" spans="2:28" x14ac:dyDescent="0.2">
      <c r="B75" s="63">
        <f t="shared" si="4"/>
        <v>200000000</v>
      </c>
      <c r="C75" s="64">
        <v>250000000</v>
      </c>
      <c r="D75" s="65">
        <v>0.10019116</v>
      </c>
      <c r="E75" s="65">
        <v>0.53396361999999997</v>
      </c>
      <c r="F75" s="65">
        <v>0.1728835</v>
      </c>
      <c r="G75" s="65">
        <v>0.10044299</v>
      </c>
      <c r="H75" s="65">
        <v>5.3152659999999997E-2</v>
      </c>
      <c r="I75" s="65">
        <v>2.381345E-2</v>
      </c>
      <c r="J75" s="65">
        <v>9.5726300000000004E-3</v>
      </c>
      <c r="K75" s="65">
        <v>3.0821500000000001E-3</v>
      </c>
      <c r="L75" s="65">
        <v>2.4601699999999998E-3</v>
      </c>
      <c r="M75" s="65">
        <v>2.1994000000000001E-4</v>
      </c>
      <c r="N75" s="66">
        <v>2.1772E-4</v>
      </c>
      <c r="O75" s="48"/>
      <c r="P75" s="63">
        <f t="shared" si="5"/>
        <v>200000000</v>
      </c>
      <c r="Q75" s="64">
        <v>250000000</v>
      </c>
      <c r="R75" s="65">
        <v>0.10620709</v>
      </c>
      <c r="S75" s="65">
        <v>0.52389465999999996</v>
      </c>
      <c r="T75" s="65">
        <v>0.1769017</v>
      </c>
      <c r="U75" s="65">
        <v>0.10006988</v>
      </c>
      <c r="V75" s="65">
        <v>5.3624720000000001E-2</v>
      </c>
      <c r="W75" s="65">
        <v>2.3333099999999999E-2</v>
      </c>
      <c r="X75" s="65">
        <v>9.5615000000000006E-3</v>
      </c>
      <c r="Y75" s="65">
        <v>3.6967200000000001E-3</v>
      </c>
      <c r="Z75" s="65">
        <v>2.09582E-3</v>
      </c>
      <c r="AA75" s="65">
        <v>3.1352000000000002E-4</v>
      </c>
      <c r="AB75" s="66">
        <v>3.0127000000000002E-4</v>
      </c>
    </row>
    <row r="76" spans="2:28" x14ac:dyDescent="0.2">
      <c r="B76" s="63">
        <f t="shared" si="4"/>
        <v>250000000</v>
      </c>
      <c r="C76" s="64">
        <v>300000000</v>
      </c>
      <c r="D76" s="65">
        <v>7.420641E-2</v>
      </c>
      <c r="E76" s="65">
        <v>0.54960357999999998</v>
      </c>
      <c r="F76" s="65">
        <v>0.17786121999999999</v>
      </c>
      <c r="G76" s="65">
        <v>0.10429357</v>
      </c>
      <c r="H76" s="65">
        <v>5.2443910000000003E-2</v>
      </c>
      <c r="I76" s="65">
        <v>2.5267060000000001E-2</v>
      </c>
      <c r="J76" s="65">
        <v>1.035969E-2</v>
      </c>
      <c r="K76" s="65">
        <v>3.0402300000000001E-3</v>
      </c>
      <c r="L76" s="65">
        <v>2.4140400000000001E-3</v>
      </c>
      <c r="M76" s="65">
        <v>2.1007999999999999E-4</v>
      </c>
      <c r="N76" s="66">
        <v>3.0019999999999998E-4</v>
      </c>
      <c r="O76" s="48"/>
      <c r="P76" s="63">
        <f t="shared" si="5"/>
        <v>250000000</v>
      </c>
      <c r="Q76" s="64">
        <v>300000000</v>
      </c>
      <c r="R76" s="65">
        <v>8.0852019999999997E-2</v>
      </c>
      <c r="S76" s="65">
        <v>0.54301482999999995</v>
      </c>
      <c r="T76" s="65">
        <v>0.17802989</v>
      </c>
      <c r="U76" s="65">
        <v>0.10435717999999999</v>
      </c>
      <c r="V76" s="65">
        <v>5.2246180000000003E-2</v>
      </c>
      <c r="W76" s="65">
        <v>2.499272E-2</v>
      </c>
      <c r="X76" s="65">
        <v>1.038262E-2</v>
      </c>
      <c r="Y76" s="65">
        <v>3.4204499999999998E-3</v>
      </c>
      <c r="Z76" s="65">
        <v>2.0883199999999998E-3</v>
      </c>
      <c r="AA76" s="65">
        <v>2.1643000000000001E-4</v>
      </c>
      <c r="AB76" s="66">
        <v>3.9936000000000003E-4</v>
      </c>
    </row>
    <row r="77" spans="2:28" x14ac:dyDescent="0.2">
      <c r="B77" s="63">
        <f t="shared" si="4"/>
        <v>300000000</v>
      </c>
      <c r="C77" s="64">
        <v>400000000</v>
      </c>
      <c r="D77" s="65">
        <v>8.1735940000000007E-2</v>
      </c>
      <c r="E77" s="65">
        <v>0.52759699999999998</v>
      </c>
      <c r="F77" s="65">
        <v>0.18429092999999999</v>
      </c>
      <c r="G77" s="65">
        <v>0.10735612999999999</v>
      </c>
      <c r="H77" s="65">
        <v>5.2008489999999997E-2</v>
      </c>
      <c r="I77" s="65">
        <v>2.870671E-2</v>
      </c>
      <c r="J77" s="65">
        <v>1.129023E-2</v>
      </c>
      <c r="K77" s="65">
        <v>3.6762000000000001E-3</v>
      </c>
      <c r="L77" s="65">
        <v>2.7746400000000001E-3</v>
      </c>
      <c r="M77" s="65">
        <v>2.3012999999999999E-4</v>
      </c>
      <c r="N77" s="66">
        <v>3.3361000000000003E-4</v>
      </c>
      <c r="O77" s="48"/>
      <c r="P77" s="63">
        <f t="shared" si="5"/>
        <v>300000000</v>
      </c>
      <c r="Q77" s="64">
        <v>400000000</v>
      </c>
      <c r="R77" s="65">
        <v>8.6610939999999997E-2</v>
      </c>
      <c r="S77" s="65">
        <v>0.52315144999999996</v>
      </c>
      <c r="T77" s="65">
        <v>0.18448454</v>
      </c>
      <c r="U77" s="65">
        <v>0.10862622</v>
      </c>
      <c r="V77" s="65">
        <v>5.068781E-2</v>
      </c>
      <c r="W77" s="65">
        <v>2.8300720000000001E-2</v>
      </c>
      <c r="X77" s="65">
        <v>1.111592E-2</v>
      </c>
      <c r="Y77" s="65">
        <v>4.0705400000000001E-3</v>
      </c>
      <c r="Z77" s="65">
        <v>2.2524300000000001E-3</v>
      </c>
      <c r="AA77" s="65">
        <v>2.8108000000000001E-4</v>
      </c>
      <c r="AB77" s="66">
        <v>4.1836E-4</v>
      </c>
    </row>
    <row r="78" spans="2:28" x14ac:dyDescent="0.2">
      <c r="B78" s="63">
        <f t="shared" si="4"/>
        <v>400000000</v>
      </c>
      <c r="C78" s="64">
        <v>500000000</v>
      </c>
      <c r="D78" s="65">
        <v>6.8360560000000001E-2</v>
      </c>
      <c r="E78" s="65">
        <v>0.52866097999999995</v>
      </c>
      <c r="F78" s="65">
        <v>0.18883105</v>
      </c>
      <c r="G78" s="65">
        <v>0.11388956</v>
      </c>
      <c r="H78" s="65">
        <v>4.942796E-2</v>
      </c>
      <c r="I78" s="65">
        <v>3.1742590000000001E-2</v>
      </c>
      <c r="J78" s="65">
        <v>1.233651E-2</v>
      </c>
      <c r="K78" s="65">
        <v>3.5994999999999998E-3</v>
      </c>
      <c r="L78" s="65">
        <v>2.5215099999999998E-3</v>
      </c>
      <c r="M78" s="65">
        <v>1.8535000000000001E-4</v>
      </c>
      <c r="N78" s="66">
        <v>4.4443E-4</v>
      </c>
      <c r="O78" s="48"/>
      <c r="P78" s="63">
        <f t="shared" si="5"/>
        <v>400000000</v>
      </c>
      <c r="Q78" s="64">
        <v>500000000</v>
      </c>
      <c r="R78" s="65">
        <v>7.5588169999999996E-2</v>
      </c>
      <c r="S78" s="65">
        <v>0.51938315000000002</v>
      </c>
      <c r="T78" s="65">
        <v>0.18965894</v>
      </c>
      <c r="U78" s="65">
        <v>0.11517602</v>
      </c>
      <c r="V78" s="65">
        <v>4.8494719999999998E-2</v>
      </c>
      <c r="W78" s="65">
        <v>3.1831730000000003E-2</v>
      </c>
      <c r="X78" s="65">
        <v>1.267283E-2</v>
      </c>
      <c r="Y78" s="65">
        <v>4.1814499999999998E-3</v>
      </c>
      <c r="Z78" s="65">
        <v>2.2657699999999999E-3</v>
      </c>
      <c r="AA78" s="65">
        <v>2.2044E-4</v>
      </c>
      <c r="AB78" s="66">
        <v>5.2676999999999997E-4</v>
      </c>
    </row>
    <row r="79" spans="2:28" x14ac:dyDescent="0.2">
      <c r="B79" s="63">
        <f t="shared" si="4"/>
        <v>500000000</v>
      </c>
      <c r="C79" s="64">
        <v>600000000</v>
      </c>
      <c r="D79" s="65">
        <v>9.5767580000000005E-2</v>
      </c>
      <c r="E79" s="65">
        <v>0.50530841000000004</v>
      </c>
      <c r="F79" s="65">
        <v>0.18371846</v>
      </c>
      <c r="G79" s="65">
        <v>0.11613208999999999</v>
      </c>
      <c r="H79" s="65">
        <v>4.5863309999999997E-2</v>
      </c>
      <c r="I79" s="65">
        <v>3.4501980000000002E-2</v>
      </c>
      <c r="J79" s="65">
        <v>1.2459659999999999E-2</v>
      </c>
      <c r="K79" s="65">
        <v>3.6162099999999999E-3</v>
      </c>
      <c r="L79" s="65">
        <v>2.13445E-3</v>
      </c>
      <c r="M79" s="65">
        <v>1.4013E-4</v>
      </c>
      <c r="N79" s="66">
        <v>3.5773000000000001E-4</v>
      </c>
      <c r="O79" s="48"/>
      <c r="P79" s="63">
        <f t="shared" si="5"/>
        <v>500000000</v>
      </c>
      <c r="Q79" s="64">
        <v>600000000</v>
      </c>
      <c r="R79" s="65">
        <v>0.10138518000000001</v>
      </c>
      <c r="S79" s="65">
        <v>0.49841046999999999</v>
      </c>
      <c r="T79" s="65">
        <v>0.18343324</v>
      </c>
      <c r="U79" s="65">
        <v>0.11804974999999999</v>
      </c>
      <c r="V79" s="65">
        <v>4.4474859999999998E-2</v>
      </c>
      <c r="W79" s="65">
        <v>3.4579209999999999E-2</v>
      </c>
      <c r="X79" s="65">
        <v>1.318648E-2</v>
      </c>
      <c r="Y79" s="65">
        <v>3.9863600000000004E-3</v>
      </c>
      <c r="Z79" s="65">
        <v>1.9189599999999999E-3</v>
      </c>
      <c r="AA79" s="65">
        <v>1.5953000000000001E-4</v>
      </c>
      <c r="AB79" s="66">
        <v>4.1596E-4</v>
      </c>
    </row>
    <row r="80" spans="2:28" x14ac:dyDescent="0.2">
      <c r="B80" s="63">
        <f t="shared" si="4"/>
        <v>600000000</v>
      </c>
      <c r="C80" s="64">
        <v>750000000</v>
      </c>
      <c r="D80" s="65">
        <v>0.10408315</v>
      </c>
      <c r="E80" s="65">
        <v>0.48939861000000001</v>
      </c>
      <c r="F80" s="65">
        <v>0.18918504999999999</v>
      </c>
      <c r="G80" s="65">
        <v>0.11611804000000001</v>
      </c>
      <c r="H80" s="65">
        <v>4.3756209999999997E-2</v>
      </c>
      <c r="I80" s="65">
        <v>3.6435780000000001E-2</v>
      </c>
      <c r="J80" s="65">
        <v>1.335505E-2</v>
      </c>
      <c r="K80" s="65">
        <v>4.4269399999999999E-3</v>
      </c>
      <c r="L80" s="65">
        <v>2.59064E-3</v>
      </c>
      <c r="M80" s="65">
        <v>2.1235000000000001E-4</v>
      </c>
      <c r="N80" s="66">
        <v>4.3821000000000002E-4</v>
      </c>
      <c r="O80" s="48"/>
      <c r="P80" s="63">
        <f t="shared" si="5"/>
        <v>600000000</v>
      </c>
      <c r="Q80" s="64">
        <v>750000000</v>
      </c>
      <c r="R80" s="65">
        <v>0.10713749</v>
      </c>
      <c r="S80" s="65">
        <v>0.48259241000000003</v>
      </c>
      <c r="T80" s="65">
        <v>0.18966837</v>
      </c>
      <c r="U80" s="65">
        <v>0.12089013</v>
      </c>
      <c r="V80" s="65">
        <v>4.0119179999999997E-2</v>
      </c>
      <c r="W80" s="65">
        <v>3.8057569999999999E-2</v>
      </c>
      <c r="X80" s="65">
        <v>1.335457E-2</v>
      </c>
      <c r="Y80" s="65">
        <v>5.1214900000000002E-3</v>
      </c>
      <c r="Z80" s="65">
        <v>2.2908199999999998E-3</v>
      </c>
      <c r="AA80" s="65">
        <v>2.8812999999999999E-4</v>
      </c>
      <c r="AB80" s="66">
        <v>4.7984999999999998E-4</v>
      </c>
    </row>
    <row r="81" spans="2:28" x14ac:dyDescent="0.2">
      <c r="B81" s="63">
        <f t="shared" si="4"/>
        <v>750000000</v>
      </c>
      <c r="C81" s="64">
        <v>1000000000</v>
      </c>
      <c r="D81" s="65">
        <v>7.0083019999999996E-2</v>
      </c>
      <c r="E81" s="65">
        <v>0.47657409000000001</v>
      </c>
      <c r="F81" s="65">
        <v>0.20800120999999999</v>
      </c>
      <c r="G81" s="65">
        <v>0.13202668000000001</v>
      </c>
      <c r="H81" s="65">
        <v>4.1054569999999999E-2</v>
      </c>
      <c r="I81" s="65">
        <v>4.6732549999999998E-2</v>
      </c>
      <c r="J81" s="65">
        <v>1.64972E-2</v>
      </c>
      <c r="K81" s="65">
        <v>5.48651E-3</v>
      </c>
      <c r="L81" s="65">
        <v>2.7287399999999999E-3</v>
      </c>
      <c r="M81" s="65">
        <v>1.6679999999999999E-4</v>
      </c>
      <c r="N81" s="66">
        <v>6.4862000000000003E-4</v>
      </c>
      <c r="O81" s="48"/>
      <c r="P81" s="63">
        <f t="shared" si="5"/>
        <v>750000000</v>
      </c>
      <c r="Q81" s="64">
        <v>1000000000</v>
      </c>
      <c r="R81" s="65">
        <v>7.634531E-2</v>
      </c>
      <c r="S81" s="65">
        <v>0.46661891999999999</v>
      </c>
      <c r="T81" s="65">
        <v>0.20735997</v>
      </c>
      <c r="U81" s="65">
        <v>0.13865883000000001</v>
      </c>
      <c r="V81" s="65">
        <v>3.591925E-2</v>
      </c>
      <c r="W81" s="65">
        <v>4.8613370000000003E-2</v>
      </c>
      <c r="X81" s="65">
        <v>1.6963880000000001E-2</v>
      </c>
      <c r="Y81" s="65">
        <v>6.1781400000000004E-3</v>
      </c>
      <c r="Z81" s="65">
        <v>2.41852E-3</v>
      </c>
      <c r="AA81" s="65">
        <v>2.5043E-4</v>
      </c>
      <c r="AB81" s="66">
        <v>6.7338999999999995E-4</v>
      </c>
    </row>
    <row r="82" spans="2:28" x14ac:dyDescent="0.2">
      <c r="B82" s="67">
        <f t="shared" si="4"/>
        <v>1000000000</v>
      </c>
      <c r="C82" s="68">
        <v>10000000000</v>
      </c>
      <c r="D82" s="69">
        <v>4.0149610000000002E-2</v>
      </c>
      <c r="E82" s="69">
        <v>0.32598540999999998</v>
      </c>
      <c r="F82" s="69">
        <v>0.28140389999999998</v>
      </c>
      <c r="G82" s="69">
        <v>0.1976694</v>
      </c>
      <c r="H82" s="69">
        <v>7.7821499999999998E-3</v>
      </c>
      <c r="I82" s="69">
        <v>9.9839540000000004E-2</v>
      </c>
      <c r="J82" s="69">
        <v>3.181937E-2</v>
      </c>
      <c r="K82" s="69">
        <v>1.125001E-2</v>
      </c>
      <c r="L82" s="69">
        <v>2.3067299999999999E-3</v>
      </c>
      <c r="M82" s="69">
        <v>7.1639999999999998E-5</v>
      </c>
      <c r="N82" s="70">
        <v>1.7222299999999999E-3</v>
      </c>
      <c r="O82" s="48"/>
      <c r="P82" s="67">
        <f t="shared" si="5"/>
        <v>1000000000</v>
      </c>
      <c r="Q82" s="68">
        <v>10000000000</v>
      </c>
      <c r="R82" s="69">
        <v>4.4167129999999999E-2</v>
      </c>
      <c r="S82" s="69">
        <v>0.30025001000000001</v>
      </c>
      <c r="T82" s="69">
        <v>0.28176674000000002</v>
      </c>
      <c r="U82" s="69">
        <v>0.22122538</v>
      </c>
      <c r="V82" s="69">
        <v>-9.9239500000000008E-3</v>
      </c>
      <c r="W82" s="69">
        <v>0.11166526</v>
      </c>
      <c r="X82" s="69">
        <v>3.2919959999999998E-2</v>
      </c>
      <c r="Y82" s="69">
        <v>1.325375E-2</v>
      </c>
      <c r="Z82" s="69">
        <v>2.8707400000000001E-3</v>
      </c>
      <c r="AA82" s="69">
        <v>2.6657999999999999E-4</v>
      </c>
      <c r="AB82" s="70">
        <v>1.53842E-3</v>
      </c>
    </row>
    <row r="83" spans="2:28" x14ac:dyDescent="0.2">
      <c r="B83" s="57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48"/>
    </row>
    <row r="84" spans="2:28" x14ac:dyDescent="0.2">
      <c r="B84" s="57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48"/>
    </row>
    <row r="85" spans="2:28" x14ac:dyDescent="0.2">
      <c r="B85" s="57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48"/>
    </row>
    <row r="86" spans="2:28" x14ac:dyDescent="0.2">
      <c r="B86" s="57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48"/>
    </row>
    <row r="87" spans="2:28" x14ac:dyDescent="0.2">
      <c r="B87" s="57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48"/>
    </row>
    <row r="88" spans="2:28" x14ac:dyDescent="0.2">
      <c r="B88" s="57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48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593</vt:i4>
      </vt:variant>
    </vt:vector>
  </HeadingPairs>
  <TitlesOfParts>
    <vt:vector size="621" baseType="lpstr">
      <vt:lpstr>ControlSheet</vt:lpstr>
      <vt:lpstr>Import</vt:lpstr>
      <vt:lpstr>CleaningSheet</vt:lpstr>
      <vt:lpstr>CleanParam</vt:lpstr>
      <vt:lpstr>RatingFactorTables</vt:lpstr>
      <vt:lpstr>output_viki</vt:lpstr>
      <vt:lpstr>output_ss</vt:lpstr>
      <vt:lpstr>Check</vt:lpstr>
      <vt:lpstr>BuildingSummary</vt:lpstr>
      <vt:lpstr>Exhibits</vt:lpstr>
      <vt:lpstr>AccountLevelSummary</vt:lpstr>
      <vt:lpstr>Catastrophe</vt:lpstr>
      <vt:lpstr>AOPStart</vt:lpstr>
      <vt:lpstr>AOPBuilding1</vt:lpstr>
      <vt:lpstr>AOPBuilding2</vt:lpstr>
      <vt:lpstr>AOPBuilding3</vt:lpstr>
      <vt:lpstr>AOPBuilding4</vt:lpstr>
      <vt:lpstr>AOPBuilding5</vt:lpstr>
      <vt:lpstr>AOPBuilding6</vt:lpstr>
      <vt:lpstr>AOPBuilding7</vt:lpstr>
      <vt:lpstr>AOPBuilding8</vt:lpstr>
      <vt:lpstr>AOPBuilding9</vt:lpstr>
      <vt:lpstr>AOPBuilding10</vt:lpstr>
      <vt:lpstr>AOPBuilding11</vt:lpstr>
      <vt:lpstr>AOPEnd</vt:lpstr>
      <vt:lpstr>AOPBuildingTemplate</vt:lpstr>
      <vt:lpstr>XLCExposureCurves</vt:lpstr>
      <vt:lpstr>PSOLDParams</vt:lpstr>
      <vt:lpstr>AccountBuildingCount</vt:lpstr>
      <vt:lpstr>AOPBuilding1!AddPropLossCosts</vt:lpstr>
      <vt:lpstr>AOPBuilding10!AddPropLossCosts</vt:lpstr>
      <vt:lpstr>AOPBuilding11!AddPropLossCosts</vt:lpstr>
      <vt:lpstr>AOPBuilding2!AddPropLossCosts</vt:lpstr>
      <vt:lpstr>AOPBuilding3!AddPropLossCosts</vt:lpstr>
      <vt:lpstr>AOPBuilding4!AddPropLossCosts</vt:lpstr>
      <vt:lpstr>AOPBuilding5!AddPropLossCosts</vt:lpstr>
      <vt:lpstr>AOPBuilding6!AddPropLossCosts</vt:lpstr>
      <vt:lpstr>AOPBuilding7!AddPropLossCosts</vt:lpstr>
      <vt:lpstr>AOPBuilding8!AddPropLossCosts</vt:lpstr>
      <vt:lpstr>AOPBuilding9!AddPropLossCosts</vt:lpstr>
      <vt:lpstr>AOPBuildingTemplate!AddPropLossCosts</vt:lpstr>
      <vt:lpstr>AOPBuilding1!AddPropTIV</vt:lpstr>
      <vt:lpstr>AOPBuilding10!AddPropTIV</vt:lpstr>
      <vt:lpstr>AOPBuilding11!AddPropTIV</vt:lpstr>
      <vt:lpstr>AOPBuilding2!AddPropTIV</vt:lpstr>
      <vt:lpstr>AOPBuilding3!AddPropTIV</vt:lpstr>
      <vt:lpstr>AOPBuilding4!AddPropTIV</vt:lpstr>
      <vt:lpstr>AOPBuilding5!AddPropTIV</vt:lpstr>
      <vt:lpstr>AOPBuilding6!AddPropTIV</vt:lpstr>
      <vt:lpstr>AOPBuilding7!AddPropTIV</vt:lpstr>
      <vt:lpstr>AOPBuilding8!AddPropTIV</vt:lpstr>
      <vt:lpstr>AOPBuilding9!AddPropTIV</vt:lpstr>
      <vt:lpstr>AOPBuildingTemplate!AddPropTIV</vt:lpstr>
      <vt:lpstr>AOPSheetDefaultValues</vt:lpstr>
      <vt:lpstr>AOPBuilding1!BuildingLossCost</vt:lpstr>
      <vt:lpstr>AOPBuilding10!BuildingLossCost</vt:lpstr>
      <vt:lpstr>AOPBuilding11!BuildingLossCost</vt:lpstr>
      <vt:lpstr>AOPBuilding2!BuildingLossCost</vt:lpstr>
      <vt:lpstr>AOPBuilding3!BuildingLossCost</vt:lpstr>
      <vt:lpstr>AOPBuilding4!BuildingLossCost</vt:lpstr>
      <vt:lpstr>AOPBuilding5!BuildingLossCost</vt:lpstr>
      <vt:lpstr>AOPBuilding6!BuildingLossCost</vt:lpstr>
      <vt:lpstr>AOPBuilding7!BuildingLossCost</vt:lpstr>
      <vt:lpstr>AOPBuilding8!BuildingLossCost</vt:lpstr>
      <vt:lpstr>AOPBuilding9!BuildingLossCost</vt:lpstr>
      <vt:lpstr>AOPBuildingTemplate!BuildingLossCost</vt:lpstr>
      <vt:lpstr>AOPBuilding1!BuildingNumber</vt:lpstr>
      <vt:lpstr>AOPBuilding10!BuildingNumber</vt:lpstr>
      <vt:lpstr>AOPBuilding11!BuildingNumber</vt:lpstr>
      <vt:lpstr>AOPBuilding2!BuildingNumber</vt:lpstr>
      <vt:lpstr>AOPBuilding3!BuildingNumber</vt:lpstr>
      <vt:lpstr>AOPBuilding4!BuildingNumber</vt:lpstr>
      <vt:lpstr>AOPBuilding5!BuildingNumber</vt:lpstr>
      <vt:lpstr>AOPBuilding6!BuildingNumber</vt:lpstr>
      <vt:lpstr>AOPBuilding7!BuildingNumber</vt:lpstr>
      <vt:lpstr>AOPBuilding8!BuildingNumber</vt:lpstr>
      <vt:lpstr>AOPBuilding9!BuildingNumber</vt:lpstr>
      <vt:lpstr>AOPBuildingTemplate!BuildingNumber</vt:lpstr>
      <vt:lpstr>AOPBuilding1!BuildingRate</vt:lpstr>
      <vt:lpstr>AOPBuilding10!BuildingRate</vt:lpstr>
      <vt:lpstr>AOPBuilding11!BuildingRate</vt:lpstr>
      <vt:lpstr>AOPBuilding2!BuildingRate</vt:lpstr>
      <vt:lpstr>AOPBuilding3!BuildingRate</vt:lpstr>
      <vt:lpstr>AOPBuilding4!BuildingRate</vt:lpstr>
      <vt:lpstr>AOPBuilding5!BuildingRate</vt:lpstr>
      <vt:lpstr>AOPBuilding6!BuildingRate</vt:lpstr>
      <vt:lpstr>AOPBuilding7!BuildingRate</vt:lpstr>
      <vt:lpstr>AOPBuilding8!BuildingRate</vt:lpstr>
      <vt:lpstr>AOPBuilding9!BuildingRate</vt:lpstr>
      <vt:lpstr>AOPBuildingTemplate!BuildingRate</vt:lpstr>
      <vt:lpstr>AOPBuilding1!ContentsBILossCost</vt:lpstr>
      <vt:lpstr>AOPBuilding10!ContentsBILossCost</vt:lpstr>
      <vt:lpstr>AOPBuilding11!ContentsBILossCost</vt:lpstr>
      <vt:lpstr>AOPBuilding2!ContentsBILossCost</vt:lpstr>
      <vt:lpstr>AOPBuilding3!ContentsBILossCost</vt:lpstr>
      <vt:lpstr>AOPBuilding4!ContentsBILossCost</vt:lpstr>
      <vt:lpstr>AOPBuilding5!ContentsBILossCost</vt:lpstr>
      <vt:lpstr>AOPBuilding6!ContentsBILossCost</vt:lpstr>
      <vt:lpstr>AOPBuilding7!ContentsBILossCost</vt:lpstr>
      <vt:lpstr>AOPBuilding8!ContentsBILossCost</vt:lpstr>
      <vt:lpstr>AOPBuilding9!ContentsBILossCost</vt:lpstr>
      <vt:lpstr>AOPBuildingTemplate!ContentsBILossCost</vt:lpstr>
      <vt:lpstr>Import_data</vt:lpstr>
      <vt:lpstr>AOPBuilding1!Input.AOPDeductible</vt:lpstr>
      <vt:lpstr>AOPBuilding10!Input.AOPDeductible</vt:lpstr>
      <vt:lpstr>AOPBuilding11!Input.AOPDeductible</vt:lpstr>
      <vt:lpstr>AOPBuilding2!Input.AOPDeductible</vt:lpstr>
      <vt:lpstr>AOPBuilding3!Input.AOPDeductible</vt:lpstr>
      <vt:lpstr>AOPBuilding4!Input.AOPDeductible</vt:lpstr>
      <vt:lpstr>AOPBuilding5!Input.AOPDeductible</vt:lpstr>
      <vt:lpstr>AOPBuilding6!Input.AOPDeductible</vt:lpstr>
      <vt:lpstr>AOPBuilding7!Input.AOPDeductible</vt:lpstr>
      <vt:lpstr>AOPBuilding8!Input.AOPDeductible</vt:lpstr>
      <vt:lpstr>AOPBuilding9!Input.AOPDeductible</vt:lpstr>
      <vt:lpstr>AOPBuildingTemplate!Input.AOPDeductible</vt:lpstr>
      <vt:lpstr>AOPBuilding1!Input.AppraisalValue</vt:lpstr>
      <vt:lpstr>AOPBuilding10!Input.AppraisalValue</vt:lpstr>
      <vt:lpstr>AOPBuilding11!Input.AppraisalValue</vt:lpstr>
      <vt:lpstr>AOPBuilding2!Input.AppraisalValue</vt:lpstr>
      <vt:lpstr>AOPBuilding3!Input.AppraisalValue</vt:lpstr>
      <vt:lpstr>AOPBuilding4!Input.AppraisalValue</vt:lpstr>
      <vt:lpstr>AOPBuilding5!Input.AppraisalValue</vt:lpstr>
      <vt:lpstr>AOPBuilding6!Input.AppraisalValue</vt:lpstr>
      <vt:lpstr>AOPBuilding7!Input.AppraisalValue</vt:lpstr>
      <vt:lpstr>AOPBuilding8!Input.AppraisalValue</vt:lpstr>
      <vt:lpstr>AOPBuilding9!Input.AppraisalValue</vt:lpstr>
      <vt:lpstr>AOPBuildingTemplate!Input.AppraisalValue</vt:lpstr>
      <vt:lpstr>AOPBuilding1!Input.BILimit</vt:lpstr>
      <vt:lpstr>AOPBuilding10!Input.BILimit</vt:lpstr>
      <vt:lpstr>AOPBuilding11!Input.BILimit</vt:lpstr>
      <vt:lpstr>AOPBuilding2!Input.BILimit</vt:lpstr>
      <vt:lpstr>AOPBuilding3!Input.BILimit</vt:lpstr>
      <vt:lpstr>AOPBuilding4!Input.BILimit</vt:lpstr>
      <vt:lpstr>AOPBuilding5!Input.BILimit</vt:lpstr>
      <vt:lpstr>AOPBuilding6!Input.BILimit</vt:lpstr>
      <vt:lpstr>AOPBuilding7!Input.BILimit</vt:lpstr>
      <vt:lpstr>AOPBuilding8!Input.BILimit</vt:lpstr>
      <vt:lpstr>AOPBuilding9!Input.BILimit</vt:lpstr>
      <vt:lpstr>AOPBuildingTemplate!Input.BILimit</vt:lpstr>
      <vt:lpstr>AOPBuilding1!Input.BldgAddress</vt:lpstr>
      <vt:lpstr>AOPBuilding10!Input.BldgAddress</vt:lpstr>
      <vt:lpstr>AOPBuilding11!Input.BldgAddress</vt:lpstr>
      <vt:lpstr>AOPBuilding2!Input.BldgAddress</vt:lpstr>
      <vt:lpstr>AOPBuilding3!Input.BldgAddress</vt:lpstr>
      <vt:lpstr>AOPBuilding4!Input.BldgAddress</vt:lpstr>
      <vt:lpstr>AOPBuilding5!Input.BldgAddress</vt:lpstr>
      <vt:lpstr>AOPBuilding6!Input.BldgAddress</vt:lpstr>
      <vt:lpstr>AOPBuilding7!Input.BldgAddress</vt:lpstr>
      <vt:lpstr>AOPBuilding8!Input.BldgAddress</vt:lpstr>
      <vt:lpstr>AOPBuilding9!Input.BldgAddress</vt:lpstr>
      <vt:lpstr>AOPBuildingTemplate!Input.BldgAddress</vt:lpstr>
      <vt:lpstr>AOPBuilding1!Input.BldgCity</vt:lpstr>
      <vt:lpstr>AOPBuilding10!Input.BldgCity</vt:lpstr>
      <vt:lpstr>AOPBuilding11!Input.BldgCity</vt:lpstr>
      <vt:lpstr>AOPBuilding2!Input.BldgCity</vt:lpstr>
      <vt:lpstr>AOPBuilding3!Input.BldgCity</vt:lpstr>
      <vt:lpstr>AOPBuilding4!Input.BldgCity</vt:lpstr>
      <vt:lpstr>AOPBuilding5!Input.BldgCity</vt:lpstr>
      <vt:lpstr>AOPBuilding6!Input.BldgCity</vt:lpstr>
      <vt:lpstr>AOPBuilding7!Input.BldgCity</vt:lpstr>
      <vt:lpstr>AOPBuilding8!Input.BldgCity</vt:lpstr>
      <vt:lpstr>AOPBuilding9!Input.BldgCity</vt:lpstr>
      <vt:lpstr>AOPBuildingTemplate!Input.BldgCity</vt:lpstr>
      <vt:lpstr>AOPBuilding1!Input.BldgDescription</vt:lpstr>
      <vt:lpstr>AOPBuilding10!Input.BldgDescription</vt:lpstr>
      <vt:lpstr>AOPBuilding11!Input.BldgDescription</vt:lpstr>
      <vt:lpstr>AOPBuilding2!Input.BldgDescription</vt:lpstr>
      <vt:lpstr>AOPBuilding3!Input.BldgDescription</vt:lpstr>
      <vt:lpstr>AOPBuilding4!Input.BldgDescription</vt:lpstr>
      <vt:lpstr>AOPBuilding5!Input.BldgDescription</vt:lpstr>
      <vt:lpstr>AOPBuilding6!Input.BldgDescription</vt:lpstr>
      <vt:lpstr>AOPBuilding7!Input.BldgDescription</vt:lpstr>
      <vt:lpstr>AOPBuilding8!Input.BldgDescription</vt:lpstr>
      <vt:lpstr>AOPBuilding9!Input.BldgDescription</vt:lpstr>
      <vt:lpstr>AOPBuildingTemplate!Input.BldgDescription</vt:lpstr>
      <vt:lpstr>AOPBuilding1!Input.BldgRegion</vt:lpstr>
      <vt:lpstr>AOPBuilding10!Input.BldgRegion</vt:lpstr>
      <vt:lpstr>AOPBuilding11!Input.BldgRegion</vt:lpstr>
      <vt:lpstr>AOPBuilding2!Input.BldgRegion</vt:lpstr>
      <vt:lpstr>AOPBuilding3!Input.BldgRegion</vt:lpstr>
      <vt:lpstr>AOPBuilding4!Input.BldgRegion</vt:lpstr>
      <vt:lpstr>AOPBuilding5!Input.BldgRegion</vt:lpstr>
      <vt:lpstr>AOPBuilding6!Input.BldgRegion</vt:lpstr>
      <vt:lpstr>AOPBuilding7!Input.BldgRegion</vt:lpstr>
      <vt:lpstr>AOPBuilding8!Input.BldgRegion</vt:lpstr>
      <vt:lpstr>AOPBuilding9!Input.BldgRegion</vt:lpstr>
      <vt:lpstr>AOPBuildingTemplate!Input.BldgRegion</vt:lpstr>
      <vt:lpstr>AOPBuilding1!Input.BldgState</vt:lpstr>
      <vt:lpstr>AOPBuilding10!Input.BldgState</vt:lpstr>
      <vt:lpstr>AOPBuilding11!Input.BldgState</vt:lpstr>
      <vt:lpstr>AOPBuilding2!Input.BldgState</vt:lpstr>
      <vt:lpstr>AOPBuilding3!Input.BldgState</vt:lpstr>
      <vt:lpstr>AOPBuilding4!Input.BldgState</vt:lpstr>
      <vt:lpstr>AOPBuilding5!Input.BldgState</vt:lpstr>
      <vt:lpstr>AOPBuilding6!Input.BldgState</vt:lpstr>
      <vt:lpstr>AOPBuilding7!Input.BldgState</vt:lpstr>
      <vt:lpstr>AOPBuilding8!Input.BldgState</vt:lpstr>
      <vt:lpstr>AOPBuilding9!Input.BldgState</vt:lpstr>
      <vt:lpstr>AOPBuildingTemplate!Input.BldgState</vt:lpstr>
      <vt:lpstr>AOPBuilding1!Input.BldgZipCode</vt:lpstr>
      <vt:lpstr>AOPBuilding10!Input.BldgZipCode</vt:lpstr>
      <vt:lpstr>AOPBuilding11!Input.BldgZipCode</vt:lpstr>
      <vt:lpstr>AOPBuilding2!Input.BldgZipCode</vt:lpstr>
      <vt:lpstr>AOPBuilding3!Input.BldgZipCode</vt:lpstr>
      <vt:lpstr>AOPBuilding4!Input.BldgZipCode</vt:lpstr>
      <vt:lpstr>AOPBuilding5!Input.BldgZipCode</vt:lpstr>
      <vt:lpstr>AOPBuilding6!Input.BldgZipCode</vt:lpstr>
      <vt:lpstr>AOPBuilding7!Input.BldgZipCode</vt:lpstr>
      <vt:lpstr>AOPBuilding8!Input.BldgZipCode</vt:lpstr>
      <vt:lpstr>AOPBuilding9!Input.BldgZipCode</vt:lpstr>
      <vt:lpstr>AOPBuildingTemplate!Input.BldgZipCode</vt:lpstr>
      <vt:lpstr>AOPBuilding1!Input.BuildingTIV</vt:lpstr>
      <vt:lpstr>AOPBuilding10!Input.BuildingTIV</vt:lpstr>
      <vt:lpstr>AOPBuilding11!Input.BuildingTIV</vt:lpstr>
      <vt:lpstr>AOPBuilding2!Input.BuildingTIV</vt:lpstr>
      <vt:lpstr>AOPBuilding3!Input.BuildingTIV</vt:lpstr>
      <vt:lpstr>AOPBuilding4!Input.BuildingTIV</vt:lpstr>
      <vt:lpstr>AOPBuilding5!Input.BuildingTIV</vt:lpstr>
      <vt:lpstr>AOPBuilding6!Input.BuildingTIV</vt:lpstr>
      <vt:lpstr>AOPBuilding7!Input.BuildingTIV</vt:lpstr>
      <vt:lpstr>AOPBuilding8!Input.BuildingTIV</vt:lpstr>
      <vt:lpstr>AOPBuilding9!Input.BuildingTIV</vt:lpstr>
      <vt:lpstr>AOPBuildingTemplate!Input.BuildingTIV</vt:lpstr>
      <vt:lpstr>AOPBuilding1!Input.ConstructionType</vt:lpstr>
      <vt:lpstr>AOPBuilding10!Input.ConstructionType</vt:lpstr>
      <vt:lpstr>AOPBuilding11!Input.ConstructionType</vt:lpstr>
      <vt:lpstr>AOPBuilding2!Input.ConstructionType</vt:lpstr>
      <vt:lpstr>AOPBuilding3!Input.ConstructionType</vt:lpstr>
      <vt:lpstr>AOPBuilding4!Input.ConstructionType</vt:lpstr>
      <vt:lpstr>AOPBuilding5!Input.ConstructionType</vt:lpstr>
      <vt:lpstr>AOPBuilding6!Input.ConstructionType</vt:lpstr>
      <vt:lpstr>AOPBuilding7!Input.ConstructionType</vt:lpstr>
      <vt:lpstr>AOPBuilding8!Input.ConstructionType</vt:lpstr>
      <vt:lpstr>AOPBuilding9!Input.ConstructionType</vt:lpstr>
      <vt:lpstr>AOPBuildingTemplate!Input.ConstructionType</vt:lpstr>
      <vt:lpstr>AOPBuilding1!Input.ContentsValue</vt:lpstr>
      <vt:lpstr>AOPBuilding10!Input.ContentsValue</vt:lpstr>
      <vt:lpstr>AOPBuilding11!Input.ContentsValue</vt:lpstr>
      <vt:lpstr>AOPBuilding2!Input.ContentsValue</vt:lpstr>
      <vt:lpstr>AOPBuilding3!Input.ContentsValue</vt:lpstr>
      <vt:lpstr>AOPBuilding4!Input.ContentsValue</vt:lpstr>
      <vt:lpstr>AOPBuilding5!Input.ContentsValue</vt:lpstr>
      <vt:lpstr>AOPBuilding6!Input.ContentsValue</vt:lpstr>
      <vt:lpstr>AOPBuilding7!Input.ContentsValue</vt:lpstr>
      <vt:lpstr>AOPBuilding8!Input.ContentsValue</vt:lpstr>
      <vt:lpstr>AOPBuilding9!Input.ContentsValue</vt:lpstr>
      <vt:lpstr>AOPBuildingTemplate!Input.ContentsValue</vt:lpstr>
      <vt:lpstr>AOPBuilding1!Input.ExtendedIndemnity</vt:lpstr>
      <vt:lpstr>AOPBuilding10!Input.ExtendedIndemnity</vt:lpstr>
      <vt:lpstr>AOPBuilding11!Input.ExtendedIndemnity</vt:lpstr>
      <vt:lpstr>AOPBuilding2!Input.ExtendedIndemnity</vt:lpstr>
      <vt:lpstr>AOPBuilding3!Input.ExtendedIndemnity</vt:lpstr>
      <vt:lpstr>AOPBuilding4!Input.ExtendedIndemnity</vt:lpstr>
      <vt:lpstr>AOPBuilding5!Input.ExtendedIndemnity</vt:lpstr>
      <vt:lpstr>AOPBuilding6!Input.ExtendedIndemnity</vt:lpstr>
      <vt:lpstr>AOPBuilding7!Input.ExtendedIndemnity</vt:lpstr>
      <vt:lpstr>AOPBuilding8!Input.ExtendedIndemnity</vt:lpstr>
      <vt:lpstr>AOPBuilding9!Input.ExtendedIndemnity</vt:lpstr>
      <vt:lpstr>AOPBuildingTemplate!Input.ExtendedIndemnity</vt:lpstr>
      <vt:lpstr>AOPBuilding1!Input.IncreasedRestoration</vt:lpstr>
      <vt:lpstr>AOPBuilding10!Input.IncreasedRestoration</vt:lpstr>
      <vt:lpstr>AOPBuilding11!Input.IncreasedRestoration</vt:lpstr>
      <vt:lpstr>AOPBuilding2!Input.IncreasedRestoration</vt:lpstr>
      <vt:lpstr>AOPBuilding3!Input.IncreasedRestoration</vt:lpstr>
      <vt:lpstr>AOPBuilding4!Input.IncreasedRestoration</vt:lpstr>
      <vt:lpstr>AOPBuilding5!Input.IncreasedRestoration</vt:lpstr>
      <vt:lpstr>AOPBuilding6!Input.IncreasedRestoration</vt:lpstr>
      <vt:lpstr>AOPBuilding7!Input.IncreasedRestoration</vt:lpstr>
      <vt:lpstr>AOPBuilding8!Input.IncreasedRestoration</vt:lpstr>
      <vt:lpstr>AOPBuilding9!Input.IncreasedRestoration</vt:lpstr>
      <vt:lpstr>AOPBuildingTemplate!Input.IncreasedRestoration</vt:lpstr>
      <vt:lpstr>AOPBuilding1!Input.LocationNumber</vt:lpstr>
      <vt:lpstr>AOPBuilding10!Input.LocationNumber</vt:lpstr>
      <vt:lpstr>AOPBuilding11!Input.LocationNumber</vt:lpstr>
      <vt:lpstr>AOPBuilding2!Input.LocationNumber</vt:lpstr>
      <vt:lpstr>AOPBuilding3!Input.LocationNumber</vt:lpstr>
      <vt:lpstr>AOPBuilding4!Input.LocationNumber</vt:lpstr>
      <vt:lpstr>AOPBuilding5!Input.LocationNumber</vt:lpstr>
      <vt:lpstr>AOPBuilding6!Input.LocationNumber</vt:lpstr>
      <vt:lpstr>AOPBuilding7!Input.LocationNumber</vt:lpstr>
      <vt:lpstr>AOPBuilding8!Input.LocationNumber</vt:lpstr>
      <vt:lpstr>AOPBuilding9!Input.LocationNumber</vt:lpstr>
      <vt:lpstr>AOPBuildingTemplate!Input.LocationNumber</vt:lpstr>
      <vt:lpstr>AOPBuilding1!Input.Metropolitan</vt:lpstr>
      <vt:lpstr>AOPBuilding10!Input.Metropolitan</vt:lpstr>
      <vt:lpstr>AOPBuilding11!Input.Metropolitan</vt:lpstr>
      <vt:lpstr>AOPBuilding2!Input.Metropolitan</vt:lpstr>
      <vt:lpstr>AOPBuilding3!Input.Metropolitan</vt:lpstr>
      <vt:lpstr>AOPBuilding4!Input.Metropolitan</vt:lpstr>
      <vt:lpstr>AOPBuilding5!Input.Metropolitan</vt:lpstr>
      <vt:lpstr>AOPBuilding6!Input.Metropolitan</vt:lpstr>
      <vt:lpstr>AOPBuilding7!Input.Metropolitan</vt:lpstr>
      <vt:lpstr>AOPBuilding8!Input.Metropolitan</vt:lpstr>
      <vt:lpstr>AOPBuilding9!Input.Metropolitan</vt:lpstr>
      <vt:lpstr>AOPBuildingTemplate!Input.Metropolitan</vt:lpstr>
      <vt:lpstr>AOPBuilding1!Input.NumberOfBldgs</vt:lpstr>
      <vt:lpstr>AOPBuilding10!Input.NumberOfBldgs</vt:lpstr>
      <vt:lpstr>AOPBuilding11!Input.NumberOfBldgs</vt:lpstr>
      <vt:lpstr>AOPBuilding2!Input.NumberOfBldgs</vt:lpstr>
      <vt:lpstr>AOPBuilding3!Input.NumberOfBldgs</vt:lpstr>
      <vt:lpstr>AOPBuilding4!Input.NumberOfBldgs</vt:lpstr>
      <vt:lpstr>AOPBuilding5!Input.NumberOfBldgs</vt:lpstr>
      <vt:lpstr>AOPBuilding6!Input.NumberOfBldgs</vt:lpstr>
      <vt:lpstr>AOPBuilding7!Input.NumberOfBldgs</vt:lpstr>
      <vt:lpstr>AOPBuilding8!Input.NumberOfBldgs</vt:lpstr>
      <vt:lpstr>AOPBuilding9!Input.NumberOfBldgs</vt:lpstr>
      <vt:lpstr>AOPBuildingTemplate!Input.NumberOfBldgs</vt:lpstr>
      <vt:lpstr>AOPBuilding1!Input.NumberOfStories</vt:lpstr>
      <vt:lpstr>AOPBuilding10!Input.NumberOfStories</vt:lpstr>
      <vt:lpstr>AOPBuilding11!Input.NumberOfStories</vt:lpstr>
      <vt:lpstr>AOPBuilding2!Input.NumberOfStories</vt:lpstr>
      <vt:lpstr>AOPBuilding3!Input.NumberOfStories</vt:lpstr>
      <vt:lpstr>AOPBuilding4!Input.NumberOfStories</vt:lpstr>
      <vt:lpstr>AOPBuilding5!Input.NumberOfStories</vt:lpstr>
      <vt:lpstr>AOPBuilding6!Input.NumberOfStories</vt:lpstr>
      <vt:lpstr>AOPBuilding7!Input.NumberOfStories</vt:lpstr>
      <vt:lpstr>AOPBuilding8!Input.NumberOfStories</vt:lpstr>
      <vt:lpstr>AOPBuilding9!Input.NumberOfStories</vt:lpstr>
      <vt:lpstr>AOPBuildingTemplate!Input.NumberOfStories</vt:lpstr>
      <vt:lpstr>AOPBuilding1!Input.Occupancy</vt:lpstr>
      <vt:lpstr>AOPBuilding10!Input.Occupancy</vt:lpstr>
      <vt:lpstr>AOPBuilding11!Input.Occupancy</vt:lpstr>
      <vt:lpstr>AOPBuilding2!Input.Occupancy</vt:lpstr>
      <vt:lpstr>AOPBuilding3!Input.Occupancy</vt:lpstr>
      <vt:lpstr>AOPBuilding4!Input.Occupancy</vt:lpstr>
      <vt:lpstr>AOPBuilding5!Input.Occupancy</vt:lpstr>
      <vt:lpstr>AOPBuilding6!Input.Occupancy</vt:lpstr>
      <vt:lpstr>AOPBuilding7!Input.Occupancy</vt:lpstr>
      <vt:lpstr>AOPBuilding8!Input.Occupancy</vt:lpstr>
      <vt:lpstr>AOPBuilding9!Input.Occupancy</vt:lpstr>
      <vt:lpstr>AOPBuildingTemplate!Input.Occupancy</vt:lpstr>
      <vt:lpstr>AOPBuilding1!Input.OrdLawALimit</vt:lpstr>
      <vt:lpstr>AOPBuilding10!Input.OrdLawALimit</vt:lpstr>
      <vt:lpstr>AOPBuilding11!Input.OrdLawALimit</vt:lpstr>
      <vt:lpstr>AOPBuilding2!Input.OrdLawALimit</vt:lpstr>
      <vt:lpstr>AOPBuilding3!Input.OrdLawALimit</vt:lpstr>
      <vt:lpstr>AOPBuilding4!Input.OrdLawALimit</vt:lpstr>
      <vt:lpstr>AOPBuilding5!Input.OrdLawALimit</vt:lpstr>
      <vt:lpstr>AOPBuilding6!Input.OrdLawALimit</vt:lpstr>
      <vt:lpstr>AOPBuilding7!Input.OrdLawALimit</vt:lpstr>
      <vt:lpstr>AOPBuilding8!Input.OrdLawALimit</vt:lpstr>
      <vt:lpstr>AOPBuilding9!Input.OrdLawALimit</vt:lpstr>
      <vt:lpstr>AOPBuildingTemplate!Input.OrdLawALimit</vt:lpstr>
      <vt:lpstr>AOPBuilding1!Input.OrdLawASelected</vt:lpstr>
      <vt:lpstr>AOPBuilding10!Input.OrdLawASelected</vt:lpstr>
      <vt:lpstr>AOPBuilding11!Input.OrdLawASelected</vt:lpstr>
      <vt:lpstr>AOPBuilding2!Input.OrdLawASelected</vt:lpstr>
      <vt:lpstr>AOPBuilding3!Input.OrdLawASelected</vt:lpstr>
      <vt:lpstr>AOPBuilding4!Input.OrdLawASelected</vt:lpstr>
      <vt:lpstr>AOPBuilding5!Input.OrdLawASelected</vt:lpstr>
      <vt:lpstr>AOPBuilding6!Input.OrdLawASelected</vt:lpstr>
      <vt:lpstr>AOPBuilding7!Input.OrdLawASelected</vt:lpstr>
      <vt:lpstr>AOPBuilding8!Input.OrdLawASelected</vt:lpstr>
      <vt:lpstr>AOPBuilding9!Input.OrdLawASelected</vt:lpstr>
      <vt:lpstr>AOPBuildingTemplate!Input.OrdLawASelected</vt:lpstr>
      <vt:lpstr>AOPBuilding1!Input.OrdLawBlanketABCLimit</vt:lpstr>
      <vt:lpstr>AOPBuilding10!Input.OrdLawBlanketABCLimit</vt:lpstr>
      <vt:lpstr>AOPBuilding11!Input.OrdLawBlanketABCLimit</vt:lpstr>
      <vt:lpstr>AOPBuilding2!Input.OrdLawBlanketABCLimit</vt:lpstr>
      <vt:lpstr>AOPBuilding3!Input.OrdLawBlanketABCLimit</vt:lpstr>
      <vt:lpstr>AOPBuilding4!Input.OrdLawBlanketABCLimit</vt:lpstr>
      <vt:lpstr>AOPBuilding5!Input.OrdLawBlanketABCLimit</vt:lpstr>
      <vt:lpstr>AOPBuilding6!Input.OrdLawBlanketABCLimit</vt:lpstr>
      <vt:lpstr>AOPBuilding7!Input.OrdLawBlanketABCLimit</vt:lpstr>
      <vt:lpstr>AOPBuilding8!Input.OrdLawBlanketABCLimit</vt:lpstr>
      <vt:lpstr>AOPBuilding9!Input.OrdLawBlanketABCLimit</vt:lpstr>
      <vt:lpstr>AOPBuildingTemplate!Input.OrdLawBlanketABCLimit</vt:lpstr>
      <vt:lpstr>AOPBuilding1!Input.OrdLawBlanketABCSelected</vt:lpstr>
      <vt:lpstr>AOPBuilding10!Input.OrdLawBlanketABCSelected</vt:lpstr>
      <vt:lpstr>AOPBuilding11!Input.OrdLawBlanketABCSelected</vt:lpstr>
      <vt:lpstr>AOPBuilding2!Input.OrdLawBlanketABCSelected</vt:lpstr>
      <vt:lpstr>AOPBuilding3!Input.OrdLawBlanketABCSelected</vt:lpstr>
      <vt:lpstr>AOPBuilding4!Input.OrdLawBlanketABCSelected</vt:lpstr>
      <vt:lpstr>AOPBuilding5!Input.OrdLawBlanketABCSelected</vt:lpstr>
      <vt:lpstr>AOPBuilding6!Input.OrdLawBlanketABCSelected</vt:lpstr>
      <vt:lpstr>AOPBuilding7!Input.OrdLawBlanketABCSelected</vt:lpstr>
      <vt:lpstr>AOPBuilding8!Input.OrdLawBlanketABCSelected</vt:lpstr>
      <vt:lpstr>AOPBuilding9!Input.OrdLawBlanketABCSelected</vt:lpstr>
      <vt:lpstr>AOPBuildingTemplate!Input.OrdLawBlanketABCSelected</vt:lpstr>
      <vt:lpstr>AOPBuilding1!Input.OrdLawBlanketBCLimit</vt:lpstr>
      <vt:lpstr>AOPBuilding10!Input.OrdLawBlanketBCLimit</vt:lpstr>
      <vt:lpstr>AOPBuilding11!Input.OrdLawBlanketBCLimit</vt:lpstr>
      <vt:lpstr>AOPBuilding2!Input.OrdLawBlanketBCLimit</vt:lpstr>
      <vt:lpstr>AOPBuilding3!Input.OrdLawBlanketBCLimit</vt:lpstr>
      <vt:lpstr>AOPBuilding4!Input.OrdLawBlanketBCLimit</vt:lpstr>
      <vt:lpstr>AOPBuilding5!Input.OrdLawBlanketBCLimit</vt:lpstr>
      <vt:lpstr>AOPBuilding6!Input.OrdLawBlanketBCLimit</vt:lpstr>
      <vt:lpstr>AOPBuilding7!Input.OrdLawBlanketBCLimit</vt:lpstr>
      <vt:lpstr>AOPBuilding8!Input.OrdLawBlanketBCLimit</vt:lpstr>
      <vt:lpstr>AOPBuilding9!Input.OrdLawBlanketBCLimit</vt:lpstr>
      <vt:lpstr>AOPBuildingTemplate!Input.OrdLawBlanketBCLimit</vt:lpstr>
      <vt:lpstr>AOPBuilding1!Input.OrdLawBlanketBCSelected</vt:lpstr>
      <vt:lpstr>AOPBuilding10!Input.OrdLawBlanketBCSelected</vt:lpstr>
      <vt:lpstr>AOPBuilding11!Input.OrdLawBlanketBCSelected</vt:lpstr>
      <vt:lpstr>AOPBuilding2!Input.OrdLawBlanketBCSelected</vt:lpstr>
      <vt:lpstr>AOPBuilding3!Input.OrdLawBlanketBCSelected</vt:lpstr>
      <vt:lpstr>AOPBuilding4!Input.OrdLawBlanketBCSelected</vt:lpstr>
      <vt:lpstr>AOPBuilding5!Input.OrdLawBlanketBCSelected</vt:lpstr>
      <vt:lpstr>AOPBuilding6!Input.OrdLawBlanketBCSelected</vt:lpstr>
      <vt:lpstr>AOPBuilding7!Input.OrdLawBlanketBCSelected</vt:lpstr>
      <vt:lpstr>AOPBuilding8!Input.OrdLawBlanketBCSelected</vt:lpstr>
      <vt:lpstr>AOPBuilding9!Input.OrdLawBlanketBCSelected</vt:lpstr>
      <vt:lpstr>AOPBuildingTemplate!Input.OrdLawBlanketBCSelected</vt:lpstr>
      <vt:lpstr>AOPBuilding1!Input.OrdLawBLimit</vt:lpstr>
      <vt:lpstr>AOPBuilding10!Input.OrdLawBLimit</vt:lpstr>
      <vt:lpstr>AOPBuilding11!Input.OrdLawBLimit</vt:lpstr>
      <vt:lpstr>AOPBuilding2!Input.OrdLawBLimit</vt:lpstr>
      <vt:lpstr>AOPBuilding3!Input.OrdLawBLimit</vt:lpstr>
      <vt:lpstr>AOPBuilding4!Input.OrdLawBLimit</vt:lpstr>
      <vt:lpstr>AOPBuilding5!Input.OrdLawBLimit</vt:lpstr>
      <vt:lpstr>AOPBuilding6!Input.OrdLawBLimit</vt:lpstr>
      <vt:lpstr>AOPBuilding7!Input.OrdLawBLimit</vt:lpstr>
      <vt:lpstr>AOPBuilding8!Input.OrdLawBLimit</vt:lpstr>
      <vt:lpstr>AOPBuilding9!Input.OrdLawBLimit</vt:lpstr>
      <vt:lpstr>AOPBuildingTemplate!Input.OrdLawBLimit</vt:lpstr>
      <vt:lpstr>AOPBuilding1!Input.OrdLawbSelected</vt:lpstr>
      <vt:lpstr>AOPBuilding10!Input.OrdLawbSelected</vt:lpstr>
      <vt:lpstr>AOPBuilding11!Input.OrdLawbSelected</vt:lpstr>
      <vt:lpstr>AOPBuilding2!Input.OrdLawbSelected</vt:lpstr>
      <vt:lpstr>AOPBuilding3!Input.OrdLawbSelected</vt:lpstr>
      <vt:lpstr>AOPBuilding4!Input.OrdLawbSelected</vt:lpstr>
      <vt:lpstr>AOPBuilding5!Input.OrdLawbSelected</vt:lpstr>
      <vt:lpstr>AOPBuilding6!Input.OrdLawbSelected</vt:lpstr>
      <vt:lpstr>AOPBuilding7!Input.OrdLawbSelected</vt:lpstr>
      <vt:lpstr>AOPBuilding8!Input.OrdLawbSelected</vt:lpstr>
      <vt:lpstr>AOPBuilding9!Input.OrdLawbSelected</vt:lpstr>
      <vt:lpstr>AOPBuildingTemplate!Input.OrdLawbSelected</vt:lpstr>
      <vt:lpstr>AOPBuilding1!Input.OrdLawCLimit</vt:lpstr>
      <vt:lpstr>AOPBuilding10!Input.OrdLawCLimit</vt:lpstr>
      <vt:lpstr>AOPBuilding11!Input.OrdLawCLimit</vt:lpstr>
      <vt:lpstr>AOPBuilding2!Input.OrdLawCLimit</vt:lpstr>
      <vt:lpstr>AOPBuilding3!Input.OrdLawCLimit</vt:lpstr>
      <vt:lpstr>AOPBuilding4!Input.OrdLawCLimit</vt:lpstr>
      <vt:lpstr>AOPBuilding5!Input.OrdLawCLimit</vt:lpstr>
      <vt:lpstr>AOPBuilding6!Input.OrdLawCLimit</vt:lpstr>
      <vt:lpstr>AOPBuilding7!Input.OrdLawCLimit</vt:lpstr>
      <vt:lpstr>AOPBuilding8!Input.OrdLawCLimit</vt:lpstr>
      <vt:lpstr>AOPBuilding9!Input.OrdLawCLimit</vt:lpstr>
      <vt:lpstr>AOPBuildingTemplate!Input.OrdLawCLimit</vt:lpstr>
      <vt:lpstr>AOPBuilding1!Input.OrdLawCSelected</vt:lpstr>
      <vt:lpstr>AOPBuilding10!Input.OrdLawCSelected</vt:lpstr>
      <vt:lpstr>AOPBuilding11!Input.OrdLawCSelected</vt:lpstr>
      <vt:lpstr>AOPBuilding2!Input.OrdLawCSelected</vt:lpstr>
      <vt:lpstr>AOPBuilding3!Input.OrdLawCSelected</vt:lpstr>
      <vt:lpstr>AOPBuilding4!Input.OrdLawCSelected</vt:lpstr>
      <vt:lpstr>AOPBuilding5!Input.OrdLawCSelected</vt:lpstr>
      <vt:lpstr>AOPBuilding6!Input.OrdLawCSelected</vt:lpstr>
      <vt:lpstr>AOPBuilding7!Input.OrdLawCSelected</vt:lpstr>
      <vt:lpstr>AOPBuilding8!Input.OrdLawCSelected</vt:lpstr>
      <vt:lpstr>AOPBuilding9!Input.OrdLawCSelected</vt:lpstr>
      <vt:lpstr>AOPBuildingTemplate!Input.OrdLawCSelected</vt:lpstr>
      <vt:lpstr>AOPBuilding1!Input.PctOccupied</vt:lpstr>
      <vt:lpstr>AOPBuilding10!Input.PctOccupied</vt:lpstr>
      <vt:lpstr>AOPBuilding11!Input.PctOccupied</vt:lpstr>
      <vt:lpstr>AOPBuilding2!Input.PctOccupied</vt:lpstr>
      <vt:lpstr>AOPBuilding3!Input.PctOccupied</vt:lpstr>
      <vt:lpstr>AOPBuilding4!Input.PctOccupied</vt:lpstr>
      <vt:lpstr>AOPBuilding5!Input.PctOccupied</vt:lpstr>
      <vt:lpstr>AOPBuilding6!Input.PctOccupied</vt:lpstr>
      <vt:lpstr>AOPBuilding7!Input.PctOccupied</vt:lpstr>
      <vt:lpstr>AOPBuilding8!Input.PctOccupied</vt:lpstr>
      <vt:lpstr>AOPBuilding9!Input.PctOccupied</vt:lpstr>
      <vt:lpstr>AOPBuildingTemplate!Input.PctOccupied</vt:lpstr>
      <vt:lpstr>AOPBuilding1!Input.PPC</vt:lpstr>
      <vt:lpstr>AOPBuilding10!Input.PPC</vt:lpstr>
      <vt:lpstr>AOPBuilding11!Input.PPC</vt:lpstr>
      <vt:lpstr>AOPBuilding2!Input.PPC</vt:lpstr>
      <vt:lpstr>AOPBuilding3!Input.PPC</vt:lpstr>
      <vt:lpstr>AOPBuilding4!Input.PPC</vt:lpstr>
      <vt:lpstr>AOPBuilding5!Input.PPC</vt:lpstr>
      <vt:lpstr>AOPBuilding6!Input.PPC</vt:lpstr>
      <vt:lpstr>AOPBuilding7!Input.PPC</vt:lpstr>
      <vt:lpstr>AOPBuilding8!Input.PPC</vt:lpstr>
      <vt:lpstr>AOPBuilding9!Input.PPC</vt:lpstr>
      <vt:lpstr>AOPBuildingTemplate!Input.PPC</vt:lpstr>
      <vt:lpstr>AOPBuilding1!Input.SinkholeCoverage</vt:lpstr>
      <vt:lpstr>AOPBuilding10!Input.SinkholeCoverage</vt:lpstr>
      <vt:lpstr>AOPBuilding11!Input.SinkholeCoverage</vt:lpstr>
      <vt:lpstr>AOPBuilding2!Input.SinkholeCoverage</vt:lpstr>
      <vt:lpstr>AOPBuilding3!Input.SinkholeCoverage</vt:lpstr>
      <vt:lpstr>AOPBuilding4!Input.SinkholeCoverage</vt:lpstr>
      <vt:lpstr>AOPBuilding5!Input.SinkholeCoverage</vt:lpstr>
      <vt:lpstr>AOPBuilding6!Input.SinkholeCoverage</vt:lpstr>
      <vt:lpstr>AOPBuilding7!Input.SinkholeCoverage</vt:lpstr>
      <vt:lpstr>AOPBuilding8!Input.SinkholeCoverage</vt:lpstr>
      <vt:lpstr>AOPBuilding9!Input.SinkholeCoverage</vt:lpstr>
      <vt:lpstr>AOPBuildingTemplate!Input.SinkholeCoverage</vt:lpstr>
      <vt:lpstr>AOPBuilding1!Input.SinkholeRating</vt:lpstr>
      <vt:lpstr>AOPBuilding10!Input.SinkholeRating</vt:lpstr>
      <vt:lpstr>AOPBuilding11!Input.SinkholeRating</vt:lpstr>
      <vt:lpstr>AOPBuilding2!Input.SinkholeRating</vt:lpstr>
      <vt:lpstr>AOPBuilding3!Input.SinkholeRating</vt:lpstr>
      <vt:lpstr>AOPBuilding4!Input.SinkholeRating</vt:lpstr>
      <vt:lpstr>AOPBuilding5!Input.SinkholeRating</vt:lpstr>
      <vt:lpstr>AOPBuilding6!Input.SinkholeRating</vt:lpstr>
      <vt:lpstr>AOPBuilding7!Input.SinkholeRating</vt:lpstr>
      <vt:lpstr>AOPBuilding8!Input.SinkholeRating</vt:lpstr>
      <vt:lpstr>AOPBuilding9!Input.SinkholeRating</vt:lpstr>
      <vt:lpstr>AOPBuildingTemplate!Input.SinkholeRating</vt:lpstr>
      <vt:lpstr>AOPBuilding1!Input.Sprinkler</vt:lpstr>
      <vt:lpstr>AOPBuilding10!Input.Sprinkler</vt:lpstr>
      <vt:lpstr>AOPBuilding11!Input.Sprinkler</vt:lpstr>
      <vt:lpstr>AOPBuilding2!Input.Sprinkler</vt:lpstr>
      <vt:lpstr>AOPBuilding3!Input.Sprinkler</vt:lpstr>
      <vt:lpstr>AOPBuilding4!Input.Sprinkler</vt:lpstr>
      <vt:lpstr>AOPBuilding5!Input.Sprinkler</vt:lpstr>
      <vt:lpstr>AOPBuilding6!Input.Sprinkler</vt:lpstr>
      <vt:lpstr>AOPBuilding7!Input.Sprinkler</vt:lpstr>
      <vt:lpstr>AOPBuilding8!Input.Sprinkler</vt:lpstr>
      <vt:lpstr>AOPBuilding9!Input.Sprinkler</vt:lpstr>
      <vt:lpstr>AOPBuildingTemplate!Input.Sprinkler</vt:lpstr>
      <vt:lpstr>AOPBuilding1!Input.SqFeet</vt:lpstr>
      <vt:lpstr>AOPBuilding10!Input.SqFeet</vt:lpstr>
      <vt:lpstr>AOPBuilding11!Input.SqFeet</vt:lpstr>
      <vt:lpstr>AOPBuilding2!Input.SqFeet</vt:lpstr>
      <vt:lpstr>AOPBuilding3!Input.SqFeet</vt:lpstr>
      <vt:lpstr>AOPBuilding4!Input.SqFeet</vt:lpstr>
      <vt:lpstr>AOPBuilding5!Input.SqFeet</vt:lpstr>
      <vt:lpstr>AOPBuilding6!Input.SqFeet</vt:lpstr>
      <vt:lpstr>AOPBuilding7!Input.SqFeet</vt:lpstr>
      <vt:lpstr>AOPBuilding8!Input.SqFeet</vt:lpstr>
      <vt:lpstr>AOPBuilding9!Input.SqFeet</vt:lpstr>
      <vt:lpstr>AOPBuildingTemplate!Input.SqFeet</vt:lpstr>
      <vt:lpstr>AOPBuilding1!Input.TheftExclusion</vt:lpstr>
      <vt:lpstr>AOPBuilding10!Input.TheftExclusion</vt:lpstr>
      <vt:lpstr>AOPBuilding11!Input.TheftExclusion</vt:lpstr>
      <vt:lpstr>AOPBuilding2!Input.TheftExclusion</vt:lpstr>
      <vt:lpstr>AOPBuilding3!Input.TheftExclusion</vt:lpstr>
      <vt:lpstr>AOPBuilding4!Input.TheftExclusion</vt:lpstr>
      <vt:lpstr>AOPBuilding5!Input.TheftExclusion</vt:lpstr>
      <vt:lpstr>AOPBuilding6!Input.TheftExclusion</vt:lpstr>
      <vt:lpstr>AOPBuilding7!Input.TheftExclusion</vt:lpstr>
      <vt:lpstr>AOPBuilding8!Input.TheftExclusion</vt:lpstr>
      <vt:lpstr>AOPBuilding9!Input.TheftExclusion</vt:lpstr>
      <vt:lpstr>AOPBuildingTemplate!Input.TheftExclusion</vt:lpstr>
      <vt:lpstr>AOPBuilding1!Input.TheftOfMetalExclusion</vt:lpstr>
      <vt:lpstr>AOPBuilding10!Input.TheftOfMetalExclusion</vt:lpstr>
      <vt:lpstr>AOPBuilding11!Input.TheftOfMetalExclusion</vt:lpstr>
      <vt:lpstr>AOPBuilding2!Input.TheftOfMetalExclusion</vt:lpstr>
      <vt:lpstr>AOPBuilding3!Input.TheftOfMetalExclusion</vt:lpstr>
      <vt:lpstr>AOPBuilding4!Input.TheftOfMetalExclusion</vt:lpstr>
      <vt:lpstr>AOPBuilding5!Input.TheftOfMetalExclusion</vt:lpstr>
      <vt:lpstr>AOPBuilding6!Input.TheftOfMetalExclusion</vt:lpstr>
      <vt:lpstr>AOPBuilding7!Input.TheftOfMetalExclusion</vt:lpstr>
      <vt:lpstr>AOPBuilding8!Input.TheftOfMetalExclusion</vt:lpstr>
      <vt:lpstr>AOPBuilding9!Input.TheftOfMetalExclusion</vt:lpstr>
      <vt:lpstr>AOPBuildingTemplate!Input.TheftOfMetalExclusion</vt:lpstr>
      <vt:lpstr>AOPBuilding1!Input.UseTIVAdjustment</vt:lpstr>
      <vt:lpstr>AOPBuilding10!Input.UseTIVAdjustment</vt:lpstr>
      <vt:lpstr>AOPBuilding11!Input.UseTIVAdjustment</vt:lpstr>
      <vt:lpstr>AOPBuilding2!Input.UseTIVAdjustment</vt:lpstr>
      <vt:lpstr>AOPBuilding3!Input.UseTIVAdjustment</vt:lpstr>
      <vt:lpstr>AOPBuilding4!Input.UseTIVAdjustment</vt:lpstr>
      <vt:lpstr>AOPBuilding5!Input.UseTIVAdjustment</vt:lpstr>
      <vt:lpstr>AOPBuilding6!Input.UseTIVAdjustment</vt:lpstr>
      <vt:lpstr>AOPBuilding7!Input.UseTIVAdjustment</vt:lpstr>
      <vt:lpstr>AOPBuilding8!Input.UseTIVAdjustment</vt:lpstr>
      <vt:lpstr>AOPBuilding9!Input.UseTIVAdjustment</vt:lpstr>
      <vt:lpstr>AOPBuildingTemplate!Input.UseTIVAdjustment</vt:lpstr>
      <vt:lpstr>AOPBuilding1!Input.ValuationOverride</vt:lpstr>
      <vt:lpstr>AOPBuilding10!Input.ValuationOverride</vt:lpstr>
      <vt:lpstr>AOPBuilding11!Input.ValuationOverride</vt:lpstr>
      <vt:lpstr>AOPBuilding2!Input.ValuationOverride</vt:lpstr>
      <vt:lpstr>AOPBuilding3!Input.ValuationOverride</vt:lpstr>
      <vt:lpstr>AOPBuilding4!Input.ValuationOverride</vt:lpstr>
      <vt:lpstr>AOPBuilding5!Input.ValuationOverride</vt:lpstr>
      <vt:lpstr>AOPBuilding6!Input.ValuationOverride</vt:lpstr>
      <vt:lpstr>AOPBuilding7!Input.ValuationOverride</vt:lpstr>
      <vt:lpstr>AOPBuilding8!Input.ValuationOverride</vt:lpstr>
      <vt:lpstr>AOPBuilding9!Input.ValuationOverride</vt:lpstr>
      <vt:lpstr>AOPBuildingTemplate!Input.ValuationOverride</vt:lpstr>
      <vt:lpstr>AOPBuilding1!Input.YearBuilt</vt:lpstr>
      <vt:lpstr>AOPBuilding10!Input.YearBuilt</vt:lpstr>
      <vt:lpstr>AOPBuilding11!Input.YearBuilt</vt:lpstr>
      <vt:lpstr>AOPBuilding2!Input.YearBuilt</vt:lpstr>
      <vt:lpstr>AOPBuilding3!Input.YearBuilt</vt:lpstr>
      <vt:lpstr>AOPBuilding4!Input.YearBuilt</vt:lpstr>
      <vt:lpstr>AOPBuilding5!Input.YearBuilt</vt:lpstr>
      <vt:lpstr>AOPBuilding6!Input.YearBuilt</vt:lpstr>
      <vt:lpstr>AOPBuilding7!Input.YearBuilt</vt:lpstr>
      <vt:lpstr>AOPBuilding8!Input.YearBuilt</vt:lpstr>
      <vt:lpstr>AOPBuilding9!Input.YearBuilt</vt:lpstr>
      <vt:lpstr>AOPBuildingTemplate!Input.YearBuilt</vt:lpstr>
      <vt:lpstr>AOPBuilding1!Input.YearRenovated</vt:lpstr>
      <vt:lpstr>AOPBuilding10!Input.YearRenovated</vt:lpstr>
      <vt:lpstr>AOPBuilding11!Input.YearRenovated</vt:lpstr>
      <vt:lpstr>AOPBuilding2!Input.YearRenovated</vt:lpstr>
      <vt:lpstr>AOPBuilding3!Input.YearRenovated</vt:lpstr>
      <vt:lpstr>AOPBuilding4!Input.YearRenovated</vt:lpstr>
      <vt:lpstr>AOPBuilding5!Input.YearRenovated</vt:lpstr>
      <vt:lpstr>AOPBuilding6!Input.YearRenovated</vt:lpstr>
      <vt:lpstr>AOPBuilding7!Input.YearRenovated</vt:lpstr>
      <vt:lpstr>AOPBuilding8!Input.YearRenovated</vt:lpstr>
      <vt:lpstr>AOPBuilding9!Input.YearRenovated</vt:lpstr>
      <vt:lpstr>AOPBuildingTemplate!Input.YearRenovated</vt:lpstr>
      <vt:lpstr>list_fill</vt:lpstr>
      <vt:lpstr>listbox_export</vt:lpstr>
      <vt:lpstr>LloydsScale</vt:lpstr>
      <vt:lpstr>MajorOccupancy</vt:lpstr>
      <vt:lpstr>number_of_buildings</vt:lpstr>
      <vt:lpstr>NumberofBuildings</vt:lpstr>
      <vt:lpstr>PSOLD_AOI</vt:lpstr>
      <vt:lpstr>PSOLD08_ExCAT_BC_ParmA</vt:lpstr>
      <vt:lpstr>PSOLD08_ExCAT_BC_ParmB</vt:lpstr>
      <vt:lpstr>PSOLD08_ExCAT_BCTE_ParmA</vt:lpstr>
      <vt:lpstr>PSOLD08_ExCAT_BCTE_ParmB</vt:lpstr>
      <vt:lpstr>PSOLDMeans</vt:lpstr>
      <vt:lpstr>PSOLDWts1</vt:lpstr>
      <vt:lpstr>PSOLDWts2</vt:lpstr>
      <vt:lpstr>SinkholeRates</vt:lpstr>
      <vt:lpstr>Start_Import</vt:lpstr>
      <vt:lpstr>TotalBuildingCount</vt:lpstr>
      <vt:lpstr>ValuationFirms</vt:lpstr>
      <vt:lpstr>ValuationTable</vt:lpstr>
      <vt:lpstr>VentusValuationTable</vt:lpstr>
      <vt:lpstr>XLCCurve1</vt:lpstr>
      <vt:lpstr>XLCCurve2</vt:lpstr>
      <vt:lpstr>XLCCUrve4</vt:lpstr>
      <vt:lpstr>XLCOccupancyGroups</vt:lpstr>
      <vt:lpstr>XLCRiskSizes</vt:lpstr>
      <vt:lpstr>YesNo</vt:lpstr>
    </vt:vector>
  </TitlesOfParts>
  <Company>SM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SBogatine</cp:lastModifiedBy>
  <dcterms:created xsi:type="dcterms:W3CDTF">2015-09-02T13:38:38Z</dcterms:created>
  <dcterms:modified xsi:type="dcterms:W3CDTF">2016-03-30T22:14:13Z</dcterms:modified>
</cp:coreProperties>
</file>